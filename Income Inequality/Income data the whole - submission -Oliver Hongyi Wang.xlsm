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2.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3.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4.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228" codeName="{144559BF-596A-2B24-0A50-F0D1D4C42CD1}"/>
  <workbookPr showInkAnnotation="0" codeName="ThisWorkbook" autoCompressPictures="0"/>
  <mc:AlternateContent xmlns:mc="http://schemas.openxmlformats.org/markup-compatibility/2006">
    <mc:Choice Requires="x15">
      <x15ac:absPath xmlns:x15ac="http://schemas.microsoft.com/office/spreadsheetml/2010/11/ac" url="https://d.docs.live.net/7a4a60bda92b0fa6/BoxSync/Income/Intern/Income Inequality/Result Week of 10-28 OnWards-DESKTOP-9VMGPK4/"/>
    </mc:Choice>
  </mc:AlternateContent>
  <xr:revisionPtr revIDLastSave="544" documentId="8_{33AA7DBF-D777-48F3-AE7E-BE1140717DFD}" xr6:coauthVersionLast="45" xr6:coauthVersionMax="45" xr10:uidLastSave="{41CADAFF-B5DA-4813-B01E-91AC851170E0}"/>
  <bookViews>
    <workbookView xWindow="-98" yWindow="-98" windowWidth="20715" windowHeight="13276" firstSheet="31" activeTab="34" xr2:uid="{00000000-000D-0000-FFFF-FFFF00000000}"/>
  </bookViews>
  <sheets>
    <sheet name="Index" sheetId="69" r:id="rId1"/>
    <sheet name="CPI" sheetId="15" r:id="rId2"/>
    <sheet name="Data" sheetId="25" r:id="rId3"/>
    <sheet name="Metadata" sheetId="26" r:id="rId4"/>
    <sheet name="Minimum Deflation Total" sheetId="34" r:id="rId5"/>
    <sheet name="Norway Model Year by Year" sheetId="22" r:id="rId6"/>
    <sheet name="Wealth Growth Norway" sheetId="43" r:id="rId7"/>
    <sheet name="Sweden Model Year by Year" sheetId="36" r:id="rId8"/>
    <sheet name="Wealth Growth Sweden" sheetId="41" r:id="rId9"/>
    <sheet name="Denmark Labor Year by Year Thre" sheetId="65" r:id="rId10"/>
    <sheet name="Denmark Model Year by Year" sheetId="37" r:id="rId11"/>
    <sheet name="Wealth Growth Denmark" sheetId="42" r:id="rId12"/>
    <sheet name="France Labor Year by Year Thre" sheetId="63" r:id="rId13"/>
    <sheet name="France Cpital Year by Year Thre" sheetId="64" r:id="rId14"/>
    <sheet name="France Model Year by Year" sheetId="39" r:id="rId15"/>
    <sheet name="Wealth Growth USA from real" sheetId="68" r:id="rId16"/>
    <sheet name="Wealth Growth USA" sheetId="55" r:id="rId17"/>
    <sheet name="USA Labor Year by Year Thres" sheetId="40" r:id="rId18"/>
    <sheet name="USA Labor Year by Year Max Avg" sheetId="44" r:id="rId19"/>
    <sheet name="USA Cpital Year by Year Thres" sheetId="61" r:id="rId20"/>
    <sheet name="USA Capital Year by Year Avg" sheetId="59" r:id="rId21"/>
    <sheet name="Top 1% Labor Share" sheetId="45" r:id="rId22"/>
    <sheet name="Top 1% Labor Share MetaData" sheetId="46" r:id="rId23"/>
    <sheet name="Top 10% Labor Share" sheetId="47" r:id="rId24"/>
    <sheet name="Top 10% Labor Share MetaData" sheetId="48" r:id="rId25"/>
    <sheet name="Bottom 90% Labor Share" sheetId="49" r:id="rId26"/>
    <sheet name="Bottom 90% Labor Share Meta" sheetId="50" r:id="rId27"/>
    <sheet name="Average Labor Income" sheetId="51" r:id="rId28"/>
    <sheet name="Average Labor Income meta" sheetId="52" r:id="rId29"/>
    <sheet name="99.9% Threshold Labor" sheetId="53" r:id="rId30"/>
    <sheet name="99.9% Threshold Labor Meta" sheetId="54" r:id="rId31"/>
    <sheet name="99.9% Average Labor" sheetId="56" r:id="rId32"/>
    <sheet name="99.9% Average Labor meta" sheetId="57" r:id="rId33"/>
    <sheet name="DNK to PPP" sheetId="66" r:id="rId34"/>
    <sheet name="Lissy webtabulator" sheetId="67" r:id="rId35"/>
  </sheets>
  <definedNames>
    <definedName name="Index">Index!$A$1</definedName>
    <definedName name="Start10">'Denmark Labor Year by Year Thre'!$H$1</definedName>
    <definedName name="Start11">'Denmark Model Year by Year'!$H$1</definedName>
    <definedName name="Start12">'Wealth Growth Denmark'!$H$1</definedName>
    <definedName name="Start13">'France Labor Year by Year Thre'!$H$1</definedName>
    <definedName name="Start14">'France Cpital Year by Year Thre'!$H$1</definedName>
    <definedName name="Start15">'France Model Year by Year'!$H$1</definedName>
    <definedName name="Start16">'Wealth Growth USA from real'!$H$1</definedName>
    <definedName name="Start17">'Wealth Growth USA'!$H$1</definedName>
    <definedName name="Start18">'USA Labor Year by Year Thres'!$H$1</definedName>
    <definedName name="Start19">'USA Labor Year by Year Max Avg'!$H$1</definedName>
    <definedName name="Start2">CPI!$H$1</definedName>
    <definedName name="Start20">'USA Cpital Year by Year Thres'!$H$1</definedName>
    <definedName name="Start21">'USA Capital Year by Year Avg'!$H$1</definedName>
    <definedName name="Start22">'Top 1% Labor Share'!$H$1</definedName>
    <definedName name="Start23">'Top 1% Labor Share MetaData'!$H$1</definedName>
    <definedName name="Start24">'Top 10% Labor Share'!$H$1</definedName>
    <definedName name="Start25">'Top 10% Labor Share MetaData'!$H$1</definedName>
    <definedName name="Start26">'Bottom 90% Labor Share'!$H$1</definedName>
    <definedName name="Start27">'Bottom 90% Labor Share Meta'!$H$1</definedName>
    <definedName name="Start28">'Average Labor Income'!$H$1</definedName>
    <definedName name="Start29">'Average Labor Income meta'!$H$1</definedName>
    <definedName name="Start3">Data!$H$1</definedName>
    <definedName name="Start30">'99.9% Threshold Labor'!$H$1</definedName>
    <definedName name="Start31">'99.9% Threshold Labor Meta'!$H$1</definedName>
    <definedName name="Start32">'99.9% Average Labor'!$H$1</definedName>
    <definedName name="Start33">'99.9% Average Labor meta'!$H$1</definedName>
    <definedName name="Start34">'DNK to PPP'!$H$1</definedName>
    <definedName name="Start35">'Lissy webtabulator'!$H$1</definedName>
    <definedName name="Start4">Metadata!$H$1</definedName>
    <definedName name="Start5">'Minimum Deflation Total'!$H$1</definedName>
    <definedName name="Start6">'Norway Model Year by Year'!$H$1</definedName>
    <definedName name="Start7">'Wealth Growth Norway'!$H$1</definedName>
    <definedName name="Start8">'Sweden Model Year by Year'!$H$1</definedName>
    <definedName name="Start9">'Wealth Growth Sweden'!$H$1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 i="68" l="1"/>
  <c r="D4" i="68" s="1"/>
  <c r="D5" i="68" s="1"/>
  <c r="D6" i="68" s="1"/>
  <c r="D7" i="68" s="1"/>
  <c r="D8" i="68" s="1"/>
  <c r="D9" i="68" s="1"/>
  <c r="D10" i="68" s="1"/>
  <c r="D11" i="68" s="1"/>
  <c r="D12" i="68" s="1"/>
  <c r="D13" i="68" s="1"/>
  <c r="D14" i="68" s="1"/>
  <c r="D15" i="68" s="1"/>
  <c r="D16" i="68" s="1"/>
  <c r="D17" i="68" s="1"/>
  <c r="D18" i="68" s="1"/>
  <c r="D19" i="68" s="1"/>
  <c r="D20" i="68" s="1"/>
  <c r="D21" i="68" s="1"/>
  <c r="D22" i="68" s="1"/>
  <c r="D23" i="68" s="1"/>
  <c r="D24" i="68" s="1"/>
  <c r="D25" i="68" s="1"/>
  <c r="D26" i="68" s="1"/>
  <c r="D27" i="68" s="1"/>
  <c r="D28" i="68" s="1"/>
  <c r="D29" i="68" s="1"/>
  <c r="D30" i="68" s="1"/>
  <c r="D31" i="68" s="1"/>
  <c r="D32" i="68" s="1"/>
  <c r="D33" i="68" s="1"/>
  <c r="D34" i="68" s="1"/>
  <c r="D35" i="68" s="1"/>
  <c r="D36" i="68" s="1"/>
  <c r="D37" i="68" s="1"/>
  <c r="D38" i="68" s="1"/>
  <c r="D39" i="68" s="1"/>
  <c r="D40" i="68" s="1"/>
  <c r="D41" i="68" s="1"/>
  <c r="D42" i="68" s="1"/>
  <c r="D43" i="68" s="1"/>
  <c r="D44" i="68" s="1"/>
  <c r="D45" i="68" s="1"/>
  <c r="D46" i="68" s="1"/>
  <c r="D47" i="68" s="1"/>
  <c r="D48" i="68" s="1"/>
  <c r="D49" i="68" s="1"/>
  <c r="D50" i="68" s="1"/>
  <c r="D51" i="68" s="1"/>
  <c r="D52" i="68" s="1"/>
  <c r="D53" i="68" s="1"/>
  <c r="C4" i="68"/>
  <c r="C5" i="68" s="1"/>
  <c r="C6" i="68" s="1"/>
  <c r="C7" i="68" s="1"/>
  <c r="C8" i="68" s="1"/>
  <c r="C9" i="68" s="1"/>
  <c r="C10" i="68" s="1"/>
  <c r="C11" i="68" s="1"/>
  <c r="C12" i="68" s="1"/>
  <c r="C13" i="68" s="1"/>
  <c r="C14" i="68" s="1"/>
  <c r="C15" i="68" s="1"/>
  <c r="C16" i="68" s="1"/>
  <c r="C17" i="68" s="1"/>
  <c r="C18" i="68" s="1"/>
  <c r="C19" i="68" s="1"/>
  <c r="C20" i="68" s="1"/>
  <c r="C21" i="68" s="1"/>
  <c r="C22" i="68" s="1"/>
  <c r="C23" i="68" s="1"/>
  <c r="C24" i="68" s="1"/>
  <c r="C25" i="68" s="1"/>
  <c r="C26" i="68" s="1"/>
  <c r="C27" i="68" s="1"/>
  <c r="C28" i="68" s="1"/>
  <c r="C29" i="68" s="1"/>
  <c r="C30" i="68" s="1"/>
  <c r="C31" i="68" s="1"/>
  <c r="C32" i="68" s="1"/>
  <c r="C33" i="68" s="1"/>
  <c r="C34" i="68" s="1"/>
  <c r="C35" i="68" s="1"/>
  <c r="C36" i="68" s="1"/>
  <c r="C37" i="68" s="1"/>
  <c r="C38" i="68" s="1"/>
  <c r="C39" i="68" s="1"/>
  <c r="C40" i="68" s="1"/>
  <c r="C41" i="68" s="1"/>
  <c r="C42" i="68" s="1"/>
  <c r="C43" i="68" s="1"/>
  <c r="C44" i="68" s="1"/>
  <c r="C45" i="68" s="1"/>
  <c r="C46" i="68" s="1"/>
  <c r="C47" i="68" s="1"/>
  <c r="C48" i="68" s="1"/>
  <c r="C49" i="68" s="1"/>
  <c r="C50" i="68" s="1"/>
  <c r="C51" i="68" s="1"/>
  <c r="C52" i="68" s="1"/>
  <c r="C53" i="68" s="1"/>
  <c r="C2" i="68"/>
  <c r="C3" i="68" s="1"/>
  <c r="B2" i="68"/>
  <c r="I2" i="68" s="1"/>
  <c r="B3" i="55"/>
  <c r="B4" i="55" s="1"/>
  <c r="B5" i="55" s="1"/>
  <c r="B6" i="55" s="1"/>
  <c r="B7" i="55" s="1"/>
  <c r="B8" i="55" s="1"/>
  <c r="B9" i="55" s="1"/>
  <c r="B10" i="55" s="1"/>
  <c r="B11" i="55" s="1"/>
  <c r="B12" i="55" s="1"/>
  <c r="B13" i="55" s="1"/>
  <c r="B14" i="55" s="1"/>
  <c r="B15" i="55" s="1"/>
  <c r="B16" i="55" s="1"/>
  <c r="B17" i="55" s="1"/>
  <c r="B18" i="55" s="1"/>
  <c r="B19" i="55" s="1"/>
  <c r="B20" i="55" s="1"/>
  <c r="B21" i="55" s="1"/>
  <c r="B22" i="55" s="1"/>
  <c r="B23" i="55" s="1"/>
  <c r="B24" i="55" s="1"/>
  <c r="B25" i="55" s="1"/>
  <c r="B26" i="55" s="1"/>
  <c r="B27" i="55" s="1"/>
  <c r="B28" i="55" s="1"/>
  <c r="B29" i="55" s="1"/>
  <c r="B30" i="55" s="1"/>
  <c r="B31" i="55" s="1"/>
  <c r="B32" i="55" s="1"/>
  <c r="B33" i="55" s="1"/>
  <c r="B34" i="55" s="1"/>
  <c r="B35" i="55" s="1"/>
  <c r="B36" i="55" s="1"/>
  <c r="B37" i="55" s="1"/>
  <c r="B38" i="55" s="1"/>
  <c r="B39" i="55" s="1"/>
  <c r="B40" i="55" s="1"/>
  <c r="B41" i="55" s="1"/>
  <c r="B42" i="55" s="1"/>
  <c r="B43" i="55" s="1"/>
  <c r="B44" i="55" s="1"/>
  <c r="B45" i="55" s="1"/>
  <c r="B46" i="55" s="1"/>
  <c r="B47" i="55" s="1"/>
  <c r="B48" i="55" s="1"/>
  <c r="B49" i="55" s="1"/>
  <c r="B50" i="55" s="1"/>
  <c r="B51" i="55" s="1"/>
  <c r="B52" i="55" s="1"/>
  <c r="B53" i="55" s="1"/>
  <c r="E3" i="68"/>
  <c r="E4" i="68" s="1"/>
  <c r="C56" i="40"/>
  <c r="D56" i="40"/>
  <c r="E56" i="40"/>
  <c r="B56" i="40"/>
  <c r="F2" i="68" l="1"/>
  <c r="H2" i="68"/>
  <c r="B3" i="68"/>
  <c r="B4" i="68" s="1"/>
  <c r="B5" i="68" s="1"/>
  <c r="B6" i="68" s="1"/>
  <c r="B7" i="68" s="1"/>
  <c r="B8" i="68" s="1"/>
  <c r="B9" i="68" s="1"/>
  <c r="B10" i="68" s="1"/>
  <c r="B11" i="68" s="1"/>
  <c r="B12" i="68" s="1"/>
  <c r="B13" i="68" s="1"/>
  <c r="B14" i="68" s="1"/>
  <c r="B15" i="68" s="1"/>
  <c r="B16" i="68" s="1"/>
  <c r="B17" i="68" s="1"/>
  <c r="B18" i="68" s="1"/>
  <c r="B19" i="68" s="1"/>
  <c r="B20" i="68" s="1"/>
  <c r="B21" i="68" s="1"/>
  <c r="B22" i="68" s="1"/>
  <c r="B23" i="68" s="1"/>
  <c r="B24" i="68" s="1"/>
  <c r="B25" i="68" s="1"/>
  <c r="B26" i="68" s="1"/>
  <c r="B27" i="68" s="1"/>
  <c r="B28" i="68" s="1"/>
  <c r="B29" i="68" s="1"/>
  <c r="B30" i="68" s="1"/>
  <c r="B31" i="68" s="1"/>
  <c r="B32" i="68" s="1"/>
  <c r="B33" i="68" s="1"/>
  <c r="B34" i="68" s="1"/>
  <c r="B35" i="68" s="1"/>
  <c r="B36" i="68" s="1"/>
  <c r="B37" i="68" s="1"/>
  <c r="B38" i="68" s="1"/>
  <c r="B39" i="68" s="1"/>
  <c r="B40" i="68" s="1"/>
  <c r="B41" i="68" s="1"/>
  <c r="B42" i="68" s="1"/>
  <c r="B43" i="68" s="1"/>
  <c r="B44" i="68" s="1"/>
  <c r="B45" i="68" s="1"/>
  <c r="B46" i="68" s="1"/>
  <c r="B47" i="68" s="1"/>
  <c r="B48" i="68" s="1"/>
  <c r="B49" i="68" s="1"/>
  <c r="B50" i="68" s="1"/>
  <c r="B51" i="68" s="1"/>
  <c r="B52" i="68" s="1"/>
  <c r="B53" i="68" s="1"/>
  <c r="G2" i="68"/>
  <c r="G3" i="68"/>
  <c r="I3" i="68"/>
  <c r="F3" i="68"/>
  <c r="H3" i="68"/>
  <c r="E5" i="68"/>
  <c r="R23" i="65"/>
  <c r="R27" i="65"/>
  <c r="R33" i="65"/>
  <c r="R36" i="65"/>
  <c r="P27" i="65"/>
  <c r="P23" i="65"/>
  <c r="Q30" i="67"/>
  <c r="R15" i="65" s="1"/>
  <c r="Q31" i="67"/>
  <c r="R18" i="65" s="1"/>
  <c r="Q32" i="67"/>
  <c r="Q33" i="67"/>
  <c r="Q34" i="67"/>
  <c r="R30" i="65" s="1"/>
  <c r="Q35" i="67"/>
  <c r="Q36" i="67"/>
  <c r="Q37" i="67"/>
  <c r="Q38" i="67"/>
  <c r="Q39" i="67"/>
  <c r="Q40" i="67"/>
  <c r="Q41" i="67"/>
  <c r="Q42" i="67"/>
  <c r="Q43" i="67"/>
  <c r="Q44" i="67"/>
  <c r="Q45" i="67"/>
  <c r="Q46" i="67"/>
  <c r="Q47" i="67"/>
  <c r="Q48" i="67"/>
  <c r="Q49" i="67"/>
  <c r="Q50" i="67"/>
  <c r="Q51" i="67"/>
  <c r="Q29" i="67"/>
  <c r="R10" i="65" s="1"/>
  <c r="P30" i="67"/>
  <c r="Q15" i="65" s="1"/>
  <c r="P34" i="67"/>
  <c r="Q30" i="65" s="1"/>
  <c r="P35" i="67"/>
  <c r="Q33" i="65" s="1"/>
  <c r="P37" i="67"/>
  <c r="P38" i="67"/>
  <c r="P42" i="67"/>
  <c r="P43" i="67"/>
  <c r="P45" i="67"/>
  <c r="P46" i="67"/>
  <c r="P50" i="67"/>
  <c r="P51" i="67"/>
  <c r="O30" i="67"/>
  <c r="P15" i="65" s="1"/>
  <c r="O31" i="67"/>
  <c r="P18" i="65" s="1"/>
  <c r="O32" i="67"/>
  <c r="P32" i="67" s="1"/>
  <c r="Q23" i="65" s="1"/>
  <c r="O33" i="67"/>
  <c r="P33" i="67" s="1"/>
  <c r="Q27" i="65" s="1"/>
  <c r="O34" i="67"/>
  <c r="P30" i="65" s="1"/>
  <c r="O35" i="67"/>
  <c r="P33" i="65" s="1"/>
  <c r="O36" i="67"/>
  <c r="P36" i="67" s="1"/>
  <c r="Q36" i="65" s="1"/>
  <c r="O37" i="67"/>
  <c r="O38" i="67"/>
  <c r="O39" i="67"/>
  <c r="P39" i="67" s="1"/>
  <c r="O40" i="67"/>
  <c r="P40" i="67" s="1"/>
  <c r="O41" i="67"/>
  <c r="P41" i="67" s="1"/>
  <c r="O42" i="67"/>
  <c r="O43" i="67"/>
  <c r="O44" i="67"/>
  <c r="P44" i="67" s="1"/>
  <c r="O45" i="67"/>
  <c r="O46" i="67"/>
  <c r="O47" i="67"/>
  <c r="P47" i="67" s="1"/>
  <c r="O48" i="67"/>
  <c r="P48" i="67" s="1"/>
  <c r="O49" i="67"/>
  <c r="P49" i="67" s="1"/>
  <c r="O50" i="67"/>
  <c r="O51" i="67"/>
  <c r="O29" i="67"/>
  <c r="P29" i="67" s="1"/>
  <c r="Q10" i="65" s="1"/>
  <c r="C36" i="65"/>
  <c r="C33" i="65"/>
  <c r="C30" i="65"/>
  <c r="C27" i="65"/>
  <c r="C23" i="65"/>
  <c r="C18" i="65"/>
  <c r="C15" i="65"/>
  <c r="C10" i="65"/>
  <c r="B39" i="65"/>
  <c r="D3" i="37"/>
  <c r="D41" i="65"/>
  <c r="C41" i="65"/>
  <c r="D40" i="65"/>
  <c r="D39" i="65"/>
  <c r="D38" i="65"/>
  <c r="C4" i="64"/>
  <c r="C5" i="64"/>
  <c r="C6" i="64"/>
  <c r="C7" i="64"/>
  <c r="C8" i="64"/>
  <c r="C9" i="64"/>
  <c r="C10" i="64"/>
  <c r="C11" i="64"/>
  <c r="C12" i="64"/>
  <c r="C13" i="64"/>
  <c r="C14" i="64"/>
  <c r="C15" i="64"/>
  <c r="C16" i="64"/>
  <c r="C17" i="64"/>
  <c r="C18" i="64"/>
  <c r="C19" i="64"/>
  <c r="C20" i="64"/>
  <c r="C21" i="64"/>
  <c r="C22" i="64"/>
  <c r="C23" i="64"/>
  <c r="C24" i="64"/>
  <c r="C25" i="64"/>
  <c r="C26" i="64"/>
  <c r="C27" i="64"/>
  <c r="C28" i="64"/>
  <c r="C29" i="64"/>
  <c r="C30" i="64"/>
  <c r="C31" i="64"/>
  <c r="C32" i="64"/>
  <c r="C33" i="64"/>
  <c r="C34" i="64"/>
  <c r="C35" i="64"/>
  <c r="C36" i="64"/>
  <c r="C37" i="64"/>
  <c r="D4" i="64"/>
  <c r="D5" i="64"/>
  <c r="D6" i="64"/>
  <c r="D7" i="64"/>
  <c r="D8" i="64"/>
  <c r="D9" i="64"/>
  <c r="D10" i="64"/>
  <c r="D11" i="64"/>
  <c r="D12" i="64"/>
  <c r="D13" i="64"/>
  <c r="D14" i="64"/>
  <c r="D15" i="64"/>
  <c r="D16" i="64"/>
  <c r="D17" i="64"/>
  <c r="D18" i="64"/>
  <c r="D19" i="64"/>
  <c r="D20" i="64"/>
  <c r="D21" i="64"/>
  <c r="D22" i="64"/>
  <c r="D23" i="64"/>
  <c r="D24" i="64"/>
  <c r="D25" i="64"/>
  <c r="D26" i="64"/>
  <c r="D27" i="64"/>
  <c r="D28" i="64"/>
  <c r="D29" i="64"/>
  <c r="D30" i="64"/>
  <c r="D31" i="64"/>
  <c r="D32" i="64"/>
  <c r="D33" i="64"/>
  <c r="D34" i="64"/>
  <c r="D35" i="64"/>
  <c r="D36" i="64"/>
  <c r="D37" i="64"/>
  <c r="D4" i="63"/>
  <c r="D5" i="63"/>
  <c r="D6" i="63"/>
  <c r="D7" i="63"/>
  <c r="D8" i="63"/>
  <c r="D9" i="63"/>
  <c r="D10" i="63"/>
  <c r="D11" i="63"/>
  <c r="D12" i="63"/>
  <c r="D13" i="63"/>
  <c r="D14" i="63"/>
  <c r="D15" i="63"/>
  <c r="D16" i="63"/>
  <c r="D17" i="63"/>
  <c r="D18" i="63"/>
  <c r="D19" i="63"/>
  <c r="D20" i="63"/>
  <c r="D21" i="63"/>
  <c r="D22" i="63"/>
  <c r="D23" i="63"/>
  <c r="D24" i="63"/>
  <c r="D25" i="63"/>
  <c r="D26" i="63"/>
  <c r="D27" i="63"/>
  <c r="D28" i="63"/>
  <c r="D29" i="63"/>
  <c r="D30" i="63"/>
  <c r="D31" i="63"/>
  <c r="D32" i="63"/>
  <c r="D33" i="63"/>
  <c r="D34" i="63"/>
  <c r="D35" i="63"/>
  <c r="D36" i="63"/>
  <c r="D37" i="63"/>
  <c r="D38" i="63"/>
  <c r="D39" i="63"/>
  <c r="D40" i="63"/>
  <c r="D41" i="63"/>
  <c r="C4" i="63"/>
  <c r="C5" i="63"/>
  <c r="C6" i="63"/>
  <c r="C7" i="63"/>
  <c r="C8" i="63"/>
  <c r="C9" i="63"/>
  <c r="C10" i="63"/>
  <c r="C11" i="63"/>
  <c r="C12" i="63"/>
  <c r="C13" i="63"/>
  <c r="C14" i="63"/>
  <c r="C15" i="63"/>
  <c r="C16" i="63"/>
  <c r="C17" i="63"/>
  <c r="C18" i="63"/>
  <c r="C19" i="63"/>
  <c r="C20" i="63"/>
  <c r="C21" i="63"/>
  <c r="C22" i="63"/>
  <c r="C23" i="63"/>
  <c r="C24" i="63"/>
  <c r="C25" i="63"/>
  <c r="C26" i="63"/>
  <c r="C27" i="63"/>
  <c r="C28" i="63"/>
  <c r="C29" i="63"/>
  <c r="C30" i="63"/>
  <c r="C31" i="63"/>
  <c r="C32" i="63"/>
  <c r="C33" i="63"/>
  <c r="C34" i="63"/>
  <c r="C35" i="63"/>
  <c r="C36" i="63"/>
  <c r="C37" i="63"/>
  <c r="C38" i="63"/>
  <c r="C39" i="63"/>
  <c r="C40" i="63"/>
  <c r="C41" i="63"/>
  <c r="B42" i="63"/>
  <c r="N4" i="63"/>
  <c r="O4" i="63" s="1"/>
  <c r="N7" i="63"/>
  <c r="O7" i="63" s="1"/>
  <c r="N8" i="63"/>
  <c r="O8" i="63" s="1"/>
  <c r="N11" i="63"/>
  <c r="O11" i="63" s="1"/>
  <c r="N12" i="63"/>
  <c r="O12" i="63" s="1"/>
  <c r="N15" i="63"/>
  <c r="O15" i="63" s="1"/>
  <c r="N16" i="63"/>
  <c r="O16" i="63" s="1"/>
  <c r="N19" i="63"/>
  <c r="O19" i="63" s="1"/>
  <c r="N20" i="63"/>
  <c r="O20" i="63" s="1"/>
  <c r="N23" i="63"/>
  <c r="O23" i="63" s="1"/>
  <c r="N24" i="63"/>
  <c r="O24" i="63" s="1"/>
  <c r="N27" i="63"/>
  <c r="O27" i="63" s="1"/>
  <c r="N28" i="63"/>
  <c r="O28" i="63" s="1"/>
  <c r="N31" i="63"/>
  <c r="O31" i="63" s="1"/>
  <c r="N32" i="63"/>
  <c r="O32" i="63" s="1"/>
  <c r="N35" i="63"/>
  <c r="O35" i="63" s="1"/>
  <c r="N36" i="63"/>
  <c r="O36" i="63" s="1"/>
  <c r="M4" i="63"/>
  <c r="M5" i="63"/>
  <c r="N5" i="63" s="1"/>
  <c r="O5" i="63" s="1"/>
  <c r="M6" i="63"/>
  <c r="N6" i="63" s="1"/>
  <c r="O6" i="63" s="1"/>
  <c r="M7" i="63"/>
  <c r="M8" i="63"/>
  <c r="M9" i="63"/>
  <c r="N9" i="63" s="1"/>
  <c r="O9" i="63" s="1"/>
  <c r="M10" i="63"/>
  <c r="N10" i="63" s="1"/>
  <c r="O10" i="63" s="1"/>
  <c r="M11" i="63"/>
  <c r="M12" i="63"/>
  <c r="M13" i="63"/>
  <c r="N13" i="63" s="1"/>
  <c r="O13" i="63" s="1"/>
  <c r="M14" i="63"/>
  <c r="N14" i="63" s="1"/>
  <c r="O14" i="63" s="1"/>
  <c r="M15" i="63"/>
  <c r="M16" i="63"/>
  <c r="M17" i="63"/>
  <c r="N17" i="63" s="1"/>
  <c r="O17" i="63" s="1"/>
  <c r="M18" i="63"/>
  <c r="N18" i="63" s="1"/>
  <c r="O18" i="63" s="1"/>
  <c r="M19" i="63"/>
  <c r="M20" i="63"/>
  <c r="M21" i="63"/>
  <c r="N21" i="63" s="1"/>
  <c r="O21" i="63" s="1"/>
  <c r="M22" i="63"/>
  <c r="N22" i="63" s="1"/>
  <c r="O22" i="63" s="1"/>
  <c r="M23" i="63"/>
  <c r="M24" i="63"/>
  <c r="M25" i="63"/>
  <c r="N25" i="63" s="1"/>
  <c r="O25" i="63" s="1"/>
  <c r="M26" i="63"/>
  <c r="N26" i="63" s="1"/>
  <c r="O26" i="63" s="1"/>
  <c r="M27" i="63"/>
  <c r="M28" i="63"/>
  <c r="M29" i="63"/>
  <c r="N29" i="63" s="1"/>
  <c r="O29" i="63" s="1"/>
  <c r="M30" i="63"/>
  <c r="N30" i="63" s="1"/>
  <c r="O30" i="63" s="1"/>
  <c r="M31" i="63"/>
  <c r="M32" i="63"/>
  <c r="M33" i="63"/>
  <c r="N33" i="63" s="1"/>
  <c r="O33" i="63" s="1"/>
  <c r="M34" i="63"/>
  <c r="N34" i="63" s="1"/>
  <c r="O34" i="63" s="1"/>
  <c r="M35" i="63"/>
  <c r="M36" i="63"/>
  <c r="M37" i="63"/>
  <c r="N37" i="63" s="1"/>
  <c r="O37" i="63" s="1"/>
  <c r="M4" i="64"/>
  <c r="N4" i="64" s="1"/>
  <c r="M5" i="64"/>
  <c r="N5" i="64" s="1"/>
  <c r="M6" i="64"/>
  <c r="N6" i="64" s="1"/>
  <c r="M7" i="64"/>
  <c r="N7" i="64" s="1"/>
  <c r="M8" i="64"/>
  <c r="N8" i="64" s="1"/>
  <c r="M9" i="64"/>
  <c r="N9" i="64" s="1"/>
  <c r="M10" i="64"/>
  <c r="N10" i="64" s="1"/>
  <c r="M11" i="64"/>
  <c r="N11" i="64" s="1"/>
  <c r="M12" i="64"/>
  <c r="N12" i="64" s="1"/>
  <c r="M13" i="64"/>
  <c r="N13" i="64" s="1"/>
  <c r="M14" i="64"/>
  <c r="N14" i="64" s="1"/>
  <c r="M15" i="64"/>
  <c r="N15" i="64" s="1"/>
  <c r="M16" i="64"/>
  <c r="N16" i="64" s="1"/>
  <c r="M17" i="64"/>
  <c r="N17" i="64" s="1"/>
  <c r="M18" i="64"/>
  <c r="N18" i="64" s="1"/>
  <c r="M19" i="64"/>
  <c r="N19" i="64" s="1"/>
  <c r="M20" i="64"/>
  <c r="N20" i="64" s="1"/>
  <c r="M21" i="64"/>
  <c r="N21" i="64" s="1"/>
  <c r="M22" i="64"/>
  <c r="N22" i="64" s="1"/>
  <c r="M23" i="64"/>
  <c r="N23" i="64" s="1"/>
  <c r="M24" i="64"/>
  <c r="N24" i="64" s="1"/>
  <c r="M25" i="64"/>
  <c r="N25" i="64" s="1"/>
  <c r="M26" i="64"/>
  <c r="N26" i="64" s="1"/>
  <c r="M27" i="64"/>
  <c r="N27" i="64" s="1"/>
  <c r="M28" i="64"/>
  <c r="N28" i="64" s="1"/>
  <c r="M29" i="64"/>
  <c r="N29" i="64" s="1"/>
  <c r="M30" i="64"/>
  <c r="N30" i="64" s="1"/>
  <c r="M31" i="64"/>
  <c r="N31" i="64" s="1"/>
  <c r="M32" i="64"/>
  <c r="N32" i="64" s="1"/>
  <c r="M33" i="64"/>
  <c r="N33" i="64" s="1"/>
  <c r="M34" i="64"/>
  <c r="N34" i="64" s="1"/>
  <c r="M35" i="64"/>
  <c r="N35" i="64" s="1"/>
  <c r="M36" i="64"/>
  <c r="N36" i="64" s="1"/>
  <c r="M37" i="64"/>
  <c r="N37" i="64" s="1"/>
  <c r="M3" i="64"/>
  <c r="N3" i="64" s="1"/>
  <c r="D3" i="64"/>
  <c r="C3" i="64"/>
  <c r="I4" i="68" l="1"/>
  <c r="P31" i="67"/>
  <c r="Q18" i="65" s="1"/>
  <c r="P36" i="65"/>
  <c r="P10" i="65"/>
  <c r="H4" i="68"/>
  <c r="G4" i="68"/>
  <c r="F4" i="68"/>
  <c r="F5" i="68"/>
  <c r="H5" i="68"/>
  <c r="I5" i="68"/>
  <c r="E6" i="68"/>
  <c r="G6" i="68" s="1"/>
  <c r="G5" i="68"/>
  <c r="B42" i="64"/>
  <c r="O37" i="64"/>
  <c r="O35" i="64"/>
  <c r="O34" i="64"/>
  <c r="O33" i="64"/>
  <c r="O26" i="64"/>
  <c r="O23" i="64"/>
  <c r="O22" i="64"/>
  <c r="O20" i="64"/>
  <c r="O18" i="64"/>
  <c r="O14" i="64"/>
  <c r="O13" i="64"/>
  <c r="O10" i="64"/>
  <c r="O9" i="64"/>
  <c r="O3" i="64"/>
  <c r="M3" i="63"/>
  <c r="N3" i="63" s="1"/>
  <c r="D3" i="63"/>
  <c r="C3" i="63"/>
  <c r="E7" i="68" l="1"/>
  <c r="I6" i="68"/>
  <c r="F6" i="68"/>
  <c r="H6" i="68"/>
  <c r="O36" i="64"/>
  <c r="O15" i="64"/>
  <c r="O6" i="64"/>
  <c r="O19" i="64"/>
  <c r="O5" i="64"/>
  <c r="O17" i="64"/>
  <c r="O7" i="64"/>
  <c r="O11" i="64"/>
  <c r="O24" i="64"/>
  <c r="O30" i="64"/>
  <c r="O31" i="64"/>
  <c r="O29" i="64"/>
  <c r="O21" i="64"/>
  <c r="O12" i="64"/>
  <c r="O27" i="64"/>
  <c r="O28" i="64"/>
  <c r="O3" i="63"/>
  <c r="E4" i="61"/>
  <c r="E5" i="61"/>
  <c r="E6" i="61"/>
  <c r="E7" i="61"/>
  <c r="E8" i="61"/>
  <c r="E9" i="61"/>
  <c r="E10" i="61"/>
  <c r="E11" i="61"/>
  <c r="E12" i="61"/>
  <c r="E13" i="61"/>
  <c r="E14" i="61"/>
  <c r="E15" i="61"/>
  <c r="E16" i="61"/>
  <c r="E17" i="61"/>
  <c r="E18" i="61"/>
  <c r="E19" i="61"/>
  <c r="E20" i="61"/>
  <c r="E21" i="61"/>
  <c r="E22" i="61"/>
  <c r="E23" i="61"/>
  <c r="E24" i="61"/>
  <c r="E25" i="61"/>
  <c r="E26" i="61"/>
  <c r="E27" i="61"/>
  <c r="E28" i="61"/>
  <c r="E29" i="61"/>
  <c r="E30" i="61"/>
  <c r="E31" i="61"/>
  <c r="E32" i="61"/>
  <c r="E33" i="61"/>
  <c r="E34" i="61"/>
  <c r="E35" i="61"/>
  <c r="E36" i="61"/>
  <c r="E37" i="61"/>
  <c r="E3" i="61"/>
  <c r="D4" i="61"/>
  <c r="D5" i="61"/>
  <c r="D6" i="61"/>
  <c r="D7" i="61"/>
  <c r="D8" i="61"/>
  <c r="D9" i="61"/>
  <c r="D10" i="61"/>
  <c r="D11" i="61"/>
  <c r="D12" i="61"/>
  <c r="D13" i="61"/>
  <c r="D14" i="61"/>
  <c r="D15" i="61"/>
  <c r="D16" i="61"/>
  <c r="D17" i="61"/>
  <c r="D18" i="61"/>
  <c r="D19" i="61"/>
  <c r="D20" i="61"/>
  <c r="D21" i="61"/>
  <c r="D22" i="61"/>
  <c r="D23" i="61"/>
  <c r="D24" i="61"/>
  <c r="D25" i="61"/>
  <c r="D26" i="61"/>
  <c r="D27" i="61"/>
  <c r="D28" i="61"/>
  <c r="D29" i="61"/>
  <c r="D30" i="61"/>
  <c r="D31" i="61"/>
  <c r="D32" i="61"/>
  <c r="D33" i="61"/>
  <c r="D34" i="61"/>
  <c r="D35" i="61"/>
  <c r="D36" i="61"/>
  <c r="D37" i="61"/>
  <c r="D3" i="61"/>
  <c r="C4" i="61"/>
  <c r="C5" i="61"/>
  <c r="C6" i="61"/>
  <c r="C7" i="61"/>
  <c r="C8" i="61"/>
  <c r="C9" i="61"/>
  <c r="C10" i="61"/>
  <c r="C11" i="61"/>
  <c r="C12" i="61"/>
  <c r="C13" i="61"/>
  <c r="C14" i="61"/>
  <c r="C15" i="61"/>
  <c r="C16" i="61"/>
  <c r="C17" i="61"/>
  <c r="C18" i="61"/>
  <c r="C19" i="61"/>
  <c r="C20" i="61"/>
  <c r="C21" i="61"/>
  <c r="C22" i="61"/>
  <c r="C23" i="61"/>
  <c r="C24" i="61"/>
  <c r="C25" i="61"/>
  <c r="C26" i="61"/>
  <c r="C27" i="61"/>
  <c r="C28" i="61"/>
  <c r="C29" i="61"/>
  <c r="C30" i="61"/>
  <c r="C31" i="61"/>
  <c r="C32" i="61"/>
  <c r="C33" i="61"/>
  <c r="C34" i="61"/>
  <c r="C35" i="61"/>
  <c r="C36" i="61"/>
  <c r="C37" i="61"/>
  <c r="C3" i="61"/>
  <c r="R4" i="61"/>
  <c r="R5" i="61"/>
  <c r="R11" i="61"/>
  <c r="R12" i="61"/>
  <c r="S12" i="61" s="1"/>
  <c r="R13" i="61"/>
  <c r="R19" i="61"/>
  <c r="R20" i="61"/>
  <c r="R21" i="61"/>
  <c r="R27" i="61"/>
  <c r="R28" i="61"/>
  <c r="R29" i="61"/>
  <c r="R35" i="61"/>
  <c r="R36" i="61"/>
  <c r="R37" i="61"/>
  <c r="Q4" i="61"/>
  <c r="Q5" i="61"/>
  <c r="Q6" i="61"/>
  <c r="R6" i="61" s="1"/>
  <c r="Q7" i="61"/>
  <c r="R7" i="61" s="1"/>
  <c r="Q8" i="61"/>
  <c r="R8" i="61" s="1"/>
  <c r="Q9" i="61"/>
  <c r="R9" i="61" s="1"/>
  <c r="Q10" i="61"/>
  <c r="R10" i="61" s="1"/>
  <c r="Q11" i="61"/>
  <c r="Q12" i="61"/>
  <c r="Q13" i="61"/>
  <c r="Q14" i="61"/>
  <c r="R14" i="61" s="1"/>
  <c r="Q15" i="61"/>
  <c r="R15" i="61" s="1"/>
  <c r="Q16" i="61"/>
  <c r="R16" i="61" s="1"/>
  <c r="Q17" i="61"/>
  <c r="R17" i="61" s="1"/>
  <c r="Q18" i="61"/>
  <c r="R18" i="61" s="1"/>
  <c r="Q19" i="61"/>
  <c r="Q20" i="61"/>
  <c r="Q21" i="61"/>
  <c r="Q22" i="61"/>
  <c r="R22" i="61" s="1"/>
  <c r="Q23" i="61"/>
  <c r="R23" i="61" s="1"/>
  <c r="S23" i="61" s="1"/>
  <c r="Q24" i="61"/>
  <c r="R24" i="61" s="1"/>
  <c r="S24" i="61" s="1"/>
  <c r="Q25" i="61"/>
  <c r="R25" i="61" s="1"/>
  <c r="Q26" i="61"/>
  <c r="R26" i="61" s="1"/>
  <c r="Q27" i="61"/>
  <c r="Q28" i="61"/>
  <c r="Q29" i="61"/>
  <c r="Q30" i="61"/>
  <c r="R30" i="61" s="1"/>
  <c r="Q31" i="61"/>
  <c r="R31" i="61" s="1"/>
  <c r="Q32" i="61"/>
  <c r="R32" i="61" s="1"/>
  <c r="S32" i="61" s="1"/>
  <c r="Q33" i="61"/>
  <c r="R33" i="61" s="1"/>
  <c r="Q34" i="61"/>
  <c r="R34" i="61" s="1"/>
  <c r="Q35" i="61"/>
  <c r="Q36" i="61"/>
  <c r="Q37" i="61"/>
  <c r="Q3" i="61"/>
  <c r="R3" i="61" s="1"/>
  <c r="O5" i="61"/>
  <c r="O6" i="61"/>
  <c r="P6" i="61" s="1"/>
  <c r="O7" i="61"/>
  <c r="O13" i="61"/>
  <c r="O14" i="61"/>
  <c r="P14" i="61" s="1"/>
  <c r="O15" i="61"/>
  <c r="O21" i="61"/>
  <c r="O22" i="61"/>
  <c r="O23" i="61"/>
  <c r="P23" i="61" s="1"/>
  <c r="O29" i="61"/>
  <c r="O30" i="61"/>
  <c r="P30" i="61" s="1"/>
  <c r="O31" i="61"/>
  <c r="O37" i="61"/>
  <c r="O3" i="61"/>
  <c r="N4" i="61"/>
  <c r="O4" i="61" s="1"/>
  <c r="N5" i="61"/>
  <c r="N6" i="61"/>
  <c r="N7" i="61"/>
  <c r="N8" i="61"/>
  <c r="O8" i="61" s="1"/>
  <c r="N9" i="61"/>
  <c r="O9" i="61" s="1"/>
  <c r="N10" i="61"/>
  <c r="O10" i="61" s="1"/>
  <c r="N11" i="61"/>
  <c r="O11" i="61" s="1"/>
  <c r="P11" i="61" s="1"/>
  <c r="N12" i="61"/>
  <c r="O12" i="61" s="1"/>
  <c r="N13" i="61"/>
  <c r="N14" i="61"/>
  <c r="N15" i="61"/>
  <c r="N16" i="61"/>
  <c r="O16" i="61" s="1"/>
  <c r="N17" i="61"/>
  <c r="O17" i="61" s="1"/>
  <c r="P17" i="61" s="1"/>
  <c r="N18" i="61"/>
  <c r="O18" i="61" s="1"/>
  <c r="P18" i="61" s="1"/>
  <c r="N19" i="61"/>
  <c r="O19" i="61" s="1"/>
  <c r="N20" i="61"/>
  <c r="O20" i="61" s="1"/>
  <c r="N21" i="61"/>
  <c r="N22" i="61"/>
  <c r="N23" i="61"/>
  <c r="N24" i="61"/>
  <c r="O24" i="61" s="1"/>
  <c r="N25" i="61"/>
  <c r="O25" i="61" s="1"/>
  <c r="N26" i="61"/>
  <c r="O26" i="61" s="1"/>
  <c r="N27" i="61"/>
  <c r="O27" i="61" s="1"/>
  <c r="N28" i="61"/>
  <c r="O28" i="61" s="1"/>
  <c r="N29" i="61"/>
  <c r="N30" i="61"/>
  <c r="N31" i="61"/>
  <c r="N32" i="61"/>
  <c r="O32" i="61" s="1"/>
  <c r="N33" i="61"/>
  <c r="O33" i="61" s="1"/>
  <c r="N34" i="61"/>
  <c r="O34" i="61" s="1"/>
  <c r="N35" i="61"/>
  <c r="O35" i="61" s="1"/>
  <c r="N36" i="61"/>
  <c r="O36" i="61" s="1"/>
  <c r="N37" i="61"/>
  <c r="N3" i="61"/>
  <c r="B13" i="61"/>
  <c r="B14" i="61"/>
  <c r="B21" i="61"/>
  <c r="B29" i="61"/>
  <c r="G29" i="61" s="1"/>
  <c r="X29" i="61" s="1"/>
  <c r="B30" i="61"/>
  <c r="G30" i="61" s="1"/>
  <c r="X30" i="61" s="1"/>
  <c r="B37" i="61"/>
  <c r="B38" i="61"/>
  <c r="S35" i="61"/>
  <c r="S11" i="61"/>
  <c r="Q9" i="59"/>
  <c r="P3" i="59"/>
  <c r="Q3" i="59" s="1"/>
  <c r="P5" i="59"/>
  <c r="Q5" i="59" s="1"/>
  <c r="R5" i="59" s="1"/>
  <c r="P6" i="59"/>
  <c r="Q6" i="59" s="1"/>
  <c r="R6" i="59" s="1"/>
  <c r="P7" i="59"/>
  <c r="Q7" i="59" s="1"/>
  <c r="R7" i="59" s="1"/>
  <c r="P8" i="59"/>
  <c r="Q8" i="59" s="1"/>
  <c r="R8" i="59" s="1"/>
  <c r="P9" i="59"/>
  <c r="P10" i="59"/>
  <c r="Q10" i="59" s="1"/>
  <c r="R10" i="59" s="1"/>
  <c r="P11" i="59"/>
  <c r="Q11" i="59" s="1"/>
  <c r="R11" i="59" s="1"/>
  <c r="P12" i="59"/>
  <c r="Q12" i="59" s="1"/>
  <c r="R12" i="59" s="1"/>
  <c r="P13" i="59"/>
  <c r="Q13" i="59" s="1"/>
  <c r="P14" i="59"/>
  <c r="Q14" i="59" s="1"/>
  <c r="R14" i="59" s="1"/>
  <c r="P15" i="59"/>
  <c r="Q15" i="59" s="1"/>
  <c r="P16" i="59"/>
  <c r="Q16" i="59" s="1"/>
  <c r="R16" i="59" s="1"/>
  <c r="P17" i="59"/>
  <c r="Q17" i="59" s="1"/>
  <c r="R17" i="59" s="1"/>
  <c r="P18" i="59"/>
  <c r="Q18" i="59" s="1"/>
  <c r="P19" i="59"/>
  <c r="Q19" i="59" s="1"/>
  <c r="R19" i="59" s="1"/>
  <c r="P20" i="59"/>
  <c r="Q20" i="59" s="1"/>
  <c r="R20" i="59" s="1"/>
  <c r="P21" i="59"/>
  <c r="Q21" i="59" s="1"/>
  <c r="R21" i="59" s="1"/>
  <c r="P22" i="59"/>
  <c r="Q22" i="59" s="1"/>
  <c r="R22" i="59" s="1"/>
  <c r="P23" i="59"/>
  <c r="Q23" i="59" s="1"/>
  <c r="R23" i="59" s="1"/>
  <c r="P24" i="59"/>
  <c r="Q24" i="59" s="1"/>
  <c r="R24" i="59" s="1"/>
  <c r="P25" i="59"/>
  <c r="Q25" i="59" s="1"/>
  <c r="P26" i="59"/>
  <c r="Q26" i="59" s="1"/>
  <c r="R26" i="59" s="1"/>
  <c r="P27" i="59"/>
  <c r="Q27" i="59" s="1"/>
  <c r="P28" i="59"/>
  <c r="P29" i="59"/>
  <c r="Q29" i="59" s="1"/>
  <c r="R29" i="59" s="1"/>
  <c r="P30" i="59"/>
  <c r="Q30" i="59" s="1"/>
  <c r="R30" i="59" s="1"/>
  <c r="P31" i="59"/>
  <c r="Q31" i="59" s="1"/>
  <c r="R31" i="59" s="1"/>
  <c r="P32" i="59"/>
  <c r="Q32" i="59" s="1"/>
  <c r="P33" i="59"/>
  <c r="Q33" i="59" s="1"/>
  <c r="R33" i="59" s="1"/>
  <c r="P34" i="59"/>
  <c r="Q34" i="59" s="1"/>
  <c r="R34" i="59" s="1"/>
  <c r="P35" i="59"/>
  <c r="Q35" i="59" s="1"/>
  <c r="R35" i="59" s="1"/>
  <c r="P36" i="59"/>
  <c r="Q36" i="59" s="1"/>
  <c r="R36" i="59" s="1"/>
  <c r="P37" i="59"/>
  <c r="Q37" i="59" s="1"/>
  <c r="R37" i="59" s="1"/>
  <c r="P38" i="59"/>
  <c r="Q38" i="59" s="1"/>
  <c r="R38" i="59" s="1"/>
  <c r="P39" i="59"/>
  <c r="Q39" i="59" s="1"/>
  <c r="R39" i="59" s="1"/>
  <c r="P40" i="59"/>
  <c r="P41" i="59"/>
  <c r="Q41" i="59" s="1"/>
  <c r="R41" i="59" s="1"/>
  <c r="P42" i="59"/>
  <c r="Q42" i="59" s="1"/>
  <c r="P43" i="59"/>
  <c r="Q43" i="59" s="1"/>
  <c r="P44" i="59"/>
  <c r="Q44" i="59" s="1"/>
  <c r="P45" i="59"/>
  <c r="Q45" i="59" s="1"/>
  <c r="R45" i="59" s="1"/>
  <c r="P46" i="59"/>
  <c r="Q46" i="59" s="1"/>
  <c r="R46" i="59" s="1"/>
  <c r="P47" i="59"/>
  <c r="Q47" i="59" s="1"/>
  <c r="R47" i="59" s="1"/>
  <c r="P48" i="59"/>
  <c r="Q48" i="59" s="1"/>
  <c r="P49" i="59"/>
  <c r="Q49" i="59" s="1"/>
  <c r="P50" i="59"/>
  <c r="Q50" i="59" s="1"/>
  <c r="P51" i="59"/>
  <c r="Q51" i="59" s="1"/>
  <c r="P52" i="59"/>
  <c r="P53" i="59"/>
  <c r="Q53" i="59" s="1"/>
  <c r="R53" i="59" s="1"/>
  <c r="P54" i="59"/>
  <c r="Q54" i="59" s="1"/>
  <c r="P55" i="59"/>
  <c r="Q55" i="59" s="1"/>
  <c r="R55" i="59" s="1"/>
  <c r="P56" i="59"/>
  <c r="Q56" i="59" s="1"/>
  <c r="P57" i="59"/>
  <c r="Q57" i="59" s="1"/>
  <c r="P58" i="59"/>
  <c r="Q58" i="59" s="1"/>
  <c r="R58" i="59" s="1"/>
  <c r="P59" i="59"/>
  <c r="Q59" i="59" s="1"/>
  <c r="R59" i="59" s="1"/>
  <c r="P60" i="59"/>
  <c r="Q60" i="59" s="1"/>
  <c r="P61" i="59"/>
  <c r="Q61" i="59" s="1"/>
  <c r="P62" i="59"/>
  <c r="Q62" i="59" s="1"/>
  <c r="P63" i="59"/>
  <c r="Q63" i="59" s="1"/>
  <c r="P64" i="59"/>
  <c r="P65" i="59"/>
  <c r="Q65" i="59" s="1"/>
  <c r="R65" i="59" s="1"/>
  <c r="P66" i="59"/>
  <c r="Q66" i="59" s="1"/>
  <c r="P67" i="59"/>
  <c r="Q67" i="59" s="1"/>
  <c r="P68" i="59"/>
  <c r="Q68" i="59" s="1"/>
  <c r="P69" i="59"/>
  <c r="Q69" i="59" s="1"/>
  <c r="P70" i="59"/>
  <c r="Q70" i="59" s="1"/>
  <c r="R70" i="59" s="1"/>
  <c r="P71" i="59"/>
  <c r="Q71" i="59" s="1"/>
  <c r="R71" i="59" s="1"/>
  <c r="P72" i="59"/>
  <c r="Q72" i="59" s="1"/>
  <c r="P73" i="59"/>
  <c r="Q73" i="59" s="1"/>
  <c r="R73" i="59" s="1"/>
  <c r="P74" i="59"/>
  <c r="Q74" i="59" s="1"/>
  <c r="R74" i="59" s="1"/>
  <c r="P75" i="59"/>
  <c r="Q75" i="59" s="1"/>
  <c r="P76" i="59"/>
  <c r="P77" i="59"/>
  <c r="Q77" i="59" s="1"/>
  <c r="P78" i="59"/>
  <c r="Q78" i="59" s="1"/>
  <c r="P79" i="59"/>
  <c r="Q79" i="59" s="1"/>
  <c r="P80" i="59"/>
  <c r="Q80" i="59" s="1"/>
  <c r="P81" i="59"/>
  <c r="Q81" i="59" s="1"/>
  <c r="P82" i="59"/>
  <c r="Q82" i="59" s="1"/>
  <c r="R82" i="59" s="1"/>
  <c r="P83" i="59"/>
  <c r="Q83" i="59" s="1"/>
  <c r="R83" i="59" s="1"/>
  <c r="P84" i="59"/>
  <c r="Q84" i="59" s="1"/>
  <c r="P85" i="59"/>
  <c r="Q85" i="59" s="1"/>
  <c r="P86" i="59"/>
  <c r="Q86" i="59" s="1"/>
  <c r="P87" i="59"/>
  <c r="Q87" i="59" s="1"/>
  <c r="P4" i="59"/>
  <c r="Q4" i="59" s="1"/>
  <c r="N4" i="59"/>
  <c r="N5" i="59"/>
  <c r="N12" i="59"/>
  <c r="O12" i="59" s="1"/>
  <c r="N13" i="59"/>
  <c r="O13" i="59" s="1"/>
  <c r="N20" i="59"/>
  <c r="O20" i="59" s="1"/>
  <c r="N21" i="59"/>
  <c r="O21" i="59" s="1"/>
  <c r="N28" i="59"/>
  <c r="O28" i="59" s="1"/>
  <c r="N29" i="59"/>
  <c r="O29" i="59" s="1"/>
  <c r="N36" i="59"/>
  <c r="O36" i="59" s="1"/>
  <c r="N37" i="59"/>
  <c r="N44" i="59"/>
  <c r="O44" i="59" s="1"/>
  <c r="N45" i="59"/>
  <c r="O45" i="59" s="1"/>
  <c r="N52" i="59"/>
  <c r="N53" i="59"/>
  <c r="N60" i="59"/>
  <c r="N61" i="59"/>
  <c r="N68" i="59"/>
  <c r="O68" i="59" s="1"/>
  <c r="N69" i="59"/>
  <c r="O69" i="59" s="1"/>
  <c r="N76" i="59"/>
  <c r="N77" i="59"/>
  <c r="N84" i="59"/>
  <c r="N85" i="59"/>
  <c r="M4" i="59"/>
  <c r="M5" i="59"/>
  <c r="M6" i="59"/>
  <c r="N6" i="59" s="1"/>
  <c r="O6" i="59" s="1"/>
  <c r="M7" i="59"/>
  <c r="N7" i="59" s="1"/>
  <c r="O7" i="59" s="1"/>
  <c r="M8" i="59"/>
  <c r="N8" i="59" s="1"/>
  <c r="M9" i="59"/>
  <c r="N9" i="59" s="1"/>
  <c r="M10" i="59"/>
  <c r="N10" i="59" s="1"/>
  <c r="M11" i="59"/>
  <c r="N11" i="59" s="1"/>
  <c r="M12" i="59"/>
  <c r="M13" i="59"/>
  <c r="M14" i="59"/>
  <c r="M15" i="59"/>
  <c r="N15" i="59" s="1"/>
  <c r="M16" i="59"/>
  <c r="N16" i="59" s="1"/>
  <c r="M17" i="59"/>
  <c r="N17" i="59" s="1"/>
  <c r="O17" i="59" s="1"/>
  <c r="M18" i="59"/>
  <c r="N18" i="59" s="1"/>
  <c r="O18" i="59" s="1"/>
  <c r="M19" i="59"/>
  <c r="N19" i="59" s="1"/>
  <c r="O19" i="59" s="1"/>
  <c r="M20" i="59"/>
  <c r="M21" i="59"/>
  <c r="M22" i="59"/>
  <c r="N22" i="59" s="1"/>
  <c r="M23" i="59"/>
  <c r="N23" i="59" s="1"/>
  <c r="M24" i="59"/>
  <c r="N24" i="59" s="1"/>
  <c r="M25" i="59"/>
  <c r="N25" i="59" s="1"/>
  <c r="O25" i="59" s="1"/>
  <c r="M26" i="59"/>
  <c r="N26" i="59" s="1"/>
  <c r="M27" i="59"/>
  <c r="N27" i="59" s="1"/>
  <c r="M28" i="59"/>
  <c r="M29" i="59"/>
  <c r="M30" i="59"/>
  <c r="N30" i="59" s="1"/>
  <c r="O30" i="59" s="1"/>
  <c r="M31" i="59"/>
  <c r="N31" i="59" s="1"/>
  <c r="M32" i="59"/>
  <c r="N32" i="59" s="1"/>
  <c r="M33" i="59"/>
  <c r="N33" i="59" s="1"/>
  <c r="O33" i="59" s="1"/>
  <c r="M34" i="59"/>
  <c r="N34" i="59" s="1"/>
  <c r="O34" i="59" s="1"/>
  <c r="M35" i="59"/>
  <c r="N35" i="59" s="1"/>
  <c r="M36" i="59"/>
  <c r="M37" i="59"/>
  <c r="M38" i="59"/>
  <c r="M39" i="59"/>
  <c r="N39" i="59" s="1"/>
  <c r="M40" i="59"/>
  <c r="N40" i="59" s="1"/>
  <c r="M41" i="59"/>
  <c r="N41" i="59" s="1"/>
  <c r="M42" i="59"/>
  <c r="N42" i="59" s="1"/>
  <c r="M43" i="59"/>
  <c r="N43" i="59" s="1"/>
  <c r="O43" i="59" s="1"/>
  <c r="M44" i="59"/>
  <c r="M45" i="59"/>
  <c r="M46" i="59"/>
  <c r="N46" i="59" s="1"/>
  <c r="M47" i="59"/>
  <c r="N47" i="59" s="1"/>
  <c r="M48" i="59"/>
  <c r="N48" i="59" s="1"/>
  <c r="M49" i="59"/>
  <c r="N49" i="59" s="1"/>
  <c r="M50" i="59"/>
  <c r="N50" i="59" s="1"/>
  <c r="M51" i="59"/>
  <c r="N51" i="59" s="1"/>
  <c r="M52" i="59"/>
  <c r="M53" i="59"/>
  <c r="M54" i="59"/>
  <c r="N54" i="59" s="1"/>
  <c r="M55" i="59"/>
  <c r="N55" i="59" s="1"/>
  <c r="M56" i="59"/>
  <c r="N56" i="59" s="1"/>
  <c r="M57" i="59"/>
  <c r="N57" i="59" s="1"/>
  <c r="O57" i="59" s="1"/>
  <c r="M58" i="59"/>
  <c r="N58" i="59" s="1"/>
  <c r="M59" i="59"/>
  <c r="N59" i="59" s="1"/>
  <c r="M60" i="59"/>
  <c r="M61" i="59"/>
  <c r="M62" i="59"/>
  <c r="N62" i="59" s="1"/>
  <c r="M63" i="59"/>
  <c r="N63" i="59" s="1"/>
  <c r="M64" i="59"/>
  <c r="N64" i="59" s="1"/>
  <c r="M65" i="59"/>
  <c r="N65" i="59" s="1"/>
  <c r="M66" i="59"/>
  <c r="N66" i="59" s="1"/>
  <c r="M67" i="59"/>
  <c r="N67" i="59" s="1"/>
  <c r="O67" i="59" s="1"/>
  <c r="M68" i="59"/>
  <c r="M69" i="59"/>
  <c r="M70" i="59"/>
  <c r="N70" i="59" s="1"/>
  <c r="M71" i="59"/>
  <c r="N71" i="59" s="1"/>
  <c r="M72" i="59"/>
  <c r="N72" i="59" s="1"/>
  <c r="M73" i="59"/>
  <c r="N73" i="59" s="1"/>
  <c r="M74" i="59"/>
  <c r="N74" i="59" s="1"/>
  <c r="M75" i="59"/>
  <c r="N75" i="59" s="1"/>
  <c r="M76" i="59"/>
  <c r="M77" i="59"/>
  <c r="M78" i="59"/>
  <c r="N78" i="59" s="1"/>
  <c r="M79" i="59"/>
  <c r="N79" i="59" s="1"/>
  <c r="M80" i="59"/>
  <c r="N80" i="59" s="1"/>
  <c r="M81" i="59"/>
  <c r="N81" i="59" s="1"/>
  <c r="M82" i="59"/>
  <c r="N82" i="59" s="1"/>
  <c r="M83" i="59"/>
  <c r="N83" i="59" s="1"/>
  <c r="M84" i="59"/>
  <c r="M85" i="59"/>
  <c r="M86" i="59"/>
  <c r="N86" i="59" s="1"/>
  <c r="M87" i="59"/>
  <c r="N87" i="59" s="1"/>
  <c r="M3" i="59"/>
  <c r="N3" i="59" s="1"/>
  <c r="D4" i="59"/>
  <c r="D5" i="59"/>
  <c r="D6" i="59"/>
  <c r="D7" i="59"/>
  <c r="D8" i="59"/>
  <c r="D9" i="59"/>
  <c r="D10" i="59"/>
  <c r="D11" i="59"/>
  <c r="D12" i="59"/>
  <c r="D13" i="59"/>
  <c r="D14" i="59"/>
  <c r="D15" i="59"/>
  <c r="D16" i="59"/>
  <c r="D17" i="59"/>
  <c r="D18" i="59"/>
  <c r="D19" i="59"/>
  <c r="D20" i="59"/>
  <c r="D21" i="59"/>
  <c r="D22" i="59"/>
  <c r="D23" i="59"/>
  <c r="D24" i="59"/>
  <c r="D25" i="59"/>
  <c r="D26" i="59"/>
  <c r="D27" i="59"/>
  <c r="D28" i="59"/>
  <c r="D29" i="59"/>
  <c r="D30" i="59"/>
  <c r="D31" i="59"/>
  <c r="D32" i="59"/>
  <c r="D33" i="59"/>
  <c r="D34" i="59"/>
  <c r="D35" i="59"/>
  <c r="D36" i="59"/>
  <c r="D37" i="59"/>
  <c r="D38" i="59"/>
  <c r="D39" i="59"/>
  <c r="D40" i="59"/>
  <c r="D41" i="59"/>
  <c r="D42" i="59"/>
  <c r="D43" i="59"/>
  <c r="D44" i="59"/>
  <c r="D45" i="59"/>
  <c r="D46" i="59"/>
  <c r="D47" i="59"/>
  <c r="D48" i="59"/>
  <c r="D49" i="59"/>
  <c r="D50" i="59"/>
  <c r="D51" i="59"/>
  <c r="D52" i="59"/>
  <c r="D53" i="59"/>
  <c r="D54" i="59"/>
  <c r="D55" i="59"/>
  <c r="D56" i="59"/>
  <c r="D57" i="59"/>
  <c r="D58" i="59"/>
  <c r="D59" i="59"/>
  <c r="F59" i="59" s="1"/>
  <c r="W59" i="59" s="1"/>
  <c r="D60" i="59"/>
  <c r="F60" i="59" s="1"/>
  <c r="W60" i="59" s="1"/>
  <c r="D61" i="59"/>
  <c r="D62" i="59"/>
  <c r="D63" i="59"/>
  <c r="D64" i="59"/>
  <c r="D65" i="59"/>
  <c r="D66" i="59"/>
  <c r="D67" i="59"/>
  <c r="D68" i="59"/>
  <c r="F68" i="59" s="1"/>
  <c r="D69" i="59"/>
  <c r="D70" i="59"/>
  <c r="D71" i="59"/>
  <c r="D72" i="59"/>
  <c r="D73" i="59"/>
  <c r="D74" i="59"/>
  <c r="D75" i="59"/>
  <c r="D76" i="59"/>
  <c r="D77" i="59"/>
  <c r="D78" i="59"/>
  <c r="D79" i="59"/>
  <c r="D80" i="59"/>
  <c r="D81" i="59"/>
  <c r="D82" i="59"/>
  <c r="D83" i="59"/>
  <c r="D84" i="59"/>
  <c r="D85" i="59"/>
  <c r="D86" i="59"/>
  <c r="D87" i="59"/>
  <c r="D3" i="59"/>
  <c r="C3" i="59"/>
  <c r="C4" i="59"/>
  <c r="C5" i="59"/>
  <c r="C6" i="59"/>
  <c r="C7" i="59"/>
  <c r="C8" i="59"/>
  <c r="C9" i="59"/>
  <c r="C10" i="59"/>
  <c r="C11" i="59"/>
  <c r="C12" i="59"/>
  <c r="C13" i="59"/>
  <c r="C14" i="59"/>
  <c r="C15" i="59"/>
  <c r="C16" i="59"/>
  <c r="C17" i="59"/>
  <c r="C18" i="59"/>
  <c r="C19" i="59"/>
  <c r="C20" i="59"/>
  <c r="C21" i="59"/>
  <c r="C22" i="59"/>
  <c r="C23" i="59"/>
  <c r="C24" i="59"/>
  <c r="C25" i="59"/>
  <c r="C26" i="59"/>
  <c r="C27" i="59"/>
  <c r="C28" i="59"/>
  <c r="C29" i="59"/>
  <c r="C30" i="59"/>
  <c r="C31" i="59"/>
  <c r="C32" i="59"/>
  <c r="C33" i="59"/>
  <c r="C34" i="59"/>
  <c r="C35" i="59"/>
  <c r="C36" i="59"/>
  <c r="C37" i="59"/>
  <c r="C38" i="59"/>
  <c r="C39" i="59"/>
  <c r="C40" i="59"/>
  <c r="C41" i="59"/>
  <c r="C42" i="59"/>
  <c r="C43" i="59"/>
  <c r="C44" i="59"/>
  <c r="C45" i="59"/>
  <c r="C46" i="59"/>
  <c r="C47" i="59"/>
  <c r="C48" i="59"/>
  <c r="C49" i="59"/>
  <c r="C50" i="59"/>
  <c r="C51" i="59"/>
  <c r="C52" i="59"/>
  <c r="C54" i="59"/>
  <c r="C87" i="59"/>
  <c r="C86" i="59"/>
  <c r="C85" i="59"/>
  <c r="C84" i="59"/>
  <c r="C83" i="59"/>
  <c r="C82" i="59"/>
  <c r="C81" i="59"/>
  <c r="C80" i="59"/>
  <c r="C79" i="59"/>
  <c r="C78" i="59"/>
  <c r="C77" i="59"/>
  <c r="C76" i="59"/>
  <c r="C75" i="59"/>
  <c r="C74" i="59"/>
  <c r="C73" i="59"/>
  <c r="C72" i="59"/>
  <c r="C71" i="59"/>
  <c r="C70" i="59"/>
  <c r="C69" i="59"/>
  <c r="C68" i="59"/>
  <c r="C67" i="59"/>
  <c r="C66" i="59"/>
  <c r="C65" i="59"/>
  <c r="C64" i="59"/>
  <c r="C63" i="59"/>
  <c r="C62" i="59"/>
  <c r="C61" i="59"/>
  <c r="C60" i="59"/>
  <c r="C59" i="59"/>
  <c r="C58" i="59"/>
  <c r="C57" i="59"/>
  <c r="C56" i="59"/>
  <c r="C55" i="59"/>
  <c r="C53" i="59"/>
  <c r="C3" i="44"/>
  <c r="B57" i="59"/>
  <c r="F57" i="59" s="1"/>
  <c r="B58" i="59"/>
  <c r="B59" i="59"/>
  <c r="B65" i="59"/>
  <c r="B66" i="59"/>
  <c r="F66" i="59" s="1"/>
  <c r="W66" i="59" s="1"/>
  <c r="B67" i="59"/>
  <c r="B74" i="59"/>
  <c r="B75" i="59"/>
  <c r="B81" i="59"/>
  <c r="F81" i="59" s="1"/>
  <c r="W81" i="59" s="1"/>
  <c r="B82" i="59"/>
  <c r="B83" i="59"/>
  <c r="B91" i="59"/>
  <c r="F75" i="59"/>
  <c r="W75" i="59" s="1"/>
  <c r="F83" i="59"/>
  <c r="W83" i="59" s="1"/>
  <c r="F77" i="59"/>
  <c r="W77" i="59" s="1"/>
  <c r="F65" i="59"/>
  <c r="W65" i="59" s="1"/>
  <c r="R32" i="59"/>
  <c r="O32" i="59"/>
  <c r="O24" i="59"/>
  <c r="R18" i="59"/>
  <c r="R9" i="59"/>
  <c r="O9" i="59"/>
  <c r="R4" i="59"/>
  <c r="R3" i="59"/>
  <c r="F33" i="34"/>
  <c r="B33" i="61" s="1"/>
  <c r="F34" i="34"/>
  <c r="B84" i="59" s="1"/>
  <c r="F35" i="34"/>
  <c r="B85" i="59" s="1"/>
  <c r="F36" i="34"/>
  <c r="B86" i="59" s="1"/>
  <c r="F37" i="34"/>
  <c r="B87" i="59" s="1"/>
  <c r="F38" i="34"/>
  <c r="B88" i="59" s="1"/>
  <c r="F39" i="34"/>
  <c r="F40" i="34"/>
  <c r="B40" i="61" s="1"/>
  <c r="F41" i="34"/>
  <c r="B41" i="61" s="1"/>
  <c r="F42" i="34"/>
  <c r="B92" i="59" s="1"/>
  <c r="F32" i="34"/>
  <c r="B32" i="61" s="1"/>
  <c r="G32" i="61" s="1"/>
  <c r="X32" i="61" s="1"/>
  <c r="F31" i="34"/>
  <c r="B31" i="61" s="1"/>
  <c r="F30" i="34"/>
  <c r="B80" i="59" s="1"/>
  <c r="F80" i="59" s="1"/>
  <c r="F21" i="34"/>
  <c r="B71" i="59" s="1"/>
  <c r="F71" i="59" s="1"/>
  <c r="W71" i="59" s="1"/>
  <c r="F22" i="34"/>
  <c r="F23" i="34"/>
  <c r="F24" i="34"/>
  <c r="B24" i="61" s="1"/>
  <c r="F25" i="34"/>
  <c r="B25" i="61" s="1"/>
  <c r="F26" i="34"/>
  <c r="B76" i="59" s="1"/>
  <c r="F27" i="34"/>
  <c r="B77" i="59" s="1"/>
  <c r="F28" i="34"/>
  <c r="B78" i="59" s="1"/>
  <c r="F78" i="59" s="1"/>
  <c r="W78" i="59" s="1"/>
  <c r="F29" i="34"/>
  <c r="B79" i="59" s="1"/>
  <c r="F79" i="59" s="1"/>
  <c r="F20" i="34"/>
  <c r="F19" i="34"/>
  <c r="F15" i="34"/>
  <c r="B15" i="61" s="1"/>
  <c r="F16" i="34"/>
  <c r="B16" i="61" s="1"/>
  <c r="F17" i="34"/>
  <c r="B17" i="61" s="1"/>
  <c r="G17" i="61" s="1"/>
  <c r="X17" i="61" s="1"/>
  <c r="F18" i="34"/>
  <c r="B68" i="59" s="1"/>
  <c r="F14" i="34"/>
  <c r="B64" i="59" s="1"/>
  <c r="F64" i="59" s="1"/>
  <c r="W64" i="59" s="1"/>
  <c r="F13" i="34"/>
  <c r="B63" i="59" s="1"/>
  <c r="F63" i="59" s="1"/>
  <c r="F5" i="34"/>
  <c r="F6" i="34"/>
  <c r="F7" i="34"/>
  <c r="B7" i="61" s="1"/>
  <c r="G7" i="61" s="1"/>
  <c r="X7" i="61" s="1"/>
  <c r="F8" i="34"/>
  <c r="B8" i="61" s="1"/>
  <c r="G8" i="61" s="1"/>
  <c r="X8" i="61" s="1"/>
  <c r="F9" i="34"/>
  <c r="B9" i="61" s="1"/>
  <c r="G9" i="61" s="1"/>
  <c r="X9" i="61" s="1"/>
  <c r="F10" i="34"/>
  <c r="B60" i="59" s="1"/>
  <c r="F11" i="34"/>
  <c r="B61" i="59" s="1"/>
  <c r="F12" i="34"/>
  <c r="B62" i="59" s="1"/>
  <c r="F4" i="34"/>
  <c r="F3" i="34"/>
  <c r="D4" i="40"/>
  <c r="D5" i="40"/>
  <c r="D6" i="40"/>
  <c r="D7" i="40"/>
  <c r="D8" i="40"/>
  <c r="D9" i="40"/>
  <c r="D10" i="40"/>
  <c r="D11" i="40"/>
  <c r="D12" i="40"/>
  <c r="D13" i="40"/>
  <c r="D14" i="40"/>
  <c r="D15" i="40"/>
  <c r="D16" i="40"/>
  <c r="D17" i="40"/>
  <c r="D18" i="40"/>
  <c r="D19" i="40"/>
  <c r="D20" i="40"/>
  <c r="D21" i="40"/>
  <c r="D22" i="40"/>
  <c r="D23" i="40"/>
  <c r="D24" i="40"/>
  <c r="D25" i="40"/>
  <c r="D26" i="40"/>
  <c r="D27" i="40"/>
  <c r="D28" i="40"/>
  <c r="D29" i="40"/>
  <c r="D30" i="40"/>
  <c r="D31" i="40"/>
  <c r="D32" i="40"/>
  <c r="D33" i="40"/>
  <c r="D34" i="40"/>
  <c r="D35" i="40"/>
  <c r="D36" i="40"/>
  <c r="D37" i="40"/>
  <c r="D38" i="40"/>
  <c r="D39" i="40"/>
  <c r="D40" i="40"/>
  <c r="D41" i="40"/>
  <c r="D3" i="40"/>
  <c r="D37" i="44"/>
  <c r="D36" i="44"/>
  <c r="D35" i="44"/>
  <c r="D34" i="44"/>
  <c r="D33" i="44"/>
  <c r="D32" i="44"/>
  <c r="D31" i="44"/>
  <c r="D30" i="44"/>
  <c r="D29" i="44"/>
  <c r="D28" i="44"/>
  <c r="D27" i="44"/>
  <c r="D26" i="44"/>
  <c r="D25" i="44"/>
  <c r="D24" i="44"/>
  <c r="D23" i="44"/>
  <c r="D22" i="44"/>
  <c r="D21" i="44"/>
  <c r="D20" i="44"/>
  <c r="D19" i="44"/>
  <c r="D18" i="44"/>
  <c r="D17" i="44"/>
  <c r="D16" i="44"/>
  <c r="D15" i="44"/>
  <c r="D14" i="44"/>
  <c r="D13" i="44"/>
  <c r="D12" i="44"/>
  <c r="D11" i="44"/>
  <c r="D10" i="44"/>
  <c r="D9" i="44"/>
  <c r="D8" i="44"/>
  <c r="D7" i="44"/>
  <c r="D6" i="44"/>
  <c r="D5" i="44"/>
  <c r="D4" i="44"/>
  <c r="D3" i="44"/>
  <c r="C37" i="44"/>
  <c r="C36" i="44"/>
  <c r="C35" i="44"/>
  <c r="C34" i="44"/>
  <c r="C33" i="44"/>
  <c r="C32" i="44"/>
  <c r="C31" i="44"/>
  <c r="C30" i="44"/>
  <c r="C29" i="44"/>
  <c r="C28" i="44"/>
  <c r="C27" i="44"/>
  <c r="C26" i="44"/>
  <c r="C25" i="44"/>
  <c r="C24" i="44"/>
  <c r="C23" i="44"/>
  <c r="C22" i="44"/>
  <c r="C21" i="44"/>
  <c r="C20" i="44"/>
  <c r="C19" i="44"/>
  <c r="C18" i="44"/>
  <c r="C17" i="44"/>
  <c r="C16" i="44"/>
  <c r="C15" i="44"/>
  <c r="C14" i="44"/>
  <c r="C13" i="44"/>
  <c r="C12" i="44"/>
  <c r="C11" i="44"/>
  <c r="C10" i="44"/>
  <c r="C9" i="44"/>
  <c r="C8" i="44"/>
  <c r="C7" i="44"/>
  <c r="C6" i="44"/>
  <c r="C5" i="44"/>
  <c r="C4" i="44"/>
  <c r="C3" i="40"/>
  <c r="C4" i="40"/>
  <c r="C5" i="40"/>
  <c r="C6" i="40"/>
  <c r="C7" i="40"/>
  <c r="C8" i="40"/>
  <c r="C9" i="40"/>
  <c r="C10" i="40"/>
  <c r="C11" i="40"/>
  <c r="C12" i="40"/>
  <c r="C13" i="40"/>
  <c r="C14" i="40"/>
  <c r="C15" i="40"/>
  <c r="C16" i="40"/>
  <c r="C17" i="40"/>
  <c r="C18" i="40"/>
  <c r="C19" i="40"/>
  <c r="C20" i="40"/>
  <c r="C21" i="40"/>
  <c r="C22" i="40"/>
  <c r="C23" i="40"/>
  <c r="C24" i="40"/>
  <c r="C25" i="40"/>
  <c r="C26" i="40"/>
  <c r="C27" i="40"/>
  <c r="C28" i="40"/>
  <c r="C29" i="40"/>
  <c r="C30" i="40"/>
  <c r="C31" i="40"/>
  <c r="C32" i="40"/>
  <c r="C33" i="40"/>
  <c r="C34" i="40"/>
  <c r="C35" i="40"/>
  <c r="C36" i="40"/>
  <c r="C37" i="40"/>
  <c r="C38" i="40"/>
  <c r="C39" i="40"/>
  <c r="C40" i="40"/>
  <c r="C41" i="40"/>
  <c r="B5" i="61" l="1"/>
  <c r="G5" i="61" s="1"/>
  <c r="X5" i="61" s="1"/>
  <c r="B55" i="59"/>
  <c r="F55" i="59" s="1"/>
  <c r="F76" i="59"/>
  <c r="W76" i="59" s="1"/>
  <c r="G10" i="61"/>
  <c r="F10" i="61" s="1"/>
  <c r="H10" i="61" s="1"/>
  <c r="J10" i="61" s="1"/>
  <c r="L10" i="61" s="1"/>
  <c r="T10" i="61" s="1"/>
  <c r="B70" i="59"/>
  <c r="B20" i="61"/>
  <c r="G20" i="61" s="1"/>
  <c r="X20" i="61" s="1"/>
  <c r="B23" i="61"/>
  <c r="B73" i="59"/>
  <c r="B56" i="59"/>
  <c r="F56" i="59" s="1"/>
  <c r="B6" i="61"/>
  <c r="G6" i="61" s="1"/>
  <c r="X6" i="61" s="1"/>
  <c r="F67" i="59"/>
  <c r="B53" i="59"/>
  <c r="B3" i="61"/>
  <c r="B72" i="59"/>
  <c r="B22" i="61"/>
  <c r="G22" i="61" s="1"/>
  <c r="F22" i="61" s="1"/>
  <c r="H22" i="61" s="1"/>
  <c r="J22" i="61" s="1"/>
  <c r="L22" i="61" s="1"/>
  <c r="T22" i="61" s="1"/>
  <c r="B90" i="59"/>
  <c r="O80" i="59"/>
  <c r="B69" i="59"/>
  <c r="F69" i="59" s="1"/>
  <c r="W69" i="59" s="1"/>
  <c r="B19" i="61"/>
  <c r="G19" i="61" s="1"/>
  <c r="X19" i="61" s="1"/>
  <c r="B54" i="59"/>
  <c r="F54" i="59" s="1"/>
  <c r="W54" i="59" s="1"/>
  <c r="B4" i="61"/>
  <c r="G4" i="61" s="1"/>
  <c r="X4" i="61" s="1"/>
  <c r="B39" i="61"/>
  <c r="B89" i="59"/>
  <c r="O79" i="59"/>
  <c r="O38" i="59"/>
  <c r="O14" i="59"/>
  <c r="R64" i="59"/>
  <c r="R40" i="59"/>
  <c r="Q64" i="59"/>
  <c r="Q40" i="59"/>
  <c r="B36" i="61"/>
  <c r="B28" i="61"/>
  <c r="G28" i="61" s="1"/>
  <c r="X28" i="61" s="1"/>
  <c r="B12" i="61"/>
  <c r="B35" i="61"/>
  <c r="G35" i="61" s="1"/>
  <c r="B27" i="61"/>
  <c r="B11" i="61"/>
  <c r="G11" i="61" s="1"/>
  <c r="F11" i="61" s="1"/>
  <c r="I11" i="61" s="1"/>
  <c r="K11" i="61" s="1"/>
  <c r="M11" i="61" s="1"/>
  <c r="B42" i="61"/>
  <c r="B34" i="61"/>
  <c r="G34" i="61" s="1"/>
  <c r="F34" i="61" s="1"/>
  <c r="B26" i="61"/>
  <c r="B18" i="61"/>
  <c r="G18" i="61" s="1"/>
  <c r="B10" i="61"/>
  <c r="G15" i="61"/>
  <c r="F87" i="59"/>
  <c r="W87" i="59" s="1"/>
  <c r="F86" i="59"/>
  <c r="W86" i="59" s="1"/>
  <c r="F70" i="59"/>
  <c r="W70" i="59" s="1"/>
  <c r="F62" i="59"/>
  <c r="Q76" i="59"/>
  <c r="R76" i="59" s="1"/>
  <c r="Q52" i="59"/>
  <c r="R52" i="59" s="1"/>
  <c r="Q28" i="59"/>
  <c r="R28" i="59" s="1"/>
  <c r="F74" i="59"/>
  <c r="N38" i="59"/>
  <c r="N14" i="59"/>
  <c r="G12" i="61"/>
  <c r="X12" i="61" s="1"/>
  <c r="F7" i="68"/>
  <c r="H7" i="68"/>
  <c r="G7" i="68"/>
  <c r="I7" i="68"/>
  <c r="E8" i="68"/>
  <c r="O32" i="64"/>
  <c r="O25" i="64"/>
  <c r="O4" i="64"/>
  <c r="O16" i="64"/>
  <c r="O8" i="64"/>
  <c r="S15" i="61"/>
  <c r="S37" i="61"/>
  <c r="P26" i="61"/>
  <c r="F28" i="61"/>
  <c r="G36" i="61"/>
  <c r="X36" i="61" s="1"/>
  <c r="F29" i="61"/>
  <c r="I29" i="61" s="1"/>
  <c r="K29" i="61" s="1"/>
  <c r="M29" i="61" s="1"/>
  <c r="F35" i="61"/>
  <c r="H35" i="61" s="1"/>
  <c r="J35" i="61" s="1"/>
  <c r="L35" i="61" s="1"/>
  <c r="T35" i="61" s="1"/>
  <c r="AD35" i="61" s="1"/>
  <c r="F5" i="61"/>
  <c r="H5" i="61" s="1"/>
  <c r="J5" i="61" s="1"/>
  <c r="L5" i="61" s="1"/>
  <c r="T5" i="61" s="1"/>
  <c r="F4" i="61"/>
  <c r="H4" i="61" s="1"/>
  <c r="J4" i="61" s="1"/>
  <c r="L4" i="61" s="1"/>
  <c r="T4" i="61" s="1"/>
  <c r="G14" i="61"/>
  <c r="X14" i="61" s="1"/>
  <c r="F17" i="61"/>
  <c r="H17" i="61" s="1"/>
  <c r="J17" i="61" s="1"/>
  <c r="L17" i="61" s="1"/>
  <c r="T17" i="61" s="1"/>
  <c r="AA17" i="61" s="1"/>
  <c r="F32" i="61"/>
  <c r="I32" i="61" s="1"/>
  <c r="K32" i="61" s="1"/>
  <c r="M32" i="61" s="1"/>
  <c r="G31" i="61"/>
  <c r="X31" i="61" s="1"/>
  <c r="G16" i="61"/>
  <c r="G25" i="61"/>
  <c r="X25" i="61" s="1"/>
  <c r="I10" i="61"/>
  <c r="K10" i="61" s="1"/>
  <c r="M10" i="61" s="1"/>
  <c r="V10" i="61" s="1"/>
  <c r="I22" i="61"/>
  <c r="K22" i="61" s="1"/>
  <c r="M22" i="61" s="1"/>
  <c r="V22" i="61" s="1"/>
  <c r="Y22" i="61" s="1"/>
  <c r="F30" i="61"/>
  <c r="I30" i="61" s="1"/>
  <c r="K30" i="61" s="1"/>
  <c r="M30" i="61" s="1"/>
  <c r="V30" i="61" s="1"/>
  <c r="G24" i="61"/>
  <c r="X24" i="61" s="1"/>
  <c r="G27" i="61"/>
  <c r="F27" i="61" s="1"/>
  <c r="X34" i="61"/>
  <c r="G26" i="61"/>
  <c r="X26" i="61" s="1"/>
  <c r="G3" i="61"/>
  <c r="X3" i="61" s="1"/>
  <c r="F20" i="61"/>
  <c r="I20" i="61" s="1"/>
  <c r="K20" i="61" s="1"/>
  <c r="M20" i="61" s="1"/>
  <c r="G23" i="61"/>
  <c r="F23" i="61" s="1"/>
  <c r="X10" i="61"/>
  <c r="X22" i="61"/>
  <c r="P3" i="61"/>
  <c r="I4" i="61"/>
  <c r="K4" i="61" s="1"/>
  <c r="M4" i="61" s="1"/>
  <c r="P20" i="61"/>
  <c r="S27" i="61"/>
  <c r="P19" i="61"/>
  <c r="S26" i="61"/>
  <c r="S29" i="61"/>
  <c r="S31" i="61"/>
  <c r="P4" i="61"/>
  <c r="S3" i="61"/>
  <c r="P10" i="61"/>
  <c r="AA10" i="61" s="1"/>
  <c r="S4" i="61"/>
  <c r="P5" i="61"/>
  <c r="S13" i="61"/>
  <c r="P15" i="61"/>
  <c r="G21" i="61"/>
  <c r="X21" i="61" s="1"/>
  <c r="P7" i="61"/>
  <c r="P8" i="61"/>
  <c r="S14" i="61"/>
  <c r="P16" i="61"/>
  <c r="I28" i="61"/>
  <c r="K28" i="61" s="1"/>
  <c r="M28" i="61" s="1"/>
  <c r="H28" i="61"/>
  <c r="J28" i="61" s="1"/>
  <c r="L28" i="61" s="1"/>
  <c r="T28" i="61" s="1"/>
  <c r="H32" i="61"/>
  <c r="J32" i="61" s="1"/>
  <c r="L32" i="61" s="1"/>
  <c r="T32" i="61" s="1"/>
  <c r="AD32" i="61" s="1"/>
  <c r="I34" i="61"/>
  <c r="K34" i="61" s="1"/>
  <c r="M34" i="61" s="1"/>
  <c r="H34" i="61"/>
  <c r="J34" i="61" s="1"/>
  <c r="L34" i="61" s="1"/>
  <c r="T34" i="61" s="1"/>
  <c r="P35" i="61"/>
  <c r="S36" i="61"/>
  <c r="S5" i="61"/>
  <c r="S7" i="61"/>
  <c r="H29" i="61"/>
  <c r="J29" i="61" s="1"/>
  <c r="L29" i="61" s="1"/>
  <c r="T29" i="61" s="1"/>
  <c r="G33" i="61"/>
  <c r="X33" i="61" s="1"/>
  <c r="S8" i="61"/>
  <c r="X11" i="61"/>
  <c r="S16" i="61"/>
  <c r="P22" i="61"/>
  <c r="P34" i="61"/>
  <c r="S25" i="61"/>
  <c r="P27" i="61"/>
  <c r="P28" i="61"/>
  <c r="X35" i="61"/>
  <c r="G37" i="61"/>
  <c r="F12" i="61"/>
  <c r="G13" i="61"/>
  <c r="S17" i="61"/>
  <c r="S19" i="61"/>
  <c r="S28" i="61"/>
  <c r="P29" i="61"/>
  <c r="F6" i="61"/>
  <c r="F7" i="61"/>
  <c r="F8" i="61"/>
  <c r="F9" i="61"/>
  <c r="X15" i="61"/>
  <c r="F15" i="61"/>
  <c r="S20" i="61"/>
  <c r="P31" i="61"/>
  <c r="P32" i="61"/>
  <c r="F36" i="61"/>
  <c r="R25" i="59"/>
  <c r="R13" i="59"/>
  <c r="R51" i="59"/>
  <c r="R27" i="59"/>
  <c r="R86" i="59"/>
  <c r="R62" i="59"/>
  <c r="R50" i="59"/>
  <c r="R85" i="59"/>
  <c r="R61" i="59"/>
  <c r="R49" i="59"/>
  <c r="R84" i="59"/>
  <c r="R72" i="59"/>
  <c r="R60" i="59"/>
  <c r="R48" i="59"/>
  <c r="R87" i="59"/>
  <c r="R75" i="59"/>
  <c r="R63" i="59"/>
  <c r="R15" i="59"/>
  <c r="O75" i="59"/>
  <c r="O63" i="59"/>
  <c r="O51" i="59"/>
  <c r="O15" i="59"/>
  <c r="R80" i="59"/>
  <c r="R68" i="59"/>
  <c r="R56" i="59"/>
  <c r="R81" i="59"/>
  <c r="R69" i="59"/>
  <c r="R57" i="59"/>
  <c r="R44" i="59"/>
  <c r="R79" i="59"/>
  <c r="R67" i="59"/>
  <c r="R43" i="59"/>
  <c r="R78" i="59"/>
  <c r="R66" i="59"/>
  <c r="R54" i="59"/>
  <c r="R42" i="59"/>
  <c r="R77" i="59"/>
  <c r="F73" i="59"/>
  <c r="W73" i="59" s="1"/>
  <c r="F61" i="59"/>
  <c r="W61" i="59" s="1"/>
  <c r="E65" i="59"/>
  <c r="H65" i="59" s="1"/>
  <c r="J65" i="59" s="1"/>
  <c r="L65" i="59" s="1"/>
  <c r="E77" i="59"/>
  <c r="H77" i="59" s="1"/>
  <c r="J77" i="59" s="1"/>
  <c r="L77" i="59" s="1"/>
  <c r="U77" i="59" s="1"/>
  <c r="E57" i="59"/>
  <c r="H57" i="59" s="1"/>
  <c r="J57" i="59" s="1"/>
  <c r="L57" i="59" s="1"/>
  <c r="E79" i="59"/>
  <c r="H79" i="59" s="1"/>
  <c r="J79" i="59" s="1"/>
  <c r="L79" i="59" s="1"/>
  <c r="U79" i="59" s="1"/>
  <c r="X79" i="59" s="1"/>
  <c r="E55" i="59"/>
  <c r="E67" i="59"/>
  <c r="H67" i="59" s="1"/>
  <c r="J67" i="59" s="1"/>
  <c r="L67" i="59" s="1"/>
  <c r="E73" i="59"/>
  <c r="H73" i="59" s="1"/>
  <c r="J73" i="59" s="1"/>
  <c r="L73" i="59" s="1"/>
  <c r="U73" i="59" s="1"/>
  <c r="X73" i="59" s="1"/>
  <c r="W63" i="59"/>
  <c r="E63" i="59"/>
  <c r="H63" i="59" s="1"/>
  <c r="J63" i="59" s="1"/>
  <c r="L63" i="59" s="1"/>
  <c r="F72" i="59"/>
  <c r="W72" i="59" s="1"/>
  <c r="E61" i="59"/>
  <c r="E71" i="59"/>
  <c r="E75" i="59"/>
  <c r="H75" i="59" s="1"/>
  <c r="J75" i="59" s="1"/>
  <c r="L75" i="59" s="1"/>
  <c r="E60" i="59"/>
  <c r="G60" i="59" s="1"/>
  <c r="I60" i="59" s="1"/>
  <c r="K60" i="59" s="1"/>
  <c r="S60" i="59" s="1"/>
  <c r="F85" i="59"/>
  <c r="W85" i="59" s="1"/>
  <c r="G77" i="59"/>
  <c r="I77" i="59" s="1"/>
  <c r="K77" i="59" s="1"/>
  <c r="S77" i="59" s="1"/>
  <c r="E69" i="59"/>
  <c r="H69" i="59" s="1"/>
  <c r="J69" i="59" s="1"/>
  <c r="L69" i="59" s="1"/>
  <c r="F84" i="59"/>
  <c r="W84" i="59" s="1"/>
  <c r="O11" i="59"/>
  <c r="O5" i="59"/>
  <c r="O16" i="59"/>
  <c r="O10" i="59"/>
  <c r="O8" i="59"/>
  <c r="W80" i="59"/>
  <c r="E80" i="59"/>
  <c r="O62" i="59"/>
  <c r="W68" i="59"/>
  <c r="E68" i="59"/>
  <c r="E74" i="59"/>
  <c r="W74" i="59"/>
  <c r="O3" i="59"/>
  <c r="O37" i="59"/>
  <c r="O42" i="59"/>
  <c r="X77" i="59"/>
  <c r="O78" i="59"/>
  <c r="O22" i="59"/>
  <c r="G57" i="59"/>
  <c r="I57" i="59" s="1"/>
  <c r="K57" i="59" s="1"/>
  <c r="S57" i="59" s="1"/>
  <c r="Z57" i="59" s="1"/>
  <c r="W56" i="59"/>
  <c r="E56" i="59"/>
  <c r="E64" i="59"/>
  <c r="O70" i="59"/>
  <c r="H55" i="59"/>
  <c r="J55" i="59" s="1"/>
  <c r="L55" i="59" s="1"/>
  <c r="G55" i="59"/>
  <c r="I55" i="59" s="1"/>
  <c r="K55" i="59" s="1"/>
  <c r="S55" i="59" s="1"/>
  <c r="O26" i="59"/>
  <c r="E62" i="59"/>
  <c r="W62" i="59"/>
  <c r="O76" i="59"/>
  <c r="E81" i="59"/>
  <c r="O35" i="59"/>
  <c r="O39" i="59"/>
  <c r="O46" i="59"/>
  <c r="W67" i="59"/>
  <c r="O48" i="59"/>
  <c r="E54" i="59"/>
  <c r="F82" i="59"/>
  <c r="W82" i="59" s="1"/>
  <c r="E83" i="59"/>
  <c r="W55" i="59"/>
  <c r="O58" i="59"/>
  <c r="O72" i="59"/>
  <c r="E86" i="59"/>
  <c r="O50" i="59"/>
  <c r="O64" i="59"/>
  <c r="O66" i="59"/>
  <c r="O81" i="59"/>
  <c r="O87" i="59"/>
  <c r="W57" i="59"/>
  <c r="O60" i="59"/>
  <c r="E70" i="59"/>
  <c r="E78" i="59"/>
  <c r="W79" i="59"/>
  <c r="O82" i="59"/>
  <c r="O52" i="59"/>
  <c r="O84" i="59"/>
  <c r="O86" i="59"/>
  <c r="O40" i="59"/>
  <c r="O54" i="59"/>
  <c r="O74" i="59"/>
  <c r="E76" i="59"/>
  <c r="F58" i="59"/>
  <c r="W58" i="59" s="1"/>
  <c r="E59" i="59"/>
  <c r="E66" i="59"/>
  <c r="X18" i="61" l="1"/>
  <c r="F18" i="61"/>
  <c r="I18" i="61" s="1"/>
  <c r="K18" i="61" s="1"/>
  <c r="M18" i="61" s="1"/>
  <c r="V18" i="61" s="1"/>
  <c r="Y18" i="61" s="1"/>
  <c r="E72" i="59"/>
  <c r="G65" i="59"/>
  <c r="I65" i="59" s="1"/>
  <c r="K65" i="59" s="1"/>
  <c r="S65" i="59" s="1"/>
  <c r="E87" i="59"/>
  <c r="G87" i="59" s="1"/>
  <c r="I87" i="59" s="1"/>
  <c r="K87" i="59" s="1"/>
  <c r="S87" i="59" s="1"/>
  <c r="AA22" i="61"/>
  <c r="F53" i="59"/>
  <c r="B52" i="59"/>
  <c r="I35" i="61"/>
  <c r="K35" i="61" s="1"/>
  <c r="M35" i="61" s="1"/>
  <c r="I8" i="68"/>
  <c r="E9" i="68"/>
  <c r="G8" i="68"/>
  <c r="F8" i="68"/>
  <c r="H8" i="68"/>
  <c r="F24" i="61"/>
  <c r="I24" i="61" s="1"/>
  <c r="K24" i="61" s="1"/>
  <c r="M24" i="61" s="1"/>
  <c r="X27" i="61"/>
  <c r="F14" i="61"/>
  <c r="H14" i="61" s="1"/>
  <c r="J14" i="61" s="1"/>
  <c r="L14" i="61" s="1"/>
  <c r="T14" i="61" s="1"/>
  <c r="AA14" i="61" s="1"/>
  <c r="H11" i="61"/>
  <c r="J11" i="61" s="1"/>
  <c r="L11" i="61" s="1"/>
  <c r="T11" i="61" s="1"/>
  <c r="AA11" i="61" s="1"/>
  <c r="I17" i="61"/>
  <c r="K17" i="61" s="1"/>
  <c r="M17" i="61" s="1"/>
  <c r="I5" i="61"/>
  <c r="K5" i="61" s="1"/>
  <c r="M5" i="61" s="1"/>
  <c r="U5" i="61" s="1"/>
  <c r="F26" i="61"/>
  <c r="H26" i="61" s="1"/>
  <c r="J26" i="61" s="1"/>
  <c r="L26" i="61" s="1"/>
  <c r="T26" i="61" s="1"/>
  <c r="AA26" i="61" s="1"/>
  <c r="F3" i="61"/>
  <c r="I3" i="61" s="1"/>
  <c r="K3" i="61" s="1"/>
  <c r="M3" i="61" s="1"/>
  <c r="U22" i="61"/>
  <c r="W22" i="61" s="1"/>
  <c r="AB22" i="61"/>
  <c r="F25" i="61"/>
  <c r="H25" i="61" s="1"/>
  <c r="J25" i="61" s="1"/>
  <c r="L25" i="61" s="1"/>
  <c r="T25" i="61" s="1"/>
  <c r="AD25" i="61" s="1"/>
  <c r="AA35" i="61"/>
  <c r="H18" i="61"/>
  <c r="J18" i="61" s="1"/>
  <c r="L18" i="61" s="1"/>
  <c r="T18" i="61" s="1"/>
  <c r="AA18" i="61" s="1"/>
  <c r="AB10" i="61"/>
  <c r="Y10" i="61"/>
  <c r="Y30" i="61"/>
  <c r="AB30" i="61"/>
  <c r="F33" i="61"/>
  <c r="I33" i="61" s="1"/>
  <c r="K33" i="61" s="1"/>
  <c r="M33" i="61" s="1"/>
  <c r="H20" i="61"/>
  <c r="J20" i="61" s="1"/>
  <c r="L20" i="61" s="1"/>
  <c r="T20" i="61" s="1"/>
  <c r="AD20" i="61" s="1"/>
  <c r="F19" i="61"/>
  <c r="AA34" i="61"/>
  <c r="AA4" i="61"/>
  <c r="X16" i="61"/>
  <c r="F16" i="61"/>
  <c r="U10" i="61"/>
  <c r="AC10" i="61" s="1"/>
  <c r="AA32" i="61"/>
  <c r="AA5" i="61"/>
  <c r="AD28" i="61"/>
  <c r="H30" i="61"/>
  <c r="J30" i="61" s="1"/>
  <c r="L30" i="61" s="1"/>
  <c r="T30" i="61" s="1"/>
  <c r="AA30" i="61" s="1"/>
  <c r="AD4" i="61"/>
  <c r="I26" i="61"/>
  <c r="K26" i="61" s="1"/>
  <c r="M26" i="61" s="1"/>
  <c r="U26" i="61" s="1"/>
  <c r="X23" i="61"/>
  <c r="F31" i="61"/>
  <c r="AA28" i="61"/>
  <c r="P36" i="61"/>
  <c r="X37" i="61"/>
  <c r="F37" i="61"/>
  <c r="S30" i="61"/>
  <c r="I15" i="61"/>
  <c r="K15" i="61" s="1"/>
  <c r="M15" i="61" s="1"/>
  <c r="H15" i="61"/>
  <c r="J15" i="61" s="1"/>
  <c r="L15" i="61" s="1"/>
  <c r="T15" i="61" s="1"/>
  <c r="AD15" i="61" s="1"/>
  <c r="V35" i="61"/>
  <c r="U35" i="61"/>
  <c r="AD29" i="61"/>
  <c r="V34" i="61"/>
  <c r="U34" i="61"/>
  <c r="AC34" i="61" s="1"/>
  <c r="I27" i="61"/>
  <c r="K27" i="61" s="1"/>
  <c r="M27" i="61" s="1"/>
  <c r="H27" i="61"/>
  <c r="J27" i="61" s="1"/>
  <c r="L27" i="61" s="1"/>
  <c r="T27" i="61" s="1"/>
  <c r="AA27" i="61" s="1"/>
  <c r="P12" i="61"/>
  <c r="P33" i="61"/>
  <c r="S9" i="61"/>
  <c r="I9" i="61"/>
  <c r="K9" i="61" s="1"/>
  <c r="M9" i="61" s="1"/>
  <c r="H9" i="61"/>
  <c r="J9" i="61" s="1"/>
  <c r="L9" i="61" s="1"/>
  <c r="T9" i="61" s="1"/>
  <c r="AB18" i="61"/>
  <c r="I8" i="61"/>
  <c r="K8" i="61" s="1"/>
  <c r="M8" i="61" s="1"/>
  <c r="H8" i="61"/>
  <c r="J8" i="61" s="1"/>
  <c r="L8" i="61" s="1"/>
  <c r="T8" i="61" s="1"/>
  <c r="AA8" i="61" s="1"/>
  <c r="S33" i="61"/>
  <c r="S18" i="61"/>
  <c r="S22" i="61"/>
  <c r="AD22" i="61" s="1"/>
  <c r="F21" i="61"/>
  <c r="V11" i="61"/>
  <c r="U11" i="61"/>
  <c r="AD26" i="61"/>
  <c r="I23" i="61"/>
  <c r="K23" i="61" s="1"/>
  <c r="M23" i="61" s="1"/>
  <c r="H23" i="61"/>
  <c r="J23" i="61" s="1"/>
  <c r="L23" i="61" s="1"/>
  <c r="T23" i="61" s="1"/>
  <c r="U17" i="61"/>
  <c r="V17" i="61"/>
  <c r="AD17" i="61"/>
  <c r="S34" i="61"/>
  <c r="AD34" i="61" s="1"/>
  <c r="P24" i="61"/>
  <c r="U32" i="61"/>
  <c r="V32" i="61"/>
  <c r="V4" i="61"/>
  <c r="U4" i="61"/>
  <c r="V28" i="61"/>
  <c r="U28" i="61"/>
  <c r="I7" i="61"/>
  <c r="K7" i="61" s="1"/>
  <c r="M7" i="61" s="1"/>
  <c r="H7" i="61"/>
  <c r="J7" i="61" s="1"/>
  <c r="L7" i="61" s="1"/>
  <c r="T7" i="61" s="1"/>
  <c r="AD7" i="61" s="1"/>
  <c r="I6" i="61"/>
  <c r="K6" i="61" s="1"/>
  <c r="M6" i="61" s="1"/>
  <c r="H6" i="61"/>
  <c r="J6" i="61" s="1"/>
  <c r="L6" i="61" s="1"/>
  <c r="T6" i="61" s="1"/>
  <c r="AA6" i="61" s="1"/>
  <c r="U29" i="61"/>
  <c r="V29" i="61"/>
  <c r="S10" i="61"/>
  <c r="AD10" i="61" s="1"/>
  <c r="V20" i="61"/>
  <c r="P13" i="61"/>
  <c r="P37" i="61"/>
  <c r="I36" i="61"/>
  <c r="K36" i="61" s="1"/>
  <c r="M36" i="61" s="1"/>
  <c r="H36" i="61"/>
  <c r="J36" i="61" s="1"/>
  <c r="L36" i="61" s="1"/>
  <c r="T36" i="61" s="1"/>
  <c r="AD36" i="61" s="1"/>
  <c r="X13" i="61"/>
  <c r="F13" i="61"/>
  <c r="S21" i="61"/>
  <c r="P25" i="61"/>
  <c r="S6" i="61"/>
  <c r="P9" i="61"/>
  <c r="P21" i="61"/>
  <c r="AA29" i="61"/>
  <c r="I12" i="61"/>
  <c r="K12" i="61" s="1"/>
  <c r="M12" i="61" s="1"/>
  <c r="H12" i="61"/>
  <c r="J12" i="61" s="1"/>
  <c r="L12" i="61" s="1"/>
  <c r="T12" i="61" s="1"/>
  <c r="AD12" i="61" s="1"/>
  <c r="AD5" i="61"/>
  <c r="U18" i="61"/>
  <c r="AC18" i="61" s="1"/>
  <c r="E84" i="59"/>
  <c r="G63" i="59"/>
  <c r="I63" i="59" s="1"/>
  <c r="K63" i="59" s="1"/>
  <c r="S63" i="59" s="1"/>
  <c r="Z63" i="59" s="1"/>
  <c r="G79" i="59"/>
  <c r="I79" i="59" s="1"/>
  <c r="K79" i="59" s="1"/>
  <c r="S79" i="59" s="1"/>
  <c r="Z79" i="59" s="1"/>
  <c r="G67" i="59"/>
  <c r="I67" i="59" s="1"/>
  <c r="K67" i="59" s="1"/>
  <c r="S67" i="59" s="1"/>
  <c r="Z67" i="59" s="1"/>
  <c r="H87" i="59"/>
  <c r="J87" i="59" s="1"/>
  <c r="L87" i="59" s="1"/>
  <c r="U87" i="59" s="1"/>
  <c r="X87" i="59" s="1"/>
  <c r="G73" i="59"/>
  <c r="I73" i="59" s="1"/>
  <c r="K73" i="59" s="1"/>
  <c r="S73" i="59" s="1"/>
  <c r="H60" i="59"/>
  <c r="J60" i="59" s="1"/>
  <c r="L60" i="59" s="1"/>
  <c r="T60" i="59" s="1"/>
  <c r="G75" i="59"/>
  <c r="I75" i="59" s="1"/>
  <c r="K75" i="59" s="1"/>
  <c r="S75" i="59" s="1"/>
  <c r="Z75" i="59" s="1"/>
  <c r="G69" i="59"/>
  <c r="I69" i="59" s="1"/>
  <c r="K69" i="59" s="1"/>
  <c r="S69" i="59" s="1"/>
  <c r="Z69" i="59" s="1"/>
  <c r="T77" i="59"/>
  <c r="E85" i="59"/>
  <c r="G85" i="59" s="1"/>
  <c r="I85" i="59" s="1"/>
  <c r="K85" i="59" s="1"/>
  <c r="S85" i="59" s="1"/>
  <c r="Z60" i="59"/>
  <c r="Z87" i="59"/>
  <c r="H71" i="59"/>
  <c r="J71" i="59" s="1"/>
  <c r="L71" i="59" s="1"/>
  <c r="G71" i="59"/>
  <c r="I71" i="59" s="1"/>
  <c r="K71" i="59" s="1"/>
  <c r="S71" i="59" s="1"/>
  <c r="G61" i="59"/>
  <c r="I61" i="59" s="1"/>
  <c r="K61" i="59" s="1"/>
  <c r="S61" i="59" s="1"/>
  <c r="H61" i="59"/>
  <c r="J61" i="59" s="1"/>
  <c r="L61" i="59" s="1"/>
  <c r="H59" i="59"/>
  <c r="J59" i="59" s="1"/>
  <c r="L59" i="59" s="1"/>
  <c r="G59" i="59"/>
  <c r="I59" i="59" s="1"/>
  <c r="K59" i="59" s="1"/>
  <c r="S59" i="59" s="1"/>
  <c r="O77" i="59"/>
  <c r="Z77" i="59" s="1"/>
  <c r="T65" i="59"/>
  <c r="U65" i="59"/>
  <c r="X65" i="59" s="1"/>
  <c r="H68" i="59"/>
  <c r="J68" i="59" s="1"/>
  <c r="L68" i="59" s="1"/>
  <c r="G68" i="59"/>
  <c r="I68" i="59" s="1"/>
  <c r="K68" i="59" s="1"/>
  <c r="S68" i="59" s="1"/>
  <c r="Z68" i="59" s="1"/>
  <c r="O55" i="59"/>
  <c r="Z55" i="59" s="1"/>
  <c r="H62" i="59"/>
  <c r="J62" i="59" s="1"/>
  <c r="L62" i="59" s="1"/>
  <c r="G62" i="59"/>
  <c r="I62" i="59" s="1"/>
  <c r="K62" i="59" s="1"/>
  <c r="S62" i="59" s="1"/>
  <c r="Z62" i="59" s="1"/>
  <c r="O23" i="59"/>
  <c r="O85" i="59"/>
  <c r="O65" i="59"/>
  <c r="Z65" i="59" s="1"/>
  <c r="O47" i="59"/>
  <c r="O53" i="59"/>
  <c r="G76" i="59"/>
  <c r="I76" i="59" s="1"/>
  <c r="K76" i="59" s="1"/>
  <c r="S76" i="59" s="1"/>
  <c r="Z76" i="59" s="1"/>
  <c r="H76" i="59"/>
  <c r="J76" i="59" s="1"/>
  <c r="L76" i="59" s="1"/>
  <c r="T69" i="59"/>
  <c r="U69" i="59"/>
  <c r="X69" i="59" s="1"/>
  <c r="G64" i="59"/>
  <c r="I64" i="59" s="1"/>
  <c r="K64" i="59" s="1"/>
  <c r="S64" i="59" s="1"/>
  <c r="Z64" i="59" s="1"/>
  <c r="H64" i="59"/>
  <c r="J64" i="59" s="1"/>
  <c r="L64" i="59" s="1"/>
  <c r="O71" i="59"/>
  <c r="O83" i="59"/>
  <c r="O31" i="59"/>
  <c r="H56" i="59"/>
  <c r="J56" i="59" s="1"/>
  <c r="L56" i="59" s="1"/>
  <c r="G56" i="59"/>
  <c r="I56" i="59" s="1"/>
  <c r="K56" i="59" s="1"/>
  <c r="S56" i="59" s="1"/>
  <c r="O4" i="59"/>
  <c r="G78" i="59"/>
  <c r="I78" i="59" s="1"/>
  <c r="K78" i="59" s="1"/>
  <c r="S78" i="59" s="1"/>
  <c r="Z78" i="59" s="1"/>
  <c r="H78" i="59"/>
  <c r="J78" i="59" s="1"/>
  <c r="L78" i="59" s="1"/>
  <c r="O59" i="59"/>
  <c r="O56" i="59"/>
  <c r="U67" i="59"/>
  <c r="X67" i="59" s="1"/>
  <c r="U63" i="59"/>
  <c r="X63" i="59" s="1"/>
  <c r="G72" i="59"/>
  <c r="I72" i="59" s="1"/>
  <c r="K72" i="59" s="1"/>
  <c r="S72" i="59" s="1"/>
  <c r="Z72" i="59" s="1"/>
  <c r="H72" i="59"/>
  <c r="J72" i="59" s="1"/>
  <c r="L72" i="59" s="1"/>
  <c r="T57" i="59"/>
  <c r="U57" i="59"/>
  <c r="X57" i="59" s="1"/>
  <c r="E82" i="59"/>
  <c r="O41" i="59"/>
  <c r="G66" i="59"/>
  <c r="I66" i="59" s="1"/>
  <c r="K66" i="59" s="1"/>
  <c r="S66" i="59" s="1"/>
  <c r="Z66" i="59" s="1"/>
  <c r="H66" i="59"/>
  <c r="J66" i="59" s="1"/>
  <c r="L66" i="59" s="1"/>
  <c r="E58" i="59"/>
  <c r="O73" i="59"/>
  <c r="Z73" i="59" s="1"/>
  <c r="H81" i="59"/>
  <c r="J81" i="59" s="1"/>
  <c r="L81" i="59" s="1"/>
  <c r="G81" i="59"/>
  <c r="I81" i="59" s="1"/>
  <c r="K81" i="59" s="1"/>
  <c r="S81" i="59" s="1"/>
  <c r="Z81" i="59" s="1"/>
  <c r="H80" i="59"/>
  <c r="J80" i="59" s="1"/>
  <c r="L80" i="59" s="1"/>
  <c r="G80" i="59"/>
  <c r="I80" i="59" s="1"/>
  <c r="K80" i="59" s="1"/>
  <c r="S80" i="59" s="1"/>
  <c r="Z80" i="59" s="1"/>
  <c r="G70" i="59"/>
  <c r="I70" i="59" s="1"/>
  <c r="K70" i="59" s="1"/>
  <c r="S70" i="59" s="1"/>
  <c r="Z70" i="59" s="1"/>
  <c r="H70" i="59"/>
  <c r="J70" i="59" s="1"/>
  <c r="L70" i="59" s="1"/>
  <c r="H86" i="59"/>
  <c r="J86" i="59" s="1"/>
  <c r="L86" i="59" s="1"/>
  <c r="G86" i="59"/>
  <c r="I86" i="59" s="1"/>
  <c r="K86" i="59" s="1"/>
  <c r="S86" i="59" s="1"/>
  <c r="Z86" i="59" s="1"/>
  <c r="G84" i="59"/>
  <c r="I84" i="59" s="1"/>
  <c r="K84" i="59" s="1"/>
  <c r="S84" i="59" s="1"/>
  <c r="Z84" i="59" s="1"/>
  <c r="H84" i="59"/>
  <c r="J84" i="59" s="1"/>
  <c r="L84" i="59" s="1"/>
  <c r="U55" i="59"/>
  <c r="X55" i="59" s="1"/>
  <c r="T55" i="59"/>
  <c r="H74" i="59"/>
  <c r="J74" i="59" s="1"/>
  <c r="L74" i="59" s="1"/>
  <c r="G74" i="59"/>
  <c r="I74" i="59" s="1"/>
  <c r="K74" i="59" s="1"/>
  <c r="S74" i="59" s="1"/>
  <c r="Z74" i="59" s="1"/>
  <c r="T75" i="59"/>
  <c r="U75" i="59"/>
  <c r="X75" i="59" s="1"/>
  <c r="G54" i="59"/>
  <c r="I54" i="59" s="1"/>
  <c r="K54" i="59" s="1"/>
  <c r="S54" i="59" s="1"/>
  <c r="Z54" i="59" s="1"/>
  <c r="H54" i="59"/>
  <c r="J54" i="59" s="1"/>
  <c r="L54" i="59" s="1"/>
  <c r="O61" i="59"/>
  <c r="O49" i="59"/>
  <c r="H83" i="59"/>
  <c r="J83" i="59" s="1"/>
  <c r="L83" i="59" s="1"/>
  <c r="G83" i="59"/>
  <c r="I83" i="59" s="1"/>
  <c r="K83" i="59" s="1"/>
  <c r="S83" i="59" s="1"/>
  <c r="O27" i="59"/>
  <c r="W53" i="59" l="1"/>
  <c r="E53" i="59"/>
  <c r="AC22" i="61"/>
  <c r="B51" i="59"/>
  <c r="F52" i="59"/>
  <c r="T63" i="59"/>
  <c r="H24" i="61"/>
  <c r="J24" i="61" s="1"/>
  <c r="L24" i="61" s="1"/>
  <c r="T24" i="61" s="1"/>
  <c r="AD24" i="61" s="1"/>
  <c r="H3" i="61"/>
  <c r="J3" i="61" s="1"/>
  <c r="L3" i="61" s="1"/>
  <c r="T3" i="61" s="1"/>
  <c r="AD3" i="61" s="1"/>
  <c r="AD27" i="61"/>
  <c r="V5" i="61"/>
  <c r="V77" i="59"/>
  <c r="Y77" i="59"/>
  <c r="Z22" i="61"/>
  <c r="F9" i="68"/>
  <c r="H9" i="68"/>
  <c r="G9" i="68"/>
  <c r="E10" i="68"/>
  <c r="I9" i="68"/>
  <c r="I25" i="61"/>
  <c r="K25" i="61" s="1"/>
  <c r="M25" i="61" s="1"/>
  <c r="AD11" i="61"/>
  <c r="AD14" i="61"/>
  <c r="I14" i="61"/>
  <c r="K14" i="61" s="1"/>
  <c r="M14" i="61" s="1"/>
  <c r="V14" i="61" s="1"/>
  <c r="AB14" i="61" s="1"/>
  <c r="V26" i="61"/>
  <c r="AA15" i="61"/>
  <c r="AD18" i="61"/>
  <c r="U20" i="61"/>
  <c r="W20" i="61" s="1"/>
  <c r="H33" i="61"/>
  <c r="J33" i="61" s="1"/>
  <c r="L33" i="61" s="1"/>
  <c r="T33" i="61" s="1"/>
  <c r="AA33" i="61" s="1"/>
  <c r="AA9" i="61"/>
  <c r="I19" i="61"/>
  <c r="K19" i="61" s="1"/>
  <c r="M19" i="61" s="1"/>
  <c r="H19" i="61"/>
  <c r="J19" i="61" s="1"/>
  <c r="L19" i="61" s="1"/>
  <c r="T19" i="61" s="1"/>
  <c r="AA20" i="61"/>
  <c r="AD6" i="61"/>
  <c r="U30" i="61"/>
  <c r="AC30" i="61" s="1"/>
  <c r="W10" i="61"/>
  <c r="Z10" i="61"/>
  <c r="I31" i="61"/>
  <c r="K31" i="61" s="1"/>
  <c r="M31" i="61" s="1"/>
  <c r="H31" i="61"/>
  <c r="J31" i="61" s="1"/>
  <c r="L31" i="61" s="1"/>
  <c r="T31" i="61" s="1"/>
  <c r="AD30" i="61"/>
  <c r="I16" i="61"/>
  <c r="K16" i="61" s="1"/>
  <c r="M16" i="61" s="1"/>
  <c r="H16" i="61"/>
  <c r="J16" i="61" s="1"/>
  <c r="L16" i="61" s="1"/>
  <c r="T16" i="61" s="1"/>
  <c r="V7" i="61"/>
  <c r="U7" i="61"/>
  <c r="W28" i="61"/>
  <c r="AC28" i="61"/>
  <c r="Z28" i="61"/>
  <c r="AB32" i="61"/>
  <c r="Y32" i="61"/>
  <c r="AB11" i="61"/>
  <c r="Y11" i="61"/>
  <c r="U8" i="61"/>
  <c r="V8" i="61"/>
  <c r="W17" i="61"/>
  <c r="AC17" i="61"/>
  <c r="Z17" i="61"/>
  <c r="AA7" i="61"/>
  <c r="Y20" i="61"/>
  <c r="AB20" i="61"/>
  <c r="Y28" i="61"/>
  <c r="AB28" i="61"/>
  <c r="W32" i="61"/>
  <c r="AC32" i="61"/>
  <c r="Z32" i="61"/>
  <c r="AA23" i="61"/>
  <c r="AD23" i="61"/>
  <c r="I21" i="61"/>
  <c r="K21" i="61" s="1"/>
  <c r="M21" i="61" s="1"/>
  <c r="H21" i="61"/>
  <c r="J21" i="61" s="1"/>
  <c r="L21" i="61" s="1"/>
  <c r="T21" i="61" s="1"/>
  <c r="AD21" i="61" s="1"/>
  <c r="W26" i="61"/>
  <c r="AC26" i="61"/>
  <c r="Z26" i="61"/>
  <c r="V15" i="61"/>
  <c r="U15" i="61"/>
  <c r="V25" i="61"/>
  <c r="U25" i="61"/>
  <c r="V36" i="61"/>
  <c r="U36" i="61"/>
  <c r="V23" i="61"/>
  <c r="U23" i="61"/>
  <c r="Y26" i="61"/>
  <c r="AB26" i="61"/>
  <c r="AD8" i="61"/>
  <c r="U9" i="61"/>
  <c r="V9" i="61"/>
  <c r="V12" i="61"/>
  <c r="U12" i="61"/>
  <c r="W4" i="61"/>
  <c r="Z4" i="61"/>
  <c r="AC4" i="61"/>
  <c r="AA12" i="61"/>
  <c r="AA25" i="61"/>
  <c r="Y4" i="61"/>
  <c r="AB4" i="61"/>
  <c r="V24" i="61"/>
  <c r="V3" i="61"/>
  <c r="H37" i="61"/>
  <c r="J37" i="61" s="1"/>
  <c r="L37" i="61" s="1"/>
  <c r="T37" i="61" s="1"/>
  <c r="AD37" i="61" s="1"/>
  <c r="I37" i="61"/>
  <c r="K37" i="61" s="1"/>
  <c r="M37" i="61" s="1"/>
  <c r="W11" i="61"/>
  <c r="Z11" i="61"/>
  <c r="AC11" i="61"/>
  <c r="Y29" i="61"/>
  <c r="AB29" i="61"/>
  <c r="V27" i="61"/>
  <c r="U27" i="61"/>
  <c r="Y5" i="61"/>
  <c r="AB5" i="61"/>
  <c r="W29" i="61"/>
  <c r="Z29" i="61"/>
  <c r="AC29" i="61"/>
  <c r="V33" i="61"/>
  <c r="W34" i="61"/>
  <c r="Z34" i="61"/>
  <c r="Y17" i="61"/>
  <c r="AB17" i="61"/>
  <c r="W5" i="61"/>
  <c r="Z5" i="61"/>
  <c r="AC5" i="61"/>
  <c r="AD9" i="61"/>
  <c r="AB34" i="61"/>
  <c r="Y34" i="61"/>
  <c r="AB35" i="61"/>
  <c r="Y35" i="61"/>
  <c r="W18" i="61"/>
  <c r="Z18" i="61"/>
  <c r="H13" i="61"/>
  <c r="J13" i="61" s="1"/>
  <c r="L13" i="61" s="1"/>
  <c r="T13" i="61" s="1"/>
  <c r="AD13" i="61" s="1"/>
  <c r="I13" i="61"/>
  <c r="K13" i="61" s="1"/>
  <c r="M13" i="61" s="1"/>
  <c r="V6" i="61"/>
  <c r="U6" i="61"/>
  <c r="W35" i="61"/>
  <c r="Z35" i="61"/>
  <c r="AC35" i="61"/>
  <c r="AA36" i="61"/>
  <c r="H85" i="59"/>
  <c r="J85" i="59" s="1"/>
  <c r="L85" i="59" s="1"/>
  <c r="U85" i="59" s="1"/>
  <c r="X85" i="59" s="1"/>
  <c r="T87" i="59"/>
  <c r="Y87" i="59" s="1"/>
  <c r="T73" i="59"/>
  <c r="V73" i="59" s="1"/>
  <c r="T67" i="59"/>
  <c r="V67" i="59" s="1"/>
  <c r="T79" i="59"/>
  <c r="Y79" i="59" s="1"/>
  <c r="U60" i="59"/>
  <c r="X60" i="59" s="1"/>
  <c r="Z59" i="59"/>
  <c r="Z61" i="59"/>
  <c r="Z71" i="59"/>
  <c r="V55" i="59"/>
  <c r="U61" i="59"/>
  <c r="X61" i="59" s="1"/>
  <c r="T61" i="59"/>
  <c r="T71" i="59"/>
  <c r="U71" i="59"/>
  <c r="X71" i="59" s="1"/>
  <c r="U54" i="59"/>
  <c r="X54" i="59" s="1"/>
  <c r="T54" i="59"/>
  <c r="U86" i="59"/>
  <c r="X86" i="59" s="1"/>
  <c r="T86" i="59"/>
  <c r="Y86" i="59" s="1"/>
  <c r="G58" i="59"/>
  <c r="I58" i="59" s="1"/>
  <c r="K58" i="59" s="1"/>
  <c r="S58" i="59" s="1"/>
  <c r="Z58" i="59" s="1"/>
  <c r="H58" i="59"/>
  <c r="J58" i="59" s="1"/>
  <c r="L58" i="59" s="1"/>
  <c r="Y60" i="59"/>
  <c r="U56" i="59"/>
  <c r="X56" i="59" s="1"/>
  <c r="T56" i="59"/>
  <c r="V65" i="59"/>
  <c r="U66" i="59"/>
  <c r="X66" i="59" s="1"/>
  <c r="T66" i="59"/>
  <c r="U62" i="59"/>
  <c r="X62" i="59" s="1"/>
  <c r="T62" i="59"/>
  <c r="U64" i="59"/>
  <c r="X64" i="59" s="1"/>
  <c r="T64" i="59"/>
  <c r="T83" i="59"/>
  <c r="Y83" i="59" s="1"/>
  <c r="U83" i="59"/>
  <c r="X83" i="59" s="1"/>
  <c r="V69" i="59"/>
  <c r="Y69" i="59"/>
  <c r="U72" i="59"/>
  <c r="X72" i="59" s="1"/>
  <c r="T72" i="59"/>
  <c r="V75" i="59"/>
  <c r="Y75" i="59"/>
  <c r="Y55" i="59"/>
  <c r="V63" i="59"/>
  <c r="Y63" i="59"/>
  <c r="U78" i="59"/>
  <c r="X78" i="59" s="1"/>
  <c r="T78" i="59"/>
  <c r="Y78" i="59" s="1"/>
  <c r="Y65" i="59"/>
  <c r="U74" i="59"/>
  <c r="X74" i="59" s="1"/>
  <c r="T74" i="59"/>
  <c r="U80" i="59"/>
  <c r="X80" i="59" s="1"/>
  <c r="T80" i="59"/>
  <c r="Y80" i="59" s="1"/>
  <c r="G82" i="59"/>
  <c r="I82" i="59" s="1"/>
  <c r="K82" i="59" s="1"/>
  <c r="S82" i="59" s="1"/>
  <c r="Z82" i="59" s="1"/>
  <c r="H82" i="59"/>
  <c r="J82" i="59" s="1"/>
  <c r="L82" i="59" s="1"/>
  <c r="Y67" i="59"/>
  <c r="Z83" i="59"/>
  <c r="U76" i="59"/>
  <c r="X76" i="59" s="1"/>
  <c r="T76" i="59"/>
  <c r="V57" i="59"/>
  <c r="Y57" i="59"/>
  <c r="Z85" i="59"/>
  <c r="U68" i="59"/>
  <c r="X68" i="59" s="1"/>
  <c r="T68" i="59"/>
  <c r="Z56" i="59"/>
  <c r="U70" i="59"/>
  <c r="X70" i="59" s="1"/>
  <c r="T70" i="59"/>
  <c r="T81" i="59"/>
  <c r="Y81" i="59" s="1"/>
  <c r="U81" i="59"/>
  <c r="X81" i="59" s="1"/>
  <c r="V87" i="59"/>
  <c r="T59" i="59"/>
  <c r="U59" i="59"/>
  <c r="X59" i="59" s="1"/>
  <c r="T84" i="59"/>
  <c r="Y84" i="59" s="1"/>
  <c r="U84" i="59"/>
  <c r="X84" i="59" s="1"/>
  <c r="Y14" i="61" l="1"/>
  <c r="U3" i="61"/>
  <c r="W52" i="59"/>
  <c r="E52" i="59"/>
  <c r="V79" i="59"/>
  <c r="F51" i="59"/>
  <c r="B50" i="59"/>
  <c r="U24" i="61"/>
  <c r="W24" i="61" s="1"/>
  <c r="V60" i="59"/>
  <c r="H53" i="59"/>
  <c r="J53" i="59" s="1"/>
  <c r="L53" i="59" s="1"/>
  <c r="G53" i="59"/>
  <c r="I53" i="59" s="1"/>
  <c r="K53" i="59" s="1"/>
  <c r="S53" i="59" s="1"/>
  <c r="Z53" i="59" s="1"/>
  <c r="AA3" i="61"/>
  <c r="T85" i="59"/>
  <c r="Y85" i="59" s="1"/>
  <c r="Y73" i="59"/>
  <c r="AA24" i="61"/>
  <c r="E11" i="68"/>
  <c r="G11" i="68" s="1"/>
  <c r="I10" i="68"/>
  <c r="G10" i="68"/>
  <c r="F10" i="68"/>
  <c r="H10" i="68"/>
  <c r="U14" i="61"/>
  <c r="Z20" i="61"/>
  <c r="AC20" i="61"/>
  <c r="AD33" i="61"/>
  <c r="U33" i="61"/>
  <c r="Z30" i="61"/>
  <c r="W30" i="61"/>
  <c r="AD31" i="61"/>
  <c r="AA31" i="61"/>
  <c r="V31" i="61"/>
  <c r="U31" i="61"/>
  <c r="AD16" i="61"/>
  <c r="AA16" i="61"/>
  <c r="V16" i="61"/>
  <c r="U16" i="61"/>
  <c r="AD19" i="61"/>
  <c r="AA19" i="61"/>
  <c r="V19" i="61"/>
  <c r="U19" i="61"/>
  <c r="AA21" i="61"/>
  <c r="W3" i="61"/>
  <c r="AC3" i="61"/>
  <c r="Z3" i="61"/>
  <c r="V13" i="61"/>
  <c r="U13" i="61"/>
  <c r="AB24" i="61"/>
  <c r="Y24" i="61"/>
  <c r="AB12" i="61"/>
  <c r="Y12" i="61"/>
  <c r="W25" i="61"/>
  <c r="AC25" i="61"/>
  <c r="Z25" i="61"/>
  <c r="W6" i="61"/>
  <c r="Z6" i="61"/>
  <c r="AC6" i="61"/>
  <c r="AB3" i="61"/>
  <c r="Y3" i="61"/>
  <c r="AB25" i="61"/>
  <c r="Y25" i="61"/>
  <c r="AA13" i="61"/>
  <c r="U21" i="61"/>
  <c r="V21" i="61"/>
  <c r="AA37" i="61"/>
  <c r="AB36" i="61"/>
  <c r="Y36" i="61"/>
  <c r="AB9" i="61"/>
  <c r="Y9" i="61"/>
  <c r="W27" i="61"/>
  <c r="AC27" i="61"/>
  <c r="Z27" i="61"/>
  <c r="W9" i="61"/>
  <c r="AC9" i="61"/>
  <c r="Z9" i="61"/>
  <c r="W23" i="61"/>
  <c r="AC23" i="61"/>
  <c r="Z23" i="61"/>
  <c r="W15" i="61"/>
  <c r="AC15" i="61"/>
  <c r="Z15" i="61"/>
  <c r="AB8" i="61"/>
  <c r="Y8" i="61"/>
  <c r="W36" i="61"/>
  <c r="AC36" i="61"/>
  <c r="Z36" i="61"/>
  <c r="Y33" i="61"/>
  <c r="AB33" i="61"/>
  <c r="AB27" i="61"/>
  <c r="Y27" i="61"/>
  <c r="V37" i="61"/>
  <c r="U37" i="61"/>
  <c r="AB23" i="61"/>
  <c r="Y23" i="61"/>
  <c r="AB15" i="61"/>
  <c r="Y15" i="61"/>
  <c r="W8" i="61"/>
  <c r="Z8" i="61"/>
  <c r="AC8" i="61"/>
  <c r="W33" i="61"/>
  <c r="AC33" i="61"/>
  <c r="Z33" i="61"/>
  <c r="W7" i="61"/>
  <c r="Z7" i="61"/>
  <c r="AC7" i="61"/>
  <c r="Y6" i="61"/>
  <c r="AB6" i="61"/>
  <c r="W12" i="61"/>
  <c r="AC12" i="61"/>
  <c r="Z12" i="61"/>
  <c r="AB7" i="61"/>
  <c r="Y7" i="61"/>
  <c r="V71" i="59"/>
  <c r="Y71" i="59"/>
  <c r="V61" i="59"/>
  <c r="Y61" i="59"/>
  <c r="V74" i="59"/>
  <c r="Y74" i="59"/>
  <c r="V83" i="59"/>
  <c r="V64" i="59"/>
  <c r="Y64" i="59"/>
  <c r="V81" i="59"/>
  <c r="V85" i="59"/>
  <c r="V80" i="59"/>
  <c r="V70" i="59"/>
  <c r="Y70" i="59"/>
  <c r="V76" i="59"/>
  <c r="Y76" i="59"/>
  <c r="V62" i="59"/>
  <c r="Y62" i="59"/>
  <c r="U58" i="59"/>
  <c r="X58" i="59" s="1"/>
  <c r="T58" i="59"/>
  <c r="V84" i="59"/>
  <c r="V86" i="59"/>
  <c r="V56" i="59"/>
  <c r="Y56" i="59"/>
  <c r="V59" i="59"/>
  <c r="Y59" i="59"/>
  <c r="Y68" i="59"/>
  <c r="V68" i="59"/>
  <c r="V72" i="59"/>
  <c r="Y72" i="59"/>
  <c r="V66" i="59"/>
  <c r="Y66" i="59"/>
  <c r="V54" i="59"/>
  <c r="Y54" i="59"/>
  <c r="V78" i="59"/>
  <c r="U82" i="59"/>
  <c r="X82" i="59" s="1"/>
  <c r="T82" i="59"/>
  <c r="Y82" i="59" s="1"/>
  <c r="E51" i="59" l="1"/>
  <c r="W51" i="59"/>
  <c r="G52" i="59"/>
  <c r="I52" i="59" s="1"/>
  <c r="K52" i="59" s="1"/>
  <c r="S52" i="59" s="1"/>
  <c r="Z52" i="59" s="1"/>
  <c r="H52" i="59"/>
  <c r="J52" i="59" s="1"/>
  <c r="L52" i="59" s="1"/>
  <c r="Z24" i="61"/>
  <c r="B49" i="59"/>
  <c r="F50" i="59"/>
  <c r="AC24" i="61"/>
  <c r="T53" i="59"/>
  <c r="U53" i="59"/>
  <c r="X53" i="59" s="1"/>
  <c r="F11" i="68"/>
  <c r="H11" i="68"/>
  <c r="I11" i="68"/>
  <c r="E12" i="68"/>
  <c r="Z14" i="61"/>
  <c r="AC14" i="61"/>
  <c r="W14" i="61"/>
  <c r="W19" i="61"/>
  <c r="Z19" i="61"/>
  <c r="AC19" i="61"/>
  <c r="W16" i="61"/>
  <c r="Z16" i="61"/>
  <c r="AC16" i="61"/>
  <c r="Y19" i="61"/>
  <c r="AB19" i="61"/>
  <c r="Y16" i="61"/>
  <c r="AB16" i="61"/>
  <c r="W31" i="61"/>
  <c r="Z31" i="61"/>
  <c r="AC31" i="61"/>
  <c r="Y31" i="61"/>
  <c r="AB31" i="61"/>
  <c r="W37" i="61"/>
  <c r="AC37" i="61"/>
  <c r="Z37" i="61"/>
  <c r="AB37" i="61"/>
  <c r="Y37" i="61"/>
  <c r="W13" i="61"/>
  <c r="AC13" i="61"/>
  <c r="Z13" i="61"/>
  <c r="AB13" i="61"/>
  <c r="Y13" i="61"/>
  <c r="AB21" i="61"/>
  <c r="Y21" i="61"/>
  <c r="W21" i="61"/>
  <c r="Z21" i="61"/>
  <c r="AC21" i="61"/>
  <c r="V82" i="59"/>
  <c r="V58" i="59"/>
  <c r="Y58" i="59"/>
  <c r="F49" i="59" l="1"/>
  <c r="B48" i="59"/>
  <c r="E50" i="59"/>
  <c r="W50" i="59"/>
  <c r="U52" i="59"/>
  <c r="X52" i="59" s="1"/>
  <c r="T52" i="59"/>
  <c r="V53" i="59"/>
  <c r="Y53" i="59"/>
  <c r="H51" i="59"/>
  <c r="J51" i="59" s="1"/>
  <c r="L51" i="59" s="1"/>
  <c r="G51" i="59"/>
  <c r="I51" i="59" s="1"/>
  <c r="K51" i="59" s="1"/>
  <c r="S51" i="59" s="1"/>
  <c r="Z51" i="59" s="1"/>
  <c r="E13" i="68"/>
  <c r="I12" i="68"/>
  <c r="F12" i="68"/>
  <c r="H12" i="68"/>
  <c r="G12" i="68"/>
  <c r="V52" i="59" l="1"/>
  <c r="Y52" i="59"/>
  <c r="H50" i="59"/>
  <c r="J50" i="59" s="1"/>
  <c r="L50" i="59" s="1"/>
  <c r="G50" i="59"/>
  <c r="I50" i="59" s="1"/>
  <c r="K50" i="59" s="1"/>
  <c r="S50" i="59" s="1"/>
  <c r="Z50" i="59" s="1"/>
  <c r="F48" i="59"/>
  <c r="B47" i="59"/>
  <c r="T51" i="59"/>
  <c r="U51" i="59"/>
  <c r="X51" i="59" s="1"/>
  <c r="W49" i="59"/>
  <c r="E49" i="59"/>
  <c r="F13" i="68"/>
  <c r="H13" i="68"/>
  <c r="I13" i="68"/>
  <c r="E14" i="68"/>
  <c r="G14" i="68" s="1"/>
  <c r="G13" i="68"/>
  <c r="Y51" i="59" l="1"/>
  <c r="V51" i="59"/>
  <c r="W48" i="59"/>
  <c r="E48" i="59"/>
  <c r="U50" i="59"/>
  <c r="X50" i="59" s="1"/>
  <c r="T50" i="59"/>
  <c r="G49" i="59"/>
  <c r="I49" i="59" s="1"/>
  <c r="K49" i="59" s="1"/>
  <c r="S49" i="59" s="1"/>
  <c r="Z49" i="59" s="1"/>
  <c r="H49" i="59"/>
  <c r="J49" i="59" s="1"/>
  <c r="L49" i="59" s="1"/>
  <c r="B46" i="59"/>
  <c r="F47" i="59"/>
  <c r="I14" i="68"/>
  <c r="E15" i="68"/>
  <c r="F14" i="68"/>
  <c r="H14" i="68"/>
  <c r="G15" i="68"/>
  <c r="U49" i="59" l="1"/>
  <c r="X49" i="59" s="1"/>
  <c r="T49" i="59"/>
  <c r="Y50" i="59"/>
  <c r="V50" i="59"/>
  <c r="W47" i="59"/>
  <c r="E47" i="59"/>
  <c r="G48" i="59"/>
  <c r="I48" i="59" s="1"/>
  <c r="K48" i="59" s="1"/>
  <c r="S48" i="59" s="1"/>
  <c r="Z48" i="59" s="1"/>
  <c r="H48" i="59"/>
  <c r="J48" i="59" s="1"/>
  <c r="L48" i="59" s="1"/>
  <c r="B45" i="59"/>
  <c r="F46" i="59"/>
  <c r="E16" i="68"/>
  <c r="I15" i="68"/>
  <c r="F15" i="68"/>
  <c r="H15" i="68"/>
  <c r="G47" i="59" l="1"/>
  <c r="I47" i="59" s="1"/>
  <c r="K47" i="59" s="1"/>
  <c r="S47" i="59" s="1"/>
  <c r="Z47" i="59" s="1"/>
  <c r="H47" i="59"/>
  <c r="J47" i="59" s="1"/>
  <c r="L47" i="59" s="1"/>
  <c r="T48" i="59"/>
  <c r="U48" i="59"/>
  <c r="X48" i="59" s="1"/>
  <c r="W46" i="59"/>
  <c r="E46" i="59"/>
  <c r="V49" i="59"/>
  <c r="Y49" i="59"/>
  <c r="B44" i="59"/>
  <c r="F45" i="59"/>
  <c r="F16" i="68"/>
  <c r="H16" i="68"/>
  <c r="G16" i="68"/>
  <c r="E17" i="68"/>
  <c r="G17" i="68" s="1"/>
  <c r="I16" i="68"/>
  <c r="U47" i="59" l="1"/>
  <c r="X47" i="59" s="1"/>
  <c r="T47" i="59"/>
  <c r="H46" i="59"/>
  <c r="J46" i="59" s="1"/>
  <c r="L46" i="59" s="1"/>
  <c r="G46" i="59"/>
  <c r="I46" i="59" s="1"/>
  <c r="K46" i="59" s="1"/>
  <c r="S46" i="59" s="1"/>
  <c r="Z46" i="59" s="1"/>
  <c r="E45" i="59"/>
  <c r="W45" i="59"/>
  <c r="B43" i="59"/>
  <c r="F44" i="59"/>
  <c r="V48" i="59"/>
  <c r="Y48" i="59"/>
  <c r="F17" i="68"/>
  <c r="H17" i="68"/>
  <c r="I17" i="68"/>
  <c r="E18" i="68"/>
  <c r="W44" i="59" l="1"/>
  <c r="E44" i="59"/>
  <c r="B42" i="59"/>
  <c r="F43" i="59"/>
  <c r="T46" i="59"/>
  <c r="U46" i="59"/>
  <c r="X46" i="59" s="1"/>
  <c r="Y47" i="59"/>
  <c r="V47" i="59"/>
  <c r="H45" i="59"/>
  <c r="J45" i="59" s="1"/>
  <c r="L45" i="59" s="1"/>
  <c r="G45" i="59"/>
  <c r="I45" i="59" s="1"/>
  <c r="K45" i="59" s="1"/>
  <c r="S45" i="59" s="1"/>
  <c r="Z45" i="59" s="1"/>
  <c r="E19" i="68"/>
  <c r="I18" i="68"/>
  <c r="G18" i="68"/>
  <c r="F18" i="68"/>
  <c r="H18" i="68"/>
  <c r="W43" i="59" l="1"/>
  <c r="E43" i="59"/>
  <c r="V46" i="59"/>
  <c r="Y46" i="59"/>
  <c r="B41" i="59"/>
  <c r="F42" i="59"/>
  <c r="H44" i="59"/>
  <c r="J44" i="59" s="1"/>
  <c r="L44" i="59" s="1"/>
  <c r="G44" i="59"/>
  <c r="I44" i="59" s="1"/>
  <c r="K44" i="59" s="1"/>
  <c r="S44" i="59" s="1"/>
  <c r="Z44" i="59" s="1"/>
  <c r="T45" i="59"/>
  <c r="U45" i="59"/>
  <c r="X45" i="59" s="1"/>
  <c r="F19" i="68"/>
  <c r="H19" i="68"/>
  <c r="G19" i="68"/>
  <c r="E20" i="68"/>
  <c r="I19" i="68"/>
  <c r="T44" i="59" l="1"/>
  <c r="U44" i="59"/>
  <c r="X44" i="59" s="1"/>
  <c r="W42" i="59"/>
  <c r="E42" i="59"/>
  <c r="F41" i="59"/>
  <c r="B40" i="59"/>
  <c r="G43" i="59"/>
  <c r="I43" i="59" s="1"/>
  <c r="K43" i="59" s="1"/>
  <c r="S43" i="59" s="1"/>
  <c r="Z43" i="59" s="1"/>
  <c r="H43" i="59"/>
  <c r="J43" i="59" s="1"/>
  <c r="L43" i="59" s="1"/>
  <c r="Y45" i="59"/>
  <c r="V45" i="59"/>
  <c r="I20" i="68"/>
  <c r="E21" i="68"/>
  <c r="G20" i="68"/>
  <c r="F20" i="68"/>
  <c r="H20" i="68"/>
  <c r="T43" i="59" l="1"/>
  <c r="U43" i="59"/>
  <c r="X43" i="59" s="1"/>
  <c r="W41" i="59"/>
  <c r="E41" i="59"/>
  <c r="H42" i="59"/>
  <c r="J42" i="59" s="1"/>
  <c r="L42" i="59" s="1"/>
  <c r="G42" i="59"/>
  <c r="I42" i="59" s="1"/>
  <c r="K42" i="59" s="1"/>
  <c r="S42" i="59" s="1"/>
  <c r="Z42" i="59" s="1"/>
  <c r="B39" i="59"/>
  <c r="F40" i="59"/>
  <c r="V44" i="59"/>
  <c r="Y44" i="59"/>
  <c r="F21" i="68"/>
  <c r="H21" i="68"/>
  <c r="G21" i="68"/>
  <c r="I21" i="68"/>
  <c r="E22" i="68"/>
  <c r="G22" i="68" s="1"/>
  <c r="E40" i="59" l="1"/>
  <c r="W40" i="59"/>
  <c r="U42" i="59"/>
  <c r="X42" i="59" s="1"/>
  <c r="T42" i="59"/>
  <c r="G41" i="59"/>
  <c r="I41" i="59" s="1"/>
  <c r="K41" i="59" s="1"/>
  <c r="S41" i="59" s="1"/>
  <c r="Z41" i="59" s="1"/>
  <c r="H41" i="59"/>
  <c r="J41" i="59" s="1"/>
  <c r="L41" i="59" s="1"/>
  <c r="B38" i="59"/>
  <c r="F39" i="59"/>
  <c r="Y43" i="59"/>
  <c r="V43" i="59"/>
  <c r="F22" i="68"/>
  <c r="H22" i="68"/>
  <c r="I22" i="68"/>
  <c r="E23" i="68"/>
  <c r="G23" i="68" s="1"/>
  <c r="Y42" i="59" l="1"/>
  <c r="V42" i="59"/>
  <c r="E39" i="59"/>
  <c r="W39" i="59"/>
  <c r="B37" i="59"/>
  <c r="F38" i="59"/>
  <c r="T41" i="59"/>
  <c r="U41" i="59"/>
  <c r="X41" i="59" s="1"/>
  <c r="H40" i="59"/>
  <c r="J40" i="59" s="1"/>
  <c r="L40" i="59" s="1"/>
  <c r="G40" i="59"/>
  <c r="I40" i="59" s="1"/>
  <c r="K40" i="59" s="1"/>
  <c r="S40" i="59" s="1"/>
  <c r="Z40" i="59" s="1"/>
  <c r="F23" i="68"/>
  <c r="H23" i="68"/>
  <c r="I23" i="68"/>
  <c r="E24" i="68"/>
  <c r="G24" i="68" s="1"/>
  <c r="B36" i="59" l="1"/>
  <c r="F37" i="59"/>
  <c r="H39" i="59"/>
  <c r="J39" i="59" s="1"/>
  <c r="L39" i="59" s="1"/>
  <c r="G39" i="59"/>
  <c r="I39" i="59" s="1"/>
  <c r="K39" i="59" s="1"/>
  <c r="S39" i="59" s="1"/>
  <c r="Z39" i="59" s="1"/>
  <c r="Y41" i="59"/>
  <c r="V41" i="59"/>
  <c r="E38" i="59"/>
  <c r="W38" i="59"/>
  <c r="T40" i="59"/>
  <c r="U40" i="59"/>
  <c r="X40" i="59" s="1"/>
  <c r="E25" i="68"/>
  <c r="I24" i="68"/>
  <c r="F24" i="68"/>
  <c r="H24" i="68"/>
  <c r="G38" i="59" l="1"/>
  <c r="I38" i="59" s="1"/>
  <c r="K38" i="59" s="1"/>
  <c r="S38" i="59" s="1"/>
  <c r="Z38" i="59" s="1"/>
  <c r="H38" i="59"/>
  <c r="J38" i="59" s="1"/>
  <c r="L38" i="59" s="1"/>
  <c r="W37" i="59"/>
  <c r="E37" i="59"/>
  <c r="T39" i="59"/>
  <c r="U39" i="59"/>
  <c r="X39" i="59" s="1"/>
  <c r="Y40" i="59"/>
  <c r="V40" i="59"/>
  <c r="F36" i="59"/>
  <c r="B35" i="59"/>
  <c r="F25" i="68"/>
  <c r="H25" i="68"/>
  <c r="G25" i="68"/>
  <c r="E26" i="68"/>
  <c r="I25" i="68"/>
  <c r="E36" i="59" l="1"/>
  <c r="W36" i="59"/>
  <c r="Y39" i="59"/>
  <c r="V39" i="59"/>
  <c r="B34" i="59"/>
  <c r="F35" i="59"/>
  <c r="H37" i="59"/>
  <c r="J37" i="59" s="1"/>
  <c r="L37" i="59" s="1"/>
  <c r="G37" i="59"/>
  <c r="I37" i="59" s="1"/>
  <c r="K37" i="59" s="1"/>
  <c r="S37" i="59" s="1"/>
  <c r="Z37" i="59" s="1"/>
  <c r="U38" i="59"/>
  <c r="X38" i="59" s="1"/>
  <c r="T38" i="59"/>
  <c r="I26" i="68"/>
  <c r="E27" i="68"/>
  <c r="G27" i="68" s="1"/>
  <c r="F26" i="68"/>
  <c r="H26" i="68"/>
  <c r="G26" i="68"/>
  <c r="U37" i="59" l="1"/>
  <c r="X37" i="59" s="1"/>
  <c r="T37" i="59"/>
  <c r="B33" i="59"/>
  <c r="F34" i="59"/>
  <c r="E35" i="59"/>
  <c r="W35" i="59"/>
  <c r="V38" i="59"/>
  <c r="Y38" i="59"/>
  <c r="G36" i="59"/>
  <c r="I36" i="59" s="1"/>
  <c r="K36" i="59" s="1"/>
  <c r="S36" i="59" s="1"/>
  <c r="Z36" i="59" s="1"/>
  <c r="H36" i="59"/>
  <c r="J36" i="59" s="1"/>
  <c r="L36" i="59" s="1"/>
  <c r="F27" i="68"/>
  <c r="H27" i="68"/>
  <c r="E28" i="68"/>
  <c r="I27" i="68"/>
  <c r="H35" i="59" l="1"/>
  <c r="J35" i="59" s="1"/>
  <c r="L35" i="59" s="1"/>
  <c r="G35" i="59"/>
  <c r="I35" i="59" s="1"/>
  <c r="K35" i="59" s="1"/>
  <c r="S35" i="59" s="1"/>
  <c r="Z35" i="59" s="1"/>
  <c r="E34" i="59"/>
  <c r="W34" i="59"/>
  <c r="F33" i="59"/>
  <c r="B32" i="59"/>
  <c r="T36" i="59"/>
  <c r="U36" i="59"/>
  <c r="X36" i="59" s="1"/>
  <c r="V37" i="59"/>
  <c r="Y37" i="59"/>
  <c r="I28" i="68"/>
  <c r="E29" i="68"/>
  <c r="F28" i="68"/>
  <c r="H28" i="68"/>
  <c r="G28" i="68"/>
  <c r="G29" i="68"/>
  <c r="F32" i="59" l="1"/>
  <c r="B31" i="59"/>
  <c r="W33" i="59"/>
  <c r="E33" i="59"/>
  <c r="G34" i="59"/>
  <c r="I34" i="59" s="1"/>
  <c r="K34" i="59" s="1"/>
  <c r="S34" i="59" s="1"/>
  <c r="Z34" i="59" s="1"/>
  <c r="H34" i="59"/>
  <c r="J34" i="59" s="1"/>
  <c r="L34" i="59" s="1"/>
  <c r="Y36" i="59"/>
  <c r="V36" i="59"/>
  <c r="T35" i="59"/>
  <c r="U35" i="59"/>
  <c r="X35" i="59" s="1"/>
  <c r="I29" i="68"/>
  <c r="E30" i="68"/>
  <c r="F29" i="68"/>
  <c r="H29" i="68"/>
  <c r="G33" i="59" l="1"/>
  <c r="I33" i="59" s="1"/>
  <c r="K33" i="59" s="1"/>
  <c r="S33" i="59" s="1"/>
  <c r="Z33" i="59" s="1"/>
  <c r="H33" i="59"/>
  <c r="J33" i="59" s="1"/>
  <c r="L33" i="59" s="1"/>
  <c r="U34" i="59"/>
  <c r="X34" i="59" s="1"/>
  <c r="T34" i="59"/>
  <c r="F31" i="59"/>
  <c r="B30" i="59"/>
  <c r="Y35" i="59"/>
  <c r="V35" i="59"/>
  <c r="W32" i="59"/>
  <c r="E32" i="59"/>
  <c r="F30" i="68"/>
  <c r="H30" i="68"/>
  <c r="G30" i="68"/>
  <c r="I30" i="68"/>
  <c r="E31" i="68"/>
  <c r="G31" i="68" s="1"/>
  <c r="B29" i="59" l="1"/>
  <c r="F30" i="59"/>
  <c r="E31" i="59"/>
  <c r="W31" i="59"/>
  <c r="Y34" i="59"/>
  <c r="V34" i="59"/>
  <c r="H32" i="59"/>
  <c r="J32" i="59" s="1"/>
  <c r="L32" i="59" s="1"/>
  <c r="G32" i="59"/>
  <c r="I32" i="59" s="1"/>
  <c r="K32" i="59" s="1"/>
  <c r="S32" i="59" s="1"/>
  <c r="Z32" i="59" s="1"/>
  <c r="U33" i="59"/>
  <c r="X33" i="59" s="1"/>
  <c r="T33" i="59"/>
  <c r="E32" i="68"/>
  <c r="I31" i="68"/>
  <c r="F31" i="68"/>
  <c r="H31" i="68"/>
  <c r="U32" i="59" l="1"/>
  <c r="X32" i="59" s="1"/>
  <c r="T32" i="59"/>
  <c r="W30" i="59"/>
  <c r="E30" i="59"/>
  <c r="G31" i="59"/>
  <c r="I31" i="59" s="1"/>
  <c r="K31" i="59" s="1"/>
  <c r="S31" i="59" s="1"/>
  <c r="Z31" i="59" s="1"/>
  <c r="H31" i="59"/>
  <c r="J31" i="59" s="1"/>
  <c r="L31" i="59" s="1"/>
  <c r="V33" i="59"/>
  <c r="Y33" i="59"/>
  <c r="B28" i="59"/>
  <c r="F29" i="59"/>
  <c r="F32" i="68"/>
  <c r="H32" i="68"/>
  <c r="G32" i="68"/>
  <c r="I32" i="68"/>
  <c r="E33" i="68"/>
  <c r="U31" i="59" l="1"/>
  <c r="X31" i="59" s="1"/>
  <c r="T31" i="59"/>
  <c r="G30" i="59"/>
  <c r="I30" i="59" s="1"/>
  <c r="K30" i="59" s="1"/>
  <c r="S30" i="59" s="1"/>
  <c r="Z30" i="59" s="1"/>
  <c r="H30" i="59"/>
  <c r="J30" i="59" s="1"/>
  <c r="L30" i="59" s="1"/>
  <c r="W29" i="59"/>
  <c r="E29" i="59"/>
  <c r="V32" i="59"/>
  <c r="Y32" i="59"/>
  <c r="B27" i="59"/>
  <c r="F28" i="59"/>
  <c r="E34" i="68"/>
  <c r="I33" i="68"/>
  <c r="G33" i="68"/>
  <c r="F33" i="68"/>
  <c r="H33" i="68"/>
  <c r="T30" i="59" l="1"/>
  <c r="U30" i="59"/>
  <c r="X30" i="59" s="1"/>
  <c r="W28" i="59"/>
  <c r="E28" i="59"/>
  <c r="V31" i="59"/>
  <c r="Y31" i="59"/>
  <c r="G29" i="59"/>
  <c r="I29" i="59" s="1"/>
  <c r="K29" i="59" s="1"/>
  <c r="S29" i="59" s="1"/>
  <c r="Z29" i="59" s="1"/>
  <c r="H29" i="59"/>
  <c r="J29" i="59" s="1"/>
  <c r="L29" i="59" s="1"/>
  <c r="B26" i="59"/>
  <c r="F27" i="59"/>
  <c r="F34" i="68"/>
  <c r="H34" i="68"/>
  <c r="G34" i="68"/>
  <c r="I34" i="68"/>
  <c r="E35" i="68"/>
  <c r="U29" i="59" l="1"/>
  <c r="X29" i="59" s="1"/>
  <c r="T29" i="59"/>
  <c r="G28" i="59"/>
  <c r="I28" i="59" s="1"/>
  <c r="K28" i="59" s="1"/>
  <c r="S28" i="59" s="1"/>
  <c r="Z28" i="59" s="1"/>
  <c r="H28" i="59"/>
  <c r="J28" i="59" s="1"/>
  <c r="L28" i="59" s="1"/>
  <c r="E27" i="59"/>
  <c r="W27" i="59"/>
  <c r="B25" i="59"/>
  <c r="F26" i="59"/>
  <c r="Y30" i="59"/>
  <c r="V30" i="59"/>
  <c r="I35" i="68"/>
  <c r="E36" i="68"/>
  <c r="F35" i="68"/>
  <c r="H35" i="68"/>
  <c r="G35" i="68"/>
  <c r="F25" i="59" l="1"/>
  <c r="B24" i="59"/>
  <c r="E26" i="59"/>
  <c r="W26" i="59"/>
  <c r="H27" i="59"/>
  <c r="J27" i="59" s="1"/>
  <c r="L27" i="59" s="1"/>
  <c r="G27" i="59"/>
  <c r="I27" i="59" s="1"/>
  <c r="K27" i="59" s="1"/>
  <c r="S27" i="59" s="1"/>
  <c r="Z27" i="59" s="1"/>
  <c r="T28" i="59"/>
  <c r="U28" i="59"/>
  <c r="X28" i="59" s="1"/>
  <c r="Y29" i="59"/>
  <c r="V29" i="59"/>
  <c r="E37" i="68"/>
  <c r="G37" i="68" s="1"/>
  <c r="I36" i="68"/>
  <c r="F36" i="68"/>
  <c r="H36" i="68"/>
  <c r="G36" i="68"/>
  <c r="T27" i="59" l="1"/>
  <c r="U27" i="59"/>
  <c r="X27" i="59" s="1"/>
  <c r="G26" i="59"/>
  <c r="I26" i="59" s="1"/>
  <c r="K26" i="59" s="1"/>
  <c r="S26" i="59" s="1"/>
  <c r="Z26" i="59" s="1"/>
  <c r="H26" i="59"/>
  <c r="J26" i="59" s="1"/>
  <c r="L26" i="59" s="1"/>
  <c r="B23" i="59"/>
  <c r="F24" i="59"/>
  <c r="Y28" i="59"/>
  <c r="V28" i="59"/>
  <c r="E25" i="59"/>
  <c r="W25" i="59"/>
  <c r="F37" i="68"/>
  <c r="H37" i="68"/>
  <c r="E38" i="68"/>
  <c r="G38" i="68" s="1"/>
  <c r="I37" i="68"/>
  <c r="H25" i="59" l="1"/>
  <c r="J25" i="59" s="1"/>
  <c r="L25" i="59" s="1"/>
  <c r="G25" i="59"/>
  <c r="I25" i="59" s="1"/>
  <c r="K25" i="59" s="1"/>
  <c r="S25" i="59" s="1"/>
  <c r="Z25" i="59" s="1"/>
  <c r="E24" i="59"/>
  <c r="W24" i="59"/>
  <c r="F23" i="59"/>
  <c r="B22" i="59"/>
  <c r="T26" i="59"/>
  <c r="U26" i="59"/>
  <c r="X26" i="59" s="1"/>
  <c r="Y27" i="59"/>
  <c r="V27" i="59"/>
  <c r="F38" i="68"/>
  <c r="H38" i="68"/>
  <c r="I38" i="68"/>
  <c r="E39" i="68"/>
  <c r="G39" i="68" s="1"/>
  <c r="Y26" i="59" l="1"/>
  <c r="V26" i="59"/>
  <c r="W23" i="59"/>
  <c r="E23" i="59"/>
  <c r="G24" i="59"/>
  <c r="I24" i="59" s="1"/>
  <c r="K24" i="59" s="1"/>
  <c r="S24" i="59" s="1"/>
  <c r="Z24" i="59" s="1"/>
  <c r="H24" i="59"/>
  <c r="J24" i="59" s="1"/>
  <c r="L24" i="59" s="1"/>
  <c r="F22" i="59"/>
  <c r="B21" i="59"/>
  <c r="T25" i="59"/>
  <c r="U25" i="59"/>
  <c r="X25" i="59" s="1"/>
  <c r="E40" i="68"/>
  <c r="I39" i="68"/>
  <c r="F39" i="68"/>
  <c r="H39" i="68"/>
  <c r="H23" i="59" l="1"/>
  <c r="J23" i="59" s="1"/>
  <c r="L23" i="59" s="1"/>
  <c r="G23" i="59"/>
  <c r="I23" i="59" s="1"/>
  <c r="K23" i="59" s="1"/>
  <c r="S23" i="59" s="1"/>
  <c r="Z23" i="59" s="1"/>
  <c r="E22" i="59"/>
  <c r="W22" i="59"/>
  <c r="F21" i="59"/>
  <c r="B20" i="59"/>
  <c r="U24" i="59"/>
  <c r="X24" i="59" s="1"/>
  <c r="T24" i="59"/>
  <c r="V25" i="59"/>
  <c r="Y25" i="59"/>
  <c r="F40" i="68"/>
  <c r="H40" i="68"/>
  <c r="I40" i="68"/>
  <c r="E41" i="68"/>
  <c r="G40" i="68"/>
  <c r="Y24" i="59" l="1"/>
  <c r="V24" i="59"/>
  <c r="W21" i="59"/>
  <c r="E21" i="59"/>
  <c r="H22" i="59"/>
  <c r="J22" i="59" s="1"/>
  <c r="L22" i="59" s="1"/>
  <c r="G22" i="59"/>
  <c r="I22" i="59" s="1"/>
  <c r="K22" i="59" s="1"/>
  <c r="S22" i="59" s="1"/>
  <c r="Z22" i="59" s="1"/>
  <c r="F20" i="59"/>
  <c r="B19" i="59"/>
  <c r="U23" i="59"/>
  <c r="X23" i="59" s="1"/>
  <c r="T23" i="59"/>
  <c r="I41" i="68"/>
  <c r="E42" i="68"/>
  <c r="F41" i="68"/>
  <c r="H41" i="68"/>
  <c r="G42" i="68"/>
  <c r="G41" i="68"/>
  <c r="U22" i="59" l="1"/>
  <c r="X22" i="59" s="1"/>
  <c r="T22" i="59"/>
  <c r="B18" i="59"/>
  <c r="F19" i="59"/>
  <c r="E20" i="59"/>
  <c r="W20" i="59"/>
  <c r="V23" i="59"/>
  <c r="Y23" i="59"/>
  <c r="G21" i="59"/>
  <c r="I21" i="59" s="1"/>
  <c r="K21" i="59" s="1"/>
  <c r="S21" i="59" s="1"/>
  <c r="Z21" i="59" s="1"/>
  <c r="H21" i="59"/>
  <c r="J21" i="59" s="1"/>
  <c r="L21" i="59" s="1"/>
  <c r="F42" i="68"/>
  <c r="H42" i="68"/>
  <c r="E43" i="68"/>
  <c r="G43" i="68" s="1"/>
  <c r="I42" i="68"/>
  <c r="G20" i="59" l="1"/>
  <c r="I20" i="59" s="1"/>
  <c r="K20" i="59" s="1"/>
  <c r="S20" i="59" s="1"/>
  <c r="Z20" i="59" s="1"/>
  <c r="H20" i="59"/>
  <c r="J20" i="59" s="1"/>
  <c r="L20" i="59" s="1"/>
  <c r="W19" i="59"/>
  <c r="E19" i="59"/>
  <c r="B17" i="59"/>
  <c r="F18" i="59"/>
  <c r="U21" i="59"/>
  <c r="X21" i="59" s="1"/>
  <c r="T21" i="59"/>
  <c r="V22" i="59"/>
  <c r="Y22" i="59"/>
  <c r="F43" i="68"/>
  <c r="H43" i="68"/>
  <c r="E44" i="68"/>
  <c r="I43" i="68"/>
  <c r="G44" i="68"/>
  <c r="V21" i="59" l="1"/>
  <c r="Y21" i="59"/>
  <c r="E18" i="59"/>
  <c r="W18" i="59"/>
  <c r="F17" i="59"/>
  <c r="B16" i="59"/>
  <c r="H19" i="59"/>
  <c r="J19" i="59" s="1"/>
  <c r="L19" i="59" s="1"/>
  <c r="G19" i="59"/>
  <c r="I19" i="59" s="1"/>
  <c r="K19" i="59" s="1"/>
  <c r="S19" i="59" s="1"/>
  <c r="Z19" i="59" s="1"/>
  <c r="T20" i="59"/>
  <c r="U20" i="59"/>
  <c r="X20" i="59" s="1"/>
  <c r="I44" i="68"/>
  <c r="E45" i="68"/>
  <c r="F44" i="68"/>
  <c r="H44" i="68"/>
  <c r="W17" i="59" l="1"/>
  <c r="E17" i="59"/>
  <c r="G18" i="59"/>
  <c r="I18" i="59" s="1"/>
  <c r="K18" i="59" s="1"/>
  <c r="S18" i="59" s="1"/>
  <c r="Z18" i="59" s="1"/>
  <c r="H18" i="59"/>
  <c r="J18" i="59" s="1"/>
  <c r="L18" i="59" s="1"/>
  <c r="U19" i="59"/>
  <c r="X19" i="59" s="1"/>
  <c r="T19" i="59"/>
  <c r="B15" i="59"/>
  <c r="F16" i="59"/>
  <c r="V20" i="59"/>
  <c r="Y20" i="59"/>
  <c r="F45" i="68"/>
  <c r="H45" i="68"/>
  <c r="G45" i="68"/>
  <c r="E46" i="68"/>
  <c r="I45" i="68"/>
  <c r="G46" i="68"/>
  <c r="E16" i="59" l="1"/>
  <c r="W16" i="59"/>
  <c r="B14" i="59"/>
  <c r="F15" i="59"/>
  <c r="U18" i="59"/>
  <c r="X18" i="59" s="1"/>
  <c r="T18" i="59"/>
  <c r="V19" i="59"/>
  <c r="Y19" i="59"/>
  <c r="G17" i="59"/>
  <c r="I17" i="59" s="1"/>
  <c r="K17" i="59" s="1"/>
  <c r="S17" i="59" s="1"/>
  <c r="Z17" i="59" s="1"/>
  <c r="H17" i="59"/>
  <c r="J17" i="59" s="1"/>
  <c r="L17" i="59" s="1"/>
  <c r="F46" i="68"/>
  <c r="H46" i="68"/>
  <c r="I46" i="68"/>
  <c r="E47" i="68"/>
  <c r="V18" i="59" l="1"/>
  <c r="Y18" i="59"/>
  <c r="E15" i="59"/>
  <c r="W15" i="59"/>
  <c r="F14" i="59"/>
  <c r="B13" i="59"/>
  <c r="U17" i="59"/>
  <c r="X17" i="59" s="1"/>
  <c r="T17" i="59"/>
  <c r="H16" i="59"/>
  <c r="J16" i="59" s="1"/>
  <c r="L16" i="59" s="1"/>
  <c r="G16" i="59"/>
  <c r="I16" i="59" s="1"/>
  <c r="K16" i="59" s="1"/>
  <c r="S16" i="59" s="1"/>
  <c r="Z16" i="59" s="1"/>
  <c r="I47" i="68"/>
  <c r="E48" i="68"/>
  <c r="G48" i="68"/>
  <c r="F47" i="68"/>
  <c r="H47" i="68"/>
  <c r="G47" i="68"/>
  <c r="V17" i="59" l="1"/>
  <c r="Y17" i="59"/>
  <c r="B12" i="59"/>
  <c r="F13" i="59"/>
  <c r="W14" i="59"/>
  <c r="E14" i="59"/>
  <c r="H15" i="59"/>
  <c r="J15" i="59" s="1"/>
  <c r="L15" i="59" s="1"/>
  <c r="G15" i="59"/>
  <c r="I15" i="59" s="1"/>
  <c r="K15" i="59" s="1"/>
  <c r="S15" i="59" s="1"/>
  <c r="Z15" i="59" s="1"/>
  <c r="U16" i="59"/>
  <c r="X16" i="59" s="1"/>
  <c r="T16" i="59"/>
  <c r="F48" i="68"/>
  <c r="H48" i="68"/>
  <c r="E49" i="68"/>
  <c r="G49" i="68" s="1"/>
  <c r="I48" i="68"/>
  <c r="U15" i="59" l="1"/>
  <c r="X15" i="59" s="1"/>
  <c r="T15" i="59"/>
  <c r="W13" i="59"/>
  <c r="E13" i="59"/>
  <c r="B11" i="59"/>
  <c r="F12" i="59"/>
  <c r="H14" i="59"/>
  <c r="J14" i="59" s="1"/>
  <c r="L14" i="59" s="1"/>
  <c r="G14" i="59"/>
  <c r="I14" i="59" s="1"/>
  <c r="K14" i="59" s="1"/>
  <c r="S14" i="59" s="1"/>
  <c r="Z14" i="59" s="1"/>
  <c r="Y16" i="59"/>
  <c r="V16" i="59"/>
  <c r="E50" i="68"/>
  <c r="I49" i="68"/>
  <c r="F49" i="68"/>
  <c r="G50" i="68"/>
  <c r="H49" i="68"/>
  <c r="H13" i="59" l="1"/>
  <c r="J13" i="59" s="1"/>
  <c r="L13" i="59" s="1"/>
  <c r="G13" i="59"/>
  <c r="I13" i="59" s="1"/>
  <c r="K13" i="59" s="1"/>
  <c r="S13" i="59" s="1"/>
  <c r="Z13" i="59" s="1"/>
  <c r="W12" i="59"/>
  <c r="E12" i="59"/>
  <c r="U14" i="59"/>
  <c r="X14" i="59" s="1"/>
  <c r="T14" i="59"/>
  <c r="F11" i="59"/>
  <c r="B10" i="59"/>
  <c r="Y15" i="59"/>
  <c r="V15" i="59"/>
  <c r="I50" i="68"/>
  <c r="E51" i="68"/>
  <c r="F50" i="68"/>
  <c r="H50" i="68"/>
  <c r="W11" i="59" l="1"/>
  <c r="E11" i="59"/>
  <c r="V14" i="59"/>
  <c r="Y14" i="59"/>
  <c r="H12" i="59"/>
  <c r="J12" i="59" s="1"/>
  <c r="L12" i="59" s="1"/>
  <c r="G12" i="59"/>
  <c r="I12" i="59" s="1"/>
  <c r="K12" i="59" s="1"/>
  <c r="S12" i="59" s="1"/>
  <c r="Z12" i="59" s="1"/>
  <c r="B9" i="59"/>
  <c r="F10" i="59"/>
  <c r="U13" i="59"/>
  <c r="X13" i="59" s="1"/>
  <c r="T13" i="59"/>
  <c r="F51" i="68"/>
  <c r="H51" i="68"/>
  <c r="G51" i="68"/>
  <c r="I51" i="68"/>
  <c r="E52" i="68"/>
  <c r="W10" i="59" l="1"/>
  <c r="E10" i="59"/>
  <c r="T12" i="59"/>
  <c r="U12" i="59"/>
  <c r="X12" i="59" s="1"/>
  <c r="B8" i="59"/>
  <c r="F9" i="59"/>
  <c r="V13" i="59"/>
  <c r="Y13" i="59"/>
  <c r="H11" i="59"/>
  <c r="J11" i="59" s="1"/>
  <c r="L11" i="59" s="1"/>
  <c r="G11" i="59"/>
  <c r="I11" i="59" s="1"/>
  <c r="K11" i="59" s="1"/>
  <c r="S11" i="59" s="1"/>
  <c r="Z11" i="59" s="1"/>
  <c r="I52" i="68"/>
  <c r="E53" i="68"/>
  <c r="F52" i="68"/>
  <c r="H52" i="68"/>
  <c r="G52" i="68"/>
  <c r="F8" i="59" l="1"/>
  <c r="B7" i="59"/>
  <c r="W9" i="59"/>
  <c r="E9" i="59"/>
  <c r="V12" i="59"/>
  <c r="Y12" i="59"/>
  <c r="G10" i="59"/>
  <c r="I10" i="59" s="1"/>
  <c r="K10" i="59" s="1"/>
  <c r="S10" i="59" s="1"/>
  <c r="Z10" i="59" s="1"/>
  <c r="H10" i="59"/>
  <c r="J10" i="59" s="1"/>
  <c r="L10" i="59" s="1"/>
  <c r="T11" i="59"/>
  <c r="U11" i="59"/>
  <c r="X11" i="59" s="1"/>
  <c r="I53" i="68"/>
  <c r="F53" i="68"/>
  <c r="H53" i="68"/>
  <c r="G53" i="68"/>
  <c r="G9" i="59" l="1"/>
  <c r="I9" i="59" s="1"/>
  <c r="K9" i="59" s="1"/>
  <c r="S9" i="59" s="1"/>
  <c r="Z9" i="59" s="1"/>
  <c r="H9" i="59"/>
  <c r="J9" i="59" s="1"/>
  <c r="L9" i="59" s="1"/>
  <c r="U10" i="59"/>
  <c r="X10" i="59" s="1"/>
  <c r="T10" i="59"/>
  <c r="B6" i="59"/>
  <c r="F7" i="59"/>
  <c r="V11" i="59"/>
  <c r="Y11" i="59"/>
  <c r="W8" i="59"/>
  <c r="E8" i="59"/>
  <c r="W7" i="59" l="1"/>
  <c r="E7" i="59"/>
  <c r="F6" i="59"/>
  <c r="B5" i="59"/>
  <c r="V10" i="59"/>
  <c r="Y10" i="59"/>
  <c r="H8" i="59"/>
  <c r="J8" i="59" s="1"/>
  <c r="L8" i="59" s="1"/>
  <c r="G8" i="59"/>
  <c r="I8" i="59" s="1"/>
  <c r="K8" i="59" s="1"/>
  <c r="S8" i="59" s="1"/>
  <c r="Z8" i="59" s="1"/>
  <c r="U9" i="59"/>
  <c r="X9" i="59" s="1"/>
  <c r="T9" i="59"/>
  <c r="T8" i="59" l="1"/>
  <c r="U8" i="59"/>
  <c r="X8" i="59" s="1"/>
  <c r="F5" i="59"/>
  <c r="B4" i="59"/>
  <c r="E6" i="59"/>
  <c r="W6" i="59"/>
  <c r="V9" i="59"/>
  <c r="Y9" i="59"/>
  <c r="G7" i="59"/>
  <c r="I7" i="59" s="1"/>
  <c r="K7" i="59" s="1"/>
  <c r="S7" i="59" s="1"/>
  <c r="Z7" i="59" s="1"/>
  <c r="H7" i="59"/>
  <c r="J7" i="59" s="1"/>
  <c r="L7" i="59" s="1"/>
  <c r="H6" i="59" l="1"/>
  <c r="J6" i="59" s="1"/>
  <c r="L6" i="59" s="1"/>
  <c r="G6" i="59"/>
  <c r="I6" i="59" s="1"/>
  <c r="K6" i="59" s="1"/>
  <c r="S6" i="59" s="1"/>
  <c r="Z6" i="59" s="1"/>
  <c r="B3" i="59"/>
  <c r="F3" i="59" s="1"/>
  <c r="F4" i="59"/>
  <c r="E5" i="59"/>
  <c r="W5" i="59"/>
  <c r="U7" i="59"/>
  <c r="X7" i="59" s="1"/>
  <c r="T7" i="59"/>
  <c r="V8" i="59"/>
  <c r="Y8" i="59"/>
  <c r="H5" i="59" l="1"/>
  <c r="J5" i="59" s="1"/>
  <c r="L5" i="59" s="1"/>
  <c r="G5" i="59"/>
  <c r="I5" i="59" s="1"/>
  <c r="K5" i="59" s="1"/>
  <c r="S5" i="59" s="1"/>
  <c r="Z5" i="59" s="1"/>
  <c r="W4" i="59"/>
  <c r="E4" i="59"/>
  <c r="V7" i="59"/>
  <c r="Y7" i="59"/>
  <c r="W3" i="59"/>
  <c r="E3" i="59"/>
  <c r="U6" i="59"/>
  <c r="X6" i="59" s="1"/>
  <c r="T6" i="59"/>
  <c r="H3" i="59" l="1"/>
  <c r="J3" i="59" s="1"/>
  <c r="L3" i="59" s="1"/>
  <c r="G3" i="59"/>
  <c r="I3" i="59" s="1"/>
  <c r="K3" i="59" s="1"/>
  <c r="S3" i="59" s="1"/>
  <c r="Z3" i="59" s="1"/>
  <c r="H4" i="59"/>
  <c r="J4" i="59" s="1"/>
  <c r="L4" i="59" s="1"/>
  <c r="G4" i="59"/>
  <c r="I4" i="59" s="1"/>
  <c r="K4" i="59" s="1"/>
  <c r="S4" i="59" s="1"/>
  <c r="Z4" i="59" s="1"/>
  <c r="V6" i="59"/>
  <c r="Y6" i="59"/>
  <c r="T5" i="59"/>
  <c r="U5" i="59"/>
  <c r="X5" i="59" s="1"/>
  <c r="E3" i="55"/>
  <c r="E4" i="55" s="1"/>
  <c r="E5" i="55" s="1"/>
  <c r="E6" i="55" s="1"/>
  <c r="E7" i="55" s="1"/>
  <c r="E8" i="55" s="1"/>
  <c r="E9" i="55" s="1"/>
  <c r="E10" i="55" s="1"/>
  <c r="E11" i="55" s="1"/>
  <c r="E12" i="55" s="1"/>
  <c r="E13" i="55" s="1"/>
  <c r="E14" i="55" s="1"/>
  <c r="E15" i="55" s="1"/>
  <c r="E16" i="55" s="1"/>
  <c r="E17" i="55" s="1"/>
  <c r="E18" i="55" s="1"/>
  <c r="E19" i="55" s="1"/>
  <c r="E20" i="55" s="1"/>
  <c r="E21" i="55" s="1"/>
  <c r="E22" i="55" s="1"/>
  <c r="E23" i="55" s="1"/>
  <c r="E24" i="55" s="1"/>
  <c r="E25" i="55" s="1"/>
  <c r="E26" i="55" s="1"/>
  <c r="E27" i="55" s="1"/>
  <c r="E28" i="55" s="1"/>
  <c r="E29" i="55" s="1"/>
  <c r="E30" i="55" s="1"/>
  <c r="E31" i="55" s="1"/>
  <c r="E32" i="55" s="1"/>
  <c r="E33" i="55" s="1"/>
  <c r="E34" i="55" s="1"/>
  <c r="E35" i="55" s="1"/>
  <c r="E36" i="55" s="1"/>
  <c r="E37" i="55" s="1"/>
  <c r="E38" i="55" s="1"/>
  <c r="E39" i="55" s="1"/>
  <c r="E40" i="55" s="1"/>
  <c r="E41" i="55" s="1"/>
  <c r="E42" i="55" s="1"/>
  <c r="E43" i="55" s="1"/>
  <c r="E44" i="55" s="1"/>
  <c r="E45" i="55" s="1"/>
  <c r="E46" i="55" s="1"/>
  <c r="E47" i="55" s="1"/>
  <c r="E48" i="55" s="1"/>
  <c r="E49" i="55" s="1"/>
  <c r="E50" i="55" s="1"/>
  <c r="E51" i="55" s="1"/>
  <c r="E52" i="55" s="1"/>
  <c r="E53" i="55" s="1"/>
  <c r="D3" i="55"/>
  <c r="D4" i="55" s="1"/>
  <c r="D5" i="55" s="1"/>
  <c r="D6" i="55" s="1"/>
  <c r="D7" i="55" s="1"/>
  <c r="D8" i="55" s="1"/>
  <c r="D9" i="55" s="1"/>
  <c r="D10" i="55" s="1"/>
  <c r="D11" i="55" s="1"/>
  <c r="D12" i="55" s="1"/>
  <c r="D13" i="55" s="1"/>
  <c r="D14" i="55" s="1"/>
  <c r="D15" i="55" s="1"/>
  <c r="D16" i="55" s="1"/>
  <c r="D17" i="55" s="1"/>
  <c r="D18" i="55" s="1"/>
  <c r="D19" i="55" s="1"/>
  <c r="D20" i="55" s="1"/>
  <c r="D21" i="55" s="1"/>
  <c r="D22" i="55" s="1"/>
  <c r="D23" i="55" s="1"/>
  <c r="D24" i="55" s="1"/>
  <c r="D25" i="55" s="1"/>
  <c r="D26" i="55" s="1"/>
  <c r="D27" i="55" s="1"/>
  <c r="D28" i="55" s="1"/>
  <c r="D29" i="55" s="1"/>
  <c r="D30" i="55" s="1"/>
  <c r="D31" i="55" s="1"/>
  <c r="C3" i="55"/>
  <c r="C4" i="55" s="1"/>
  <c r="C5" i="55" s="1"/>
  <c r="C6" i="55" s="1"/>
  <c r="C7" i="55" s="1"/>
  <c r="C8" i="55" s="1"/>
  <c r="C9" i="55" s="1"/>
  <c r="C10" i="55" s="1"/>
  <c r="C11" i="55" s="1"/>
  <c r="C12" i="55" s="1"/>
  <c r="C13" i="55" s="1"/>
  <c r="C14" i="55" s="1"/>
  <c r="C15" i="55" s="1"/>
  <c r="C16" i="55" s="1"/>
  <c r="C17" i="55" s="1"/>
  <c r="C18" i="55" s="1"/>
  <c r="C19" i="55" s="1"/>
  <c r="C20" i="55" s="1"/>
  <c r="C21" i="55" s="1"/>
  <c r="C22" i="55" s="1"/>
  <c r="C23" i="55" s="1"/>
  <c r="C24" i="55" s="1"/>
  <c r="C25" i="55" s="1"/>
  <c r="C26" i="55" s="1"/>
  <c r="C27" i="55" s="1"/>
  <c r="C28" i="55" s="1"/>
  <c r="C29" i="55" s="1"/>
  <c r="C30" i="55" s="1"/>
  <c r="C31" i="55" s="1"/>
  <c r="C32" i="55" s="1"/>
  <c r="C33" i="55" s="1"/>
  <c r="C34" i="55" s="1"/>
  <c r="C35" i="55" s="1"/>
  <c r="C36" i="55" s="1"/>
  <c r="C37" i="55" s="1"/>
  <c r="C38" i="55" s="1"/>
  <c r="C39" i="55" s="1"/>
  <c r="C40" i="55" s="1"/>
  <c r="C41" i="55" s="1"/>
  <c r="C42" i="55" s="1"/>
  <c r="C43" i="55" s="1"/>
  <c r="C44" i="55" s="1"/>
  <c r="C45" i="55" s="1"/>
  <c r="C46" i="55" s="1"/>
  <c r="C47" i="55" s="1"/>
  <c r="C48" i="55" s="1"/>
  <c r="C49" i="55" s="1"/>
  <c r="C50" i="55" s="1"/>
  <c r="C51" i="55" s="1"/>
  <c r="C52" i="55" s="1"/>
  <c r="C53" i="55" s="1"/>
  <c r="I2" i="55"/>
  <c r="H2" i="55"/>
  <c r="G2" i="55"/>
  <c r="F2" i="55"/>
  <c r="V5" i="59" l="1"/>
  <c r="Y5" i="59"/>
  <c r="U4" i="59"/>
  <c r="X4" i="59" s="1"/>
  <c r="T4" i="59"/>
  <c r="T3" i="59"/>
  <c r="U3" i="59"/>
  <c r="X3" i="59" s="1"/>
  <c r="F31" i="55"/>
  <c r="D32" i="55"/>
  <c r="D33" i="55" s="1"/>
  <c r="D34" i="55" s="1"/>
  <c r="D35" i="55" s="1"/>
  <c r="D36" i="55" s="1"/>
  <c r="D37" i="55" s="1"/>
  <c r="D38" i="55" s="1"/>
  <c r="D39" i="55" s="1"/>
  <c r="D40" i="55" s="1"/>
  <c r="D41" i="55" s="1"/>
  <c r="D42" i="55" s="1"/>
  <c r="D43" i="55" s="1"/>
  <c r="D44" i="55" s="1"/>
  <c r="D45" i="55" s="1"/>
  <c r="D46" i="55" s="1"/>
  <c r="D47" i="55" s="1"/>
  <c r="D48" i="55" s="1"/>
  <c r="D49" i="55" s="1"/>
  <c r="D50" i="55" s="1"/>
  <c r="D51" i="55" s="1"/>
  <c r="D52" i="55" s="1"/>
  <c r="D53" i="55" s="1"/>
  <c r="H3" i="55"/>
  <c r="I4" i="55"/>
  <c r="F3" i="55"/>
  <c r="G3" i="55"/>
  <c r="I3" i="55"/>
  <c r="O5" i="40"/>
  <c r="O7" i="40"/>
  <c r="O8" i="40"/>
  <c r="N4" i="40"/>
  <c r="O4" i="40" s="1"/>
  <c r="N5" i="40"/>
  <c r="N6" i="40"/>
  <c r="O6" i="40" s="1"/>
  <c r="N7" i="40"/>
  <c r="N8" i="40"/>
  <c r="N9" i="40"/>
  <c r="O9" i="40" s="1"/>
  <c r="N10" i="40"/>
  <c r="O10" i="40" s="1"/>
  <c r="N11" i="40"/>
  <c r="O11" i="40" s="1"/>
  <c r="N12" i="40"/>
  <c r="O12" i="40" s="1"/>
  <c r="N13" i="40"/>
  <c r="O13" i="40" s="1"/>
  <c r="N14" i="40"/>
  <c r="O14" i="40" s="1"/>
  <c r="N15" i="40"/>
  <c r="O15" i="40" s="1"/>
  <c r="N16" i="40"/>
  <c r="O16" i="40" s="1"/>
  <c r="N17" i="40"/>
  <c r="O17" i="40" s="1"/>
  <c r="N18" i="40"/>
  <c r="O18" i="40" s="1"/>
  <c r="N19" i="40"/>
  <c r="O19" i="40" s="1"/>
  <c r="N20" i="40"/>
  <c r="O20" i="40" s="1"/>
  <c r="N21" i="40"/>
  <c r="O21" i="40" s="1"/>
  <c r="N22" i="40"/>
  <c r="O22" i="40" s="1"/>
  <c r="N23" i="40"/>
  <c r="O23" i="40" s="1"/>
  <c r="N24" i="40"/>
  <c r="O24" i="40" s="1"/>
  <c r="N25" i="40"/>
  <c r="O25" i="40" s="1"/>
  <c r="N26" i="40"/>
  <c r="O26" i="40" s="1"/>
  <c r="N27" i="40"/>
  <c r="O27" i="40" s="1"/>
  <c r="N28" i="40"/>
  <c r="O28" i="40" s="1"/>
  <c r="N29" i="40"/>
  <c r="O29" i="40" s="1"/>
  <c r="N30" i="40"/>
  <c r="O30" i="40" s="1"/>
  <c r="N31" i="40"/>
  <c r="O31" i="40" s="1"/>
  <c r="N32" i="40"/>
  <c r="O32" i="40" s="1"/>
  <c r="N33" i="40"/>
  <c r="O33" i="40" s="1"/>
  <c r="N34" i="40"/>
  <c r="O34" i="40" s="1"/>
  <c r="N35" i="40"/>
  <c r="O35" i="40" s="1"/>
  <c r="N36" i="40"/>
  <c r="O36" i="40" s="1"/>
  <c r="N37" i="40"/>
  <c r="O37" i="40" s="1"/>
  <c r="N3" i="40"/>
  <c r="O3" i="40" s="1"/>
  <c r="V3" i="59" l="1"/>
  <c r="Y3" i="59"/>
  <c r="Y4" i="59"/>
  <c r="V4" i="59"/>
  <c r="H4" i="55"/>
  <c r="I5" i="55"/>
  <c r="F4" i="55"/>
  <c r="G4" i="55"/>
  <c r="G6" i="55" l="1"/>
  <c r="G5" i="55"/>
  <c r="H5" i="55"/>
  <c r="F5" i="55"/>
  <c r="F6" i="55"/>
  <c r="B3" i="42"/>
  <c r="H6" i="55" l="1"/>
  <c r="I6" i="55"/>
  <c r="E3" i="40"/>
  <c r="E4" i="40"/>
  <c r="E5" i="40"/>
  <c r="E6" i="40"/>
  <c r="E7" i="40"/>
  <c r="E8" i="40"/>
  <c r="E9" i="40"/>
  <c r="E10" i="40"/>
  <c r="E11" i="40"/>
  <c r="E12" i="40"/>
  <c r="E13" i="40"/>
  <c r="E14" i="40"/>
  <c r="E15" i="40"/>
  <c r="E16" i="40"/>
  <c r="E17" i="40"/>
  <c r="E18" i="40"/>
  <c r="E19" i="40"/>
  <c r="E20" i="40"/>
  <c r="E21" i="40"/>
  <c r="E22" i="40"/>
  <c r="E23" i="40"/>
  <c r="E24" i="40"/>
  <c r="E25" i="40"/>
  <c r="E26" i="40"/>
  <c r="E27" i="40"/>
  <c r="E28" i="40"/>
  <c r="E29" i="40"/>
  <c r="E30" i="40"/>
  <c r="E31" i="40"/>
  <c r="E32" i="40"/>
  <c r="E33" i="40"/>
  <c r="E34" i="40"/>
  <c r="E35" i="40"/>
  <c r="E36" i="40"/>
  <c r="E37" i="40"/>
  <c r="E38" i="40"/>
  <c r="E39" i="40"/>
  <c r="E40" i="40"/>
  <c r="E41" i="40"/>
  <c r="M37" i="44"/>
  <c r="M36" i="44"/>
  <c r="N36" i="44" s="1"/>
  <c r="M35" i="44"/>
  <c r="N35" i="44" s="1"/>
  <c r="M34" i="44"/>
  <c r="N34" i="44" s="1"/>
  <c r="M33" i="44"/>
  <c r="N33" i="44" s="1"/>
  <c r="M32" i="44"/>
  <c r="N32" i="44" s="1"/>
  <c r="B32" i="44"/>
  <c r="M31" i="44"/>
  <c r="N31" i="44" s="1"/>
  <c r="M30" i="44"/>
  <c r="M29" i="44"/>
  <c r="N29" i="44" s="1"/>
  <c r="M28" i="44"/>
  <c r="N28" i="44" s="1"/>
  <c r="M27" i="44"/>
  <c r="N27" i="44" s="1"/>
  <c r="M26" i="44"/>
  <c r="N26" i="44" s="1"/>
  <c r="M25" i="44"/>
  <c r="M24" i="44"/>
  <c r="N24" i="44" s="1"/>
  <c r="M23" i="44"/>
  <c r="N23" i="44" s="1"/>
  <c r="M22" i="44"/>
  <c r="N22" i="44" s="1"/>
  <c r="M21" i="44"/>
  <c r="N21" i="44" s="1"/>
  <c r="M20" i="44"/>
  <c r="N20" i="44" s="1"/>
  <c r="M19" i="44"/>
  <c r="M18" i="44"/>
  <c r="N18" i="44" s="1"/>
  <c r="M17" i="44"/>
  <c r="N17" i="44" s="1"/>
  <c r="M16" i="44"/>
  <c r="N16" i="44" s="1"/>
  <c r="M15" i="44"/>
  <c r="N15" i="44" s="1"/>
  <c r="M14" i="44"/>
  <c r="N14" i="44" s="1"/>
  <c r="M13" i="44"/>
  <c r="M12" i="44"/>
  <c r="N12" i="44" s="1"/>
  <c r="M11" i="44"/>
  <c r="M10" i="44"/>
  <c r="N10" i="44" s="1"/>
  <c r="M9" i="44"/>
  <c r="N9" i="44" s="1"/>
  <c r="M8" i="44"/>
  <c r="N8" i="44" s="1"/>
  <c r="M7" i="44"/>
  <c r="M6" i="44"/>
  <c r="N6" i="44" s="1"/>
  <c r="O6" i="44" s="1"/>
  <c r="M5" i="44"/>
  <c r="N5" i="44" s="1"/>
  <c r="M4" i="44"/>
  <c r="N4" i="44" s="1"/>
  <c r="O4" i="44" s="1"/>
  <c r="M3" i="44"/>
  <c r="N3" i="44" s="1"/>
  <c r="O3" i="44" s="1"/>
  <c r="H7" i="55" l="1"/>
  <c r="F8" i="55"/>
  <c r="F7" i="55"/>
  <c r="I7" i="55"/>
  <c r="G7" i="55"/>
  <c r="F32" i="44"/>
  <c r="T32" i="44" s="1"/>
  <c r="O18" i="44"/>
  <c r="O12" i="44"/>
  <c r="O31" i="44"/>
  <c r="N19" i="44"/>
  <c r="N30" i="44"/>
  <c r="N7" i="44"/>
  <c r="N13" i="44"/>
  <c r="O8" i="44"/>
  <c r="O27" i="44"/>
  <c r="O21" i="44"/>
  <c r="O5" i="44"/>
  <c r="O17" i="44"/>
  <c r="O24" i="44"/>
  <c r="N37" i="44"/>
  <c r="O16" i="44"/>
  <c r="O34" i="44"/>
  <c r="N11" i="44"/>
  <c r="O20" i="44"/>
  <c r="O26" i="44"/>
  <c r="O15" i="44"/>
  <c r="O23" i="44"/>
  <c r="O33" i="44"/>
  <c r="O36" i="44"/>
  <c r="O10" i="44"/>
  <c r="O29" i="44"/>
  <c r="N25" i="44"/>
  <c r="O9" i="44"/>
  <c r="O14" i="44"/>
  <c r="O22" i="44"/>
  <c r="O28" i="44"/>
  <c r="O32" i="44"/>
  <c r="O35" i="44"/>
  <c r="E32" i="44" l="1"/>
  <c r="H32" i="44" s="1"/>
  <c r="J32" i="44" s="1"/>
  <c r="L32" i="44" s="1"/>
  <c r="R32" i="44" s="1"/>
  <c r="G8" i="55"/>
  <c r="H8" i="55"/>
  <c r="I8" i="55"/>
  <c r="F9" i="55"/>
  <c r="O7" i="44"/>
  <c r="O19" i="44"/>
  <c r="O30" i="44"/>
  <c r="O11" i="44"/>
  <c r="O37" i="44"/>
  <c r="O25" i="44"/>
  <c r="O13" i="44"/>
  <c r="G32" i="44" l="1"/>
  <c r="I32" i="44" s="1"/>
  <c r="K32" i="44" s="1"/>
  <c r="P32" i="44" s="1"/>
  <c r="W32" i="44" s="1"/>
  <c r="F10" i="55"/>
  <c r="H9" i="55"/>
  <c r="I10" i="55"/>
  <c r="G10" i="55"/>
  <c r="I9" i="55"/>
  <c r="G9" i="55"/>
  <c r="U32" i="44"/>
  <c r="E2" i="43"/>
  <c r="E3" i="43" s="1"/>
  <c r="E4" i="43" s="1"/>
  <c r="E5" i="43" s="1"/>
  <c r="E6" i="43" s="1"/>
  <c r="E7" i="43" s="1"/>
  <c r="E8" i="43" s="1"/>
  <c r="E9" i="43" s="1"/>
  <c r="E10" i="43" s="1"/>
  <c r="E11" i="43" s="1"/>
  <c r="E12" i="43" s="1"/>
  <c r="E13" i="43" s="1"/>
  <c r="E14" i="43" s="1"/>
  <c r="E15" i="43" s="1"/>
  <c r="E16" i="43" s="1"/>
  <c r="E17" i="43" s="1"/>
  <c r="E18" i="43" s="1"/>
  <c r="E19" i="43" s="1"/>
  <c r="E20" i="43" s="1"/>
  <c r="E21" i="43" s="1"/>
  <c r="E22" i="43" s="1"/>
  <c r="B2" i="43"/>
  <c r="B3" i="43" s="1"/>
  <c r="B4" i="43" s="1"/>
  <c r="B5" i="43" s="1"/>
  <c r="B6" i="43" s="1"/>
  <c r="B7" i="43" s="1"/>
  <c r="B8" i="43" s="1"/>
  <c r="B9" i="43" s="1"/>
  <c r="B10" i="43" s="1"/>
  <c r="B11" i="43" s="1"/>
  <c r="B12" i="43" s="1"/>
  <c r="B13" i="43" s="1"/>
  <c r="B14" i="43" s="1"/>
  <c r="B15" i="43" s="1"/>
  <c r="B16" i="43" s="1"/>
  <c r="B17" i="43" s="1"/>
  <c r="B18" i="43" s="1"/>
  <c r="B19" i="43" s="1"/>
  <c r="B20" i="43" s="1"/>
  <c r="B21" i="43" s="1"/>
  <c r="B22" i="43" s="1"/>
  <c r="C2" i="43"/>
  <c r="C3" i="43" s="1"/>
  <c r="C4" i="43" s="1"/>
  <c r="C5" i="43" s="1"/>
  <c r="C6" i="43" s="1"/>
  <c r="C7" i="43" s="1"/>
  <c r="C8" i="43" s="1"/>
  <c r="C9" i="43" s="1"/>
  <c r="C10" i="43" s="1"/>
  <c r="C11" i="43" s="1"/>
  <c r="C12" i="43" s="1"/>
  <c r="C13" i="43" s="1"/>
  <c r="C14" i="43" s="1"/>
  <c r="C15" i="43" s="1"/>
  <c r="C16" i="43" s="1"/>
  <c r="C17" i="43" s="1"/>
  <c r="C18" i="43" s="1"/>
  <c r="C19" i="43" s="1"/>
  <c r="C20" i="43" s="1"/>
  <c r="C21" i="43" s="1"/>
  <c r="C22" i="43" s="1"/>
  <c r="D2" i="43"/>
  <c r="D3" i="43" s="1"/>
  <c r="D4" i="43" s="1"/>
  <c r="D5" i="43" s="1"/>
  <c r="D6" i="43" s="1"/>
  <c r="D7" i="43" s="1"/>
  <c r="D8" i="43" s="1"/>
  <c r="D9" i="43" s="1"/>
  <c r="D10" i="43" s="1"/>
  <c r="D11" i="43" s="1"/>
  <c r="D12" i="43" s="1"/>
  <c r="D13" i="43" s="1"/>
  <c r="D14" i="43" s="1"/>
  <c r="D15" i="43" s="1"/>
  <c r="D16" i="43" s="1"/>
  <c r="D17" i="43" s="1"/>
  <c r="D18" i="43" s="1"/>
  <c r="D19" i="43" s="1"/>
  <c r="D20" i="43" s="1"/>
  <c r="D21" i="43" s="1"/>
  <c r="D22" i="43" s="1"/>
  <c r="Q32" i="44" l="1"/>
  <c r="V32" i="44" s="1"/>
  <c r="H10" i="55"/>
  <c r="G11" i="55"/>
  <c r="S32" i="44" l="1"/>
  <c r="H11" i="55"/>
  <c r="I12" i="55"/>
  <c r="I11" i="55"/>
  <c r="F11" i="55"/>
  <c r="F12" i="55"/>
  <c r="C4" i="22"/>
  <c r="C5" i="22"/>
  <c r="C6" i="22"/>
  <c r="C7" i="22"/>
  <c r="C8" i="22"/>
  <c r="C9" i="22"/>
  <c r="C10" i="22"/>
  <c r="C11" i="22"/>
  <c r="C12" i="22"/>
  <c r="C13" i="22"/>
  <c r="C14" i="22"/>
  <c r="C15" i="22"/>
  <c r="C16" i="22"/>
  <c r="C17" i="22"/>
  <c r="C18" i="22"/>
  <c r="C19" i="22"/>
  <c r="C20" i="22"/>
  <c r="C21" i="22"/>
  <c r="C22" i="22"/>
  <c r="C23" i="22"/>
  <c r="C24" i="22"/>
  <c r="C25" i="22"/>
  <c r="C26" i="22"/>
  <c r="C27" i="22"/>
  <c r="C28" i="22"/>
  <c r="C29" i="22"/>
  <c r="C30" i="22"/>
  <c r="C31" i="22"/>
  <c r="C32" i="22"/>
  <c r="C33" i="22"/>
  <c r="C34" i="22"/>
  <c r="C35" i="22"/>
  <c r="C36" i="22"/>
  <c r="C37" i="22"/>
  <c r="C38" i="22"/>
  <c r="C39" i="22"/>
  <c r="C40" i="22"/>
  <c r="C41" i="22"/>
  <c r="C42" i="22"/>
  <c r="C3" i="22"/>
  <c r="C4" i="36"/>
  <c r="C5" i="36"/>
  <c r="C6" i="36"/>
  <c r="C7" i="36"/>
  <c r="C8" i="36"/>
  <c r="C9" i="36"/>
  <c r="C10" i="36"/>
  <c r="C11" i="36"/>
  <c r="C12" i="36"/>
  <c r="C13" i="36"/>
  <c r="C14" i="36"/>
  <c r="C15" i="36"/>
  <c r="C16" i="36"/>
  <c r="C17" i="36"/>
  <c r="C18" i="36"/>
  <c r="C19" i="36"/>
  <c r="C20" i="36"/>
  <c r="C21" i="36"/>
  <c r="C22" i="36"/>
  <c r="C23" i="36"/>
  <c r="C24" i="36"/>
  <c r="C25" i="36"/>
  <c r="C26" i="36"/>
  <c r="C27" i="36"/>
  <c r="C28" i="36"/>
  <c r="C29" i="36"/>
  <c r="C30" i="36"/>
  <c r="C31" i="36"/>
  <c r="C32" i="36"/>
  <c r="C33" i="36"/>
  <c r="C34" i="36"/>
  <c r="C35" i="36"/>
  <c r="C36" i="36"/>
  <c r="C37" i="36"/>
  <c r="C38" i="36"/>
  <c r="C39" i="36"/>
  <c r="C40" i="36"/>
  <c r="C41" i="36"/>
  <c r="C42" i="36"/>
  <c r="C3" i="36"/>
  <c r="D4" i="36"/>
  <c r="D5" i="36"/>
  <c r="D6" i="36"/>
  <c r="D7" i="36"/>
  <c r="D8" i="36"/>
  <c r="D9" i="36"/>
  <c r="D10" i="36"/>
  <c r="D11" i="36"/>
  <c r="D12" i="36"/>
  <c r="D13" i="36"/>
  <c r="D14" i="36"/>
  <c r="D15" i="36"/>
  <c r="D16" i="36"/>
  <c r="D17" i="36"/>
  <c r="D18" i="36"/>
  <c r="D19" i="36"/>
  <c r="D20" i="36"/>
  <c r="D21" i="36"/>
  <c r="D22" i="36"/>
  <c r="D23" i="36"/>
  <c r="D24" i="36"/>
  <c r="D25" i="36"/>
  <c r="D26" i="36"/>
  <c r="D27" i="36"/>
  <c r="D28" i="36"/>
  <c r="D29" i="36"/>
  <c r="D30" i="36"/>
  <c r="D31" i="36"/>
  <c r="D32" i="36"/>
  <c r="D33" i="36"/>
  <c r="D34" i="36"/>
  <c r="D35" i="36"/>
  <c r="D36" i="36"/>
  <c r="D37" i="36"/>
  <c r="D38" i="36"/>
  <c r="D40" i="36"/>
  <c r="D41" i="36"/>
  <c r="D42" i="36"/>
  <c r="D3" i="36"/>
  <c r="D4" i="37"/>
  <c r="D5" i="37"/>
  <c r="D6" i="37"/>
  <c r="D7" i="37"/>
  <c r="D8" i="37"/>
  <c r="D9" i="37"/>
  <c r="D10" i="37"/>
  <c r="D11" i="37"/>
  <c r="D12" i="37"/>
  <c r="D13" i="37"/>
  <c r="D14" i="37"/>
  <c r="D15" i="37"/>
  <c r="D16" i="37"/>
  <c r="D17" i="37"/>
  <c r="D18" i="37"/>
  <c r="D19" i="37"/>
  <c r="D20" i="37"/>
  <c r="D21" i="37"/>
  <c r="D22" i="37"/>
  <c r="D23" i="37"/>
  <c r="D24" i="37"/>
  <c r="D25" i="37"/>
  <c r="D26" i="37"/>
  <c r="D27" i="37"/>
  <c r="D28" i="37"/>
  <c r="D29" i="37"/>
  <c r="D30" i="37"/>
  <c r="D31" i="37"/>
  <c r="D32" i="37"/>
  <c r="D33" i="37"/>
  <c r="D34" i="37"/>
  <c r="D35" i="37"/>
  <c r="D36" i="37"/>
  <c r="D37" i="37"/>
  <c r="D38" i="37"/>
  <c r="D39" i="37"/>
  <c r="D40" i="37"/>
  <c r="D41" i="37"/>
  <c r="C4" i="37"/>
  <c r="C5" i="37"/>
  <c r="C6" i="37"/>
  <c r="C7" i="37"/>
  <c r="C8" i="37"/>
  <c r="C9" i="37"/>
  <c r="C10" i="37"/>
  <c r="C11" i="37"/>
  <c r="C12" i="37"/>
  <c r="C13" i="37"/>
  <c r="C14" i="37"/>
  <c r="C15" i="37"/>
  <c r="C16" i="37"/>
  <c r="C17" i="37"/>
  <c r="C18" i="37"/>
  <c r="C19" i="37"/>
  <c r="C20" i="37"/>
  <c r="C21" i="37"/>
  <c r="C22" i="37"/>
  <c r="C23" i="37"/>
  <c r="C24" i="37"/>
  <c r="C25" i="37"/>
  <c r="C26" i="37"/>
  <c r="C27" i="37"/>
  <c r="C28" i="37"/>
  <c r="C29" i="37"/>
  <c r="C30" i="37"/>
  <c r="C31" i="37"/>
  <c r="C32" i="37"/>
  <c r="C33" i="37"/>
  <c r="C34" i="37"/>
  <c r="C35" i="37"/>
  <c r="C36" i="37"/>
  <c r="C37" i="37"/>
  <c r="C38" i="37"/>
  <c r="C39" i="37"/>
  <c r="C40" i="37"/>
  <c r="C41" i="37"/>
  <c r="C42" i="37"/>
  <c r="C3" i="37"/>
  <c r="P3" i="39"/>
  <c r="D4" i="39"/>
  <c r="D5" i="39"/>
  <c r="D6" i="39"/>
  <c r="D7" i="39"/>
  <c r="D8" i="39"/>
  <c r="D9" i="39"/>
  <c r="D10" i="39"/>
  <c r="D11" i="39"/>
  <c r="D12" i="39"/>
  <c r="D13" i="39"/>
  <c r="D14" i="39"/>
  <c r="D15" i="39"/>
  <c r="D16" i="39"/>
  <c r="D17" i="39"/>
  <c r="D18" i="39"/>
  <c r="D19" i="39"/>
  <c r="D20" i="39"/>
  <c r="D21" i="39"/>
  <c r="D22" i="39"/>
  <c r="D23" i="39"/>
  <c r="D24" i="39"/>
  <c r="D25" i="39"/>
  <c r="D26" i="39"/>
  <c r="D27" i="39"/>
  <c r="D28" i="39"/>
  <c r="D29" i="39"/>
  <c r="D30" i="39"/>
  <c r="D31" i="39"/>
  <c r="D32" i="39"/>
  <c r="D33" i="39"/>
  <c r="D34" i="39"/>
  <c r="D35" i="39"/>
  <c r="D36" i="39"/>
  <c r="D37" i="39"/>
  <c r="D38" i="39"/>
  <c r="D39" i="39"/>
  <c r="D40" i="39"/>
  <c r="D41" i="39"/>
  <c r="D42" i="39"/>
  <c r="D3" i="39"/>
  <c r="C4" i="39"/>
  <c r="C5" i="39"/>
  <c r="C6" i="39"/>
  <c r="C7" i="39"/>
  <c r="C8" i="39"/>
  <c r="C9" i="39"/>
  <c r="C10" i="39"/>
  <c r="C11" i="39"/>
  <c r="C12" i="39"/>
  <c r="C13" i="39"/>
  <c r="C14" i="39"/>
  <c r="C15" i="39"/>
  <c r="C16" i="39"/>
  <c r="C17" i="39"/>
  <c r="C18" i="39"/>
  <c r="C19" i="39"/>
  <c r="C20" i="39"/>
  <c r="C21" i="39"/>
  <c r="C22" i="39"/>
  <c r="C23" i="39"/>
  <c r="C24" i="39"/>
  <c r="C25" i="39"/>
  <c r="C26" i="39"/>
  <c r="C27" i="39"/>
  <c r="C28" i="39"/>
  <c r="C29" i="39"/>
  <c r="C30" i="39"/>
  <c r="C31" i="39"/>
  <c r="C32" i="39"/>
  <c r="C33" i="39"/>
  <c r="C34" i="39"/>
  <c r="C35" i="39"/>
  <c r="C36" i="39"/>
  <c r="C37" i="39"/>
  <c r="C38" i="39"/>
  <c r="C39" i="39"/>
  <c r="C40" i="39"/>
  <c r="C41" i="39"/>
  <c r="C42" i="39"/>
  <c r="C3" i="39"/>
  <c r="B32" i="40"/>
  <c r="D4" i="22"/>
  <c r="D5" i="22"/>
  <c r="D6" i="22"/>
  <c r="D7" i="22"/>
  <c r="D8" i="22"/>
  <c r="D9" i="22"/>
  <c r="D10" i="22"/>
  <c r="D11" i="22"/>
  <c r="D12" i="22"/>
  <c r="D13" i="22"/>
  <c r="D14" i="22"/>
  <c r="D15" i="22"/>
  <c r="D16" i="22"/>
  <c r="D17" i="22"/>
  <c r="D18" i="22"/>
  <c r="D19" i="22"/>
  <c r="D20" i="22"/>
  <c r="D21" i="22"/>
  <c r="D22" i="22"/>
  <c r="D23" i="22"/>
  <c r="D24" i="22"/>
  <c r="D25" i="22"/>
  <c r="D26" i="22"/>
  <c r="D27" i="22"/>
  <c r="D28" i="22"/>
  <c r="D29" i="22"/>
  <c r="D30" i="22"/>
  <c r="D31" i="22"/>
  <c r="D32" i="22"/>
  <c r="D33" i="22"/>
  <c r="D34" i="22"/>
  <c r="D35" i="22"/>
  <c r="D36" i="22"/>
  <c r="D37" i="22"/>
  <c r="D38" i="22"/>
  <c r="D39" i="22"/>
  <c r="D40" i="22"/>
  <c r="D41" i="22"/>
  <c r="D42" i="22"/>
  <c r="D3" i="22"/>
  <c r="I13" i="55" l="1"/>
  <c r="G12" i="55"/>
  <c r="H12" i="55"/>
  <c r="F13" i="55"/>
  <c r="G32" i="40"/>
  <c r="F32" i="40" s="1"/>
  <c r="I3" i="43"/>
  <c r="H3" i="43"/>
  <c r="G3" i="43"/>
  <c r="I2" i="43"/>
  <c r="H2" i="43"/>
  <c r="G2" i="43"/>
  <c r="F2" i="43"/>
  <c r="B3" i="41"/>
  <c r="B4" i="41" s="1"/>
  <c r="C3" i="41"/>
  <c r="C4" i="41" s="1"/>
  <c r="C5" i="41" s="1"/>
  <c r="C6" i="41" s="1"/>
  <c r="C7" i="41" s="1"/>
  <c r="C8" i="41" s="1"/>
  <c r="C9" i="41" s="1"/>
  <c r="C10" i="41" s="1"/>
  <c r="C11" i="41" s="1"/>
  <c r="C12" i="41" s="1"/>
  <c r="C13" i="41" s="1"/>
  <c r="C14" i="41" s="1"/>
  <c r="C15" i="41" s="1"/>
  <c r="C16" i="41" s="1"/>
  <c r="C17" i="41" s="1"/>
  <c r="C18" i="41" s="1"/>
  <c r="C19" i="41" s="1"/>
  <c r="C20" i="41" s="1"/>
  <c r="C21" i="41" s="1"/>
  <c r="E3" i="41"/>
  <c r="E4" i="41" s="1"/>
  <c r="E5" i="41" s="1"/>
  <c r="E6" i="41" s="1"/>
  <c r="E7" i="41" s="1"/>
  <c r="E8" i="41" s="1"/>
  <c r="E9" i="41" s="1"/>
  <c r="E10" i="41" s="1"/>
  <c r="E11" i="41" s="1"/>
  <c r="E12" i="41" s="1"/>
  <c r="E13" i="41" s="1"/>
  <c r="E14" i="41" s="1"/>
  <c r="E15" i="41" s="1"/>
  <c r="E16" i="41" s="1"/>
  <c r="E17" i="41" s="1"/>
  <c r="E18" i="41" s="1"/>
  <c r="E19" i="41" s="1"/>
  <c r="E20" i="41" s="1"/>
  <c r="E21" i="41" s="1"/>
  <c r="D3" i="42"/>
  <c r="D4" i="42" s="1"/>
  <c r="D5" i="42" s="1"/>
  <c r="D6" i="42" s="1"/>
  <c r="D7" i="42" s="1"/>
  <c r="D8" i="42" s="1"/>
  <c r="D9" i="42" s="1"/>
  <c r="D10" i="42" s="1"/>
  <c r="D11" i="42" s="1"/>
  <c r="D12" i="42" s="1"/>
  <c r="D13" i="42" s="1"/>
  <c r="D14" i="42" s="1"/>
  <c r="D15" i="42" s="1"/>
  <c r="D16" i="42" s="1"/>
  <c r="D17" i="42" s="1"/>
  <c r="D18" i="42" s="1"/>
  <c r="D19" i="42" s="1"/>
  <c r="D20" i="42" s="1"/>
  <c r="D21" i="42" s="1"/>
  <c r="C3" i="42"/>
  <c r="C4" i="42" s="1"/>
  <c r="C5" i="42" s="1"/>
  <c r="C6" i="42" s="1"/>
  <c r="C7" i="42" s="1"/>
  <c r="C8" i="42" s="1"/>
  <c r="C9" i="42" s="1"/>
  <c r="C10" i="42" s="1"/>
  <c r="C11" i="42" s="1"/>
  <c r="C12" i="42" s="1"/>
  <c r="C13" i="42" s="1"/>
  <c r="C14" i="42" s="1"/>
  <c r="C15" i="42" s="1"/>
  <c r="C16" i="42" s="1"/>
  <c r="C17" i="42" s="1"/>
  <c r="C18" i="42" s="1"/>
  <c r="C19" i="42" s="1"/>
  <c r="C20" i="42" s="1"/>
  <c r="C21" i="42" s="1"/>
  <c r="B4" i="42"/>
  <c r="B5" i="42" s="1"/>
  <c r="B6" i="42" s="1"/>
  <c r="B7" i="42" s="1"/>
  <c r="B8" i="42" s="1"/>
  <c r="B9" i="42" s="1"/>
  <c r="B10" i="42" s="1"/>
  <c r="B11" i="42" s="1"/>
  <c r="B12" i="42" s="1"/>
  <c r="B13" i="42" s="1"/>
  <c r="B14" i="42" s="1"/>
  <c r="B15" i="42" s="1"/>
  <c r="B16" i="42" s="1"/>
  <c r="B17" i="42" s="1"/>
  <c r="B18" i="42" s="1"/>
  <c r="B19" i="42" s="1"/>
  <c r="B20" i="42" s="1"/>
  <c r="B21" i="42" s="1"/>
  <c r="B31" i="42"/>
  <c r="E3" i="42"/>
  <c r="E4" i="42" s="1"/>
  <c r="I2" i="42"/>
  <c r="D3" i="41"/>
  <c r="D4" i="41" s="1"/>
  <c r="D5" i="41" s="1"/>
  <c r="D6" i="41" s="1"/>
  <c r="D7" i="41" s="1"/>
  <c r="D8" i="41" s="1"/>
  <c r="D9" i="41" s="1"/>
  <c r="D10" i="41" s="1"/>
  <c r="D11" i="41" s="1"/>
  <c r="D12" i="41" s="1"/>
  <c r="D13" i="41" s="1"/>
  <c r="D14" i="41" s="1"/>
  <c r="D15" i="41" s="1"/>
  <c r="D16" i="41" s="1"/>
  <c r="D17" i="41" s="1"/>
  <c r="D18" i="41" s="1"/>
  <c r="D19" i="41" s="1"/>
  <c r="D20" i="41" s="1"/>
  <c r="D21" i="41" s="1"/>
  <c r="G2" i="41"/>
  <c r="I2" i="41"/>
  <c r="H2" i="41"/>
  <c r="F2" i="41"/>
  <c r="H13" i="55" l="1"/>
  <c r="G13" i="55"/>
  <c r="F3" i="43"/>
  <c r="B5" i="41"/>
  <c r="B6" i="41" s="1"/>
  <c r="B7" i="41" s="1"/>
  <c r="B8" i="41" s="1"/>
  <c r="B9" i="41" s="1"/>
  <c r="B10" i="41" s="1"/>
  <c r="B11" i="41" s="1"/>
  <c r="B12" i="41" s="1"/>
  <c r="B13" i="41" s="1"/>
  <c r="B14" i="41" s="1"/>
  <c r="B15" i="41" s="1"/>
  <c r="B16" i="41" s="1"/>
  <c r="B17" i="41" s="1"/>
  <c r="B18" i="41" s="1"/>
  <c r="B19" i="41" s="1"/>
  <c r="B20" i="41" s="1"/>
  <c r="B21" i="41" s="1"/>
  <c r="I3" i="41"/>
  <c r="F3" i="41"/>
  <c r="F4" i="41"/>
  <c r="G3" i="41"/>
  <c r="H3" i="41"/>
  <c r="G4" i="41"/>
  <c r="I4" i="41"/>
  <c r="H4" i="41"/>
  <c r="H2" i="42"/>
  <c r="H3" i="42"/>
  <c r="F2" i="42"/>
  <c r="G2" i="42"/>
  <c r="E5" i="42"/>
  <c r="G3" i="42"/>
  <c r="P3" i="40"/>
  <c r="P4" i="40"/>
  <c r="P5" i="40"/>
  <c r="P6" i="40"/>
  <c r="P7" i="40"/>
  <c r="P10" i="40"/>
  <c r="P12" i="40"/>
  <c r="P13" i="40"/>
  <c r="P15" i="40"/>
  <c r="P18" i="40"/>
  <c r="P22" i="40"/>
  <c r="P24" i="40"/>
  <c r="P25" i="40"/>
  <c r="P27" i="40"/>
  <c r="P34" i="40"/>
  <c r="P36" i="40"/>
  <c r="P37" i="40"/>
  <c r="P9" i="40"/>
  <c r="U32" i="40"/>
  <c r="Q4" i="39"/>
  <c r="R4" i="39" s="1"/>
  <c r="Q28" i="39"/>
  <c r="R28" i="39" s="1"/>
  <c r="Q36" i="39"/>
  <c r="Q3" i="39"/>
  <c r="R3" i="39" s="1"/>
  <c r="P4" i="39"/>
  <c r="P5" i="39"/>
  <c r="Q5" i="39" s="1"/>
  <c r="P6" i="39"/>
  <c r="Q6" i="39" s="1"/>
  <c r="R6" i="39" s="1"/>
  <c r="P7" i="39"/>
  <c r="Q7" i="39" s="1"/>
  <c r="R7" i="39" s="1"/>
  <c r="P8" i="39"/>
  <c r="Q8" i="39" s="1"/>
  <c r="P9" i="39"/>
  <c r="Q9" i="39" s="1"/>
  <c r="R9" i="39" s="1"/>
  <c r="P10" i="39"/>
  <c r="Q10" i="39" s="1"/>
  <c r="R10" i="39" s="1"/>
  <c r="P11" i="39"/>
  <c r="Q11" i="39" s="1"/>
  <c r="P12" i="39"/>
  <c r="Q12" i="39" s="1"/>
  <c r="R12" i="39" s="1"/>
  <c r="P13" i="39"/>
  <c r="P14" i="39"/>
  <c r="Q14" i="39" s="1"/>
  <c r="P15" i="39"/>
  <c r="Q15" i="39" s="1"/>
  <c r="R15" i="39" s="1"/>
  <c r="P16" i="39"/>
  <c r="Q16" i="39" s="1"/>
  <c r="R16" i="39" s="1"/>
  <c r="P17" i="39"/>
  <c r="Q17" i="39" s="1"/>
  <c r="P18" i="39"/>
  <c r="Q18" i="39" s="1"/>
  <c r="R18" i="39" s="1"/>
  <c r="P19" i="39"/>
  <c r="Q19" i="39" s="1"/>
  <c r="R19" i="39" s="1"/>
  <c r="P20" i="39"/>
  <c r="Q20" i="39" s="1"/>
  <c r="P21" i="39"/>
  <c r="Q21" i="39" s="1"/>
  <c r="R21" i="39" s="1"/>
  <c r="P22" i="39"/>
  <c r="Q22" i="39" s="1"/>
  <c r="R22" i="39" s="1"/>
  <c r="P23" i="39"/>
  <c r="Q23" i="39" s="1"/>
  <c r="P24" i="39"/>
  <c r="Q24" i="39" s="1"/>
  <c r="P25" i="39"/>
  <c r="P26" i="39"/>
  <c r="Q26" i="39" s="1"/>
  <c r="P27" i="39"/>
  <c r="Q27" i="39" s="1"/>
  <c r="P28" i="39"/>
  <c r="P29" i="39"/>
  <c r="Q29" i="39" s="1"/>
  <c r="P30" i="39"/>
  <c r="Q30" i="39" s="1"/>
  <c r="P31" i="39"/>
  <c r="Q31" i="39" s="1"/>
  <c r="R31" i="39" s="1"/>
  <c r="P32" i="39"/>
  <c r="Q32" i="39" s="1"/>
  <c r="P33" i="39"/>
  <c r="Q33" i="39" s="1"/>
  <c r="P34" i="39"/>
  <c r="Q34" i="39" s="1"/>
  <c r="R34" i="39" s="1"/>
  <c r="P35" i="39"/>
  <c r="Q35" i="39" s="1"/>
  <c r="P36" i="39"/>
  <c r="P37" i="39"/>
  <c r="N21" i="39"/>
  <c r="O21" i="39" s="1"/>
  <c r="M4" i="39"/>
  <c r="N4" i="39" s="1"/>
  <c r="M5" i="39"/>
  <c r="N5" i="39" s="1"/>
  <c r="M6" i="39"/>
  <c r="N6" i="39" s="1"/>
  <c r="O6" i="39" s="1"/>
  <c r="M7" i="39"/>
  <c r="N7" i="39" s="1"/>
  <c r="M8" i="39"/>
  <c r="N8" i="39" s="1"/>
  <c r="M9" i="39"/>
  <c r="N9" i="39" s="1"/>
  <c r="O9" i="39" s="1"/>
  <c r="M10" i="39"/>
  <c r="N10" i="39" s="1"/>
  <c r="M11" i="39"/>
  <c r="N11" i="39" s="1"/>
  <c r="M12" i="39"/>
  <c r="N12" i="39" s="1"/>
  <c r="O12" i="39" s="1"/>
  <c r="M13" i="39"/>
  <c r="N13" i="39" s="1"/>
  <c r="M14" i="39"/>
  <c r="N14" i="39" s="1"/>
  <c r="M15" i="39"/>
  <c r="N15" i="39" s="1"/>
  <c r="M16" i="39"/>
  <c r="N16" i="39" s="1"/>
  <c r="M17" i="39"/>
  <c r="N17" i="39" s="1"/>
  <c r="M18" i="39"/>
  <c r="N18" i="39" s="1"/>
  <c r="O18" i="39" s="1"/>
  <c r="M19" i="39"/>
  <c r="N19" i="39" s="1"/>
  <c r="M20" i="39"/>
  <c r="N20" i="39" s="1"/>
  <c r="M21" i="39"/>
  <c r="M22" i="39"/>
  <c r="N22" i="39" s="1"/>
  <c r="M23" i="39"/>
  <c r="N23" i="39" s="1"/>
  <c r="M24" i="39"/>
  <c r="N24" i="39" s="1"/>
  <c r="O24" i="39" s="1"/>
  <c r="M25" i="39"/>
  <c r="N25" i="39" s="1"/>
  <c r="M26" i="39"/>
  <c r="N26" i="39" s="1"/>
  <c r="M27" i="39"/>
  <c r="N27" i="39" s="1"/>
  <c r="M28" i="39"/>
  <c r="N28" i="39" s="1"/>
  <c r="M29" i="39"/>
  <c r="N29" i="39" s="1"/>
  <c r="M30" i="39"/>
  <c r="N30" i="39" s="1"/>
  <c r="O30" i="39" s="1"/>
  <c r="M31" i="39"/>
  <c r="N31" i="39" s="1"/>
  <c r="M32" i="39"/>
  <c r="N32" i="39" s="1"/>
  <c r="M33" i="39"/>
  <c r="N33" i="39" s="1"/>
  <c r="M34" i="39"/>
  <c r="N34" i="39" s="1"/>
  <c r="M35" i="39"/>
  <c r="N35" i="39" s="1"/>
  <c r="M36" i="39"/>
  <c r="N36" i="39" s="1"/>
  <c r="M37" i="39"/>
  <c r="N37" i="39" s="1"/>
  <c r="M3" i="39"/>
  <c r="N3" i="39" s="1"/>
  <c r="B42" i="39"/>
  <c r="Q3" i="37"/>
  <c r="R3" i="37" s="1"/>
  <c r="P4" i="37"/>
  <c r="Q4" i="37" s="1"/>
  <c r="R4" i="37" s="1"/>
  <c r="P5" i="37"/>
  <c r="Q5" i="37" s="1"/>
  <c r="P6" i="37"/>
  <c r="Q6" i="37" s="1"/>
  <c r="R6" i="37" s="1"/>
  <c r="P7" i="37"/>
  <c r="Q7" i="37" s="1"/>
  <c r="P8" i="37"/>
  <c r="Q8" i="37" s="1"/>
  <c r="P9" i="37"/>
  <c r="Q9" i="37" s="1"/>
  <c r="R9" i="37" s="1"/>
  <c r="P10" i="37"/>
  <c r="Q10" i="37" s="1"/>
  <c r="P11" i="37"/>
  <c r="Q11" i="37" s="1"/>
  <c r="P12" i="37"/>
  <c r="Q12" i="37" s="1"/>
  <c r="P13" i="37"/>
  <c r="Q13" i="37" s="1"/>
  <c r="P14" i="37"/>
  <c r="Q14" i="37" s="1"/>
  <c r="P15" i="37"/>
  <c r="Q15" i="37" s="1"/>
  <c r="P16" i="37"/>
  <c r="Q16" i="37" s="1"/>
  <c r="P17" i="37"/>
  <c r="Q17" i="37" s="1"/>
  <c r="R17" i="37" s="1"/>
  <c r="P18" i="37"/>
  <c r="Q18" i="37" s="1"/>
  <c r="R18" i="37" s="1"/>
  <c r="P19" i="37"/>
  <c r="Q19" i="37" s="1"/>
  <c r="P20" i="37"/>
  <c r="Q20" i="37" s="1"/>
  <c r="R20" i="37" s="1"/>
  <c r="P21" i="37"/>
  <c r="Q21" i="37" s="1"/>
  <c r="P22" i="37"/>
  <c r="Q22" i="37" s="1"/>
  <c r="P23" i="37"/>
  <c r="P24" i="37"/>
  <c r="Q24" i="37" s="1"/>
  <c r="P25" i="37"/>
  <c r="Q25" i="37" s="1"/>
  <c r="P26" i="37"/>
  <c r="Q26" i="37" s="1"/>
  <c r="P27" i="37"/>
  <c r="Q27" i="37" s="1"/>
  <c r="P28" i="37"/>
  <c r="Q28" i="37" s="1"/>
  <c r="P29" i="37"/>
  <c r="Q29" i="37" s="1"/>
  <c r="R29" i="37" s="1"/>
  <c r="P30" i="37"/>
  <c r="Q30" i="37" s="1"/>
  <c r="R30" i="37" s="1"/>
  <c r="P31" i="37"/>
  <c r="Q31" i="37" s="1"/>
  <c r="P32" i="37"/>
  <c r="Q32" i="37" s="1"/>
  <c r="R32" i="37" s="1"/>
  <c r="P33" i="37"/>
  <c r="Q33" i="37" s="1"/>
  <c r="P34" i="37"/>
  <c r="Q34" i="37" s="1"/>
  <c r="P35" i="37"/>
  <c r="Q35" i="37" s="1"/>
  <c r="R35" i="37" s="1"/>
  <c r="P36" i="37"/>
  <c r="Q36" i="37" s="1"/>
  <c r="P37" i="37"/>
  <c r="Q37" i="37" s="1"/>
  <c r="P38" i="37"/>
  <c r="Q38" i="37" s="1"/>
  <c r="P39" i="37"/>
  <c r="Q39" i="37" s="1"/>
  <c r="P3" i="37"/>
  <c r="N18" i="37"/>
  <c r="N38" i="37"/>
  <c r="M4" i="37"/>
  <c r="N4" i="37" s="1"/>
  <c r="O4" i="37" s="1"/>
  <c r="M5" i="37"/>
  <c r="N5" i="37" s="1"/>
  <c r="M6" i="37"/>
  <c r="N6" i="37" s="1"/>
  <c r="M7" i="37"/>
  <c r="N7" i="37" s="1"/>
  <c r="O7" i="37" s="1"/>
  <c r="M8" i="37"/>
  <c r="N8" i="37" s="1"/>
  <c r="M9" i="37"/>
  <c r="N9" i="37" s="1"/>
  <c r="M10" i="37"/>
  <c r="N10" i="37" s="1"/>
  <c r="O10" i="37" s="1"/>
  <c r="M11" i="37"/>
  <c r="N11" i="37" s="1"/>
  <c r="M12" i="37"/>
  <c r="N12" i="37" s="1"/>
  <c r="M13" i="37"/>
  <c r="N13" i="37" s="1"/>
  <c r="M14" i="37"/>
  <c r="N14" i="37" s="1"/>
  <c r="M15" i="37"/>
  <c r="N15" i="37" s="1"/>
  <c r="M16" i="37"/>
  <c r="N16" i="37" s="1"/>
  <c r="M17" i="37"/>
  <c r="N17" i="37" s="1"/>
  <c r="M18" i="37"/>
  <c r="M19" i="37"/>
  <c r="N19" i="37" s="1"/>
  <c r="M20" i="37"/>
  <c r="N20" i="37" s="1"/>
  <c r="M21" i="37"/>
  <c r="N21" i="37" s="1"/>
  <c r="O21" i="37" s="1"/>
  <c r="M22" i="37"/>
  <c r="N22" i="37" s="1"/>
  <c r="M23" i="37"/>
  <c r="N23" i="37" s="1"/>
  <c r="M24" i="37"/>
  <c r="N24" i="37" s="1"/>
  <c r="O24" i="37" s="1"/>
  <c r="M25" i="37"/>
  <c r="N25" i="37" s="1"/>
  <c r="M26" i="37"/>
  <c r="N26" i="37" s="1"/>
  <c r="M27" i="37"/>
  <c r="N27" i="37" s="1"/>
  <c r="M28" i="37"/>
  <c r="N28" i="37" s="1"/>
  <c r="M29" i="37"/>
  <c r="N29" i="37" s="1"/>
  <c r="M30" i="37"/>
  <c r="N30" i="37" s="1"/>
  <c r="O30" i="37" s="1"/>
  <c r="M31" i="37"/>
  <c r="N31" i="37" s="1"/>
  <c r="O31" i="37" s="1"/>
  <c r="M32" i="37"/>
  <c r="N32" i="37" s="1"/>
  <c r="M33" i="37"/>
  <c r="N33" i="37" s="1"/>
  <c r="O33" i="37" s="1"/>
  <c r="M34" i="37"/>
  <c r="N34" i="37" s="1"/>
  <c r="O34" i="37" s="1"/>
  <c r="M35" i="37"/>
  <c r="N35" i="37" s="1"/>
  <c r="M36" i="37"/>
  <c r="N36" i="37" s="1"/>
  <c r="O36" i="37" s="1"/>
  <c r="M37" i="37"/>
  <c r="M38" i="37"/>
  <c r="M39" i="37"/>
  <c r="N39" i="37" s="1"/>
  <c r="M3" i="37"/>
  <c r="N3" i="37" s="1"/>
  <c r="D42" i="37"/>
  <c r="B39" i="37"/>
  <c r="Q5" i="36"/>
  <c r="Q11" i="36"/>
  <c r="R11" i="36" s="1"/>
  <c r="P4" i="36"/>
  <c r="Q4" i="36" s="1"/>
  <c r="R4" i="36" s="1"/>
  <c r="P5" i="36"/>
  <c r="P6" i="36"/>
  <c r="Q6" i="36" s="1"/>
  <c r="R6" i="36" s="1"/>
  <c r="P7" i="36"/>
  <c r="Q7" i="36" s="1"/>
  <c r="P8" i="36"/>
  <c r="Q8" i="36" s="1"/>
  <c r="R8" i="36" s="1"/>
  <c r="P9" i="36"/>
  <c r="Q9" i="36" s="1"/>
  <c r="P10" i="36"/>
  <c r="Q10" i="36" s="1"/>
  <c r="P11" i="36"/>
  <c r="P12" i="36"/>
  <c r="Q12" i="36" s="1"/>
  <c r="P13" i="36"/>
  <c r="Q13" i="36" s="1"/>
  <c r="R13" i="36" s="1"/>
  <c r="P14" i="36"/>
  <c r="Q14" i="36" s="1"/>
  <c r="P15" i="36"/>
  <c r="Q15" i="36" s="1"/>
  <c r="P16" i="36"/>
  <c r="Q16" i="36" s="1"/>
  <c r="P17" i="36"/>
  <c r="Q17" i="36" s="1"/>
  <c r="P18" i="36"/>
  <c r="Q18" i="36" s="1"/>
  <c r="R18" i="36" s="1"/>
  <c r="P19" i="36"/>
  <c r="Q19" i="36" s="1"/>
  <c r="P20" i="36"/>
  <c r="Q20" i="36" s="1"/>
  <c r="R20" i="36" s="1"/>
  <c r="P21" i="36"/>
  <c r="Q21" i="36" s="1"/>
  <c r="P22" i="36"/>
  <c r="Q22" i="36" s="1"/>
  <c r="P23" i="36"/>
  <c r="Q23" i="36" s="1"/>
  <c r="P24" i="36"/>
  <c r="P25" i="36"/>
  <c r="Q25" i="36" s="1"/>
  <c r="P26" i="36"/>
  <c r="Q26" i="36" s="1"/>
  <c r="P27" i="36"/>
  <c r="Q27" i="36" s="1"/>
  <c r="P28" i="36"/>
  <c r="Q28" i="36" s="1"/>
  <c r="P29" i="36"/>
  <c r="Q29" i="36" s="1"/>
  <c r="P30" i="36"/>
  <c r="Q30" i="36" s="1"/>
  <c r="R30" i="36" s="1"/>
  <c r="P31" i="36"/>
  <c r="Q31" i="36" s="1"/>
  <c r="P32" i="36"/>
  <c r="Q32" i="36" s="1"/>
  <c r="P33" i="36"/>
  <c r="Q33" i="36" s="1"/>
  <c r="R33" i="36" s="1"/>
  <c r="P34" i="36"/>
  <c r="Q34" i="36" s="1"/>
  <c r="P35" i="36"/>
  <c r="Q35" i="36" s="1"/>
  <c r="P36" i="36"/>
  <c r="Q36" i="36" s="1"/>
  <c r="P37" i="36"/>
  <c r="Q37" i="36" s="1"/>
  <c r="P38" i="36"/>
  <c r="Q38" i="36" s="1"/>
  <c r="P39" i="36"/>
  <c r="Q39" i="36" s="1"/>
  <c r="P3" i="36"/>
  <c r="Q3" i="36" s="1"/>
  <c r="N31" i="36"/>
  <c r="M4" i="36"/>
  <c r="N4" i="36" s="1"/>
  <c r="O4" i="36" s="1"/>
  <c r="M5" i="36"/>
  <c r="N5" i="36" s="1"/>
  <c r="O5" i="36" s="1"/>
  <c r="M6" i="36"/>
  <c r="N6" i="36" s="1"/>
  <c r="M7" i="36"/>
  <c r="N7" i="36" s="1"/>
  <c r="M8" i="36"/>
  <c r="N8" i="36" s="1"/>
  <c r="O8" i="36" s="1"/>
  <c r="M9" i="36"/>
  <c r="N9" i="36" s="1"/>
  <c r="M10" i="36"/>
  <c r="N10" i="36" s="1"/>
  <c r="M11" i="36"/>
  <c r="N11" i="36" s="1"/>
  <c r="M12" i="36"/>
  <c r="N12" i="36" s="1"/>
  <c r="O12" i="36" s="1"/>
  <c r="M13" i="36"/>
  <c r="N13" i="36" s="1"/>
  <c r="M14" i="36"/>
  <c r="N14" i="36" s="1"/>
  <c r="M15" i="36"/>
  <c r="N15" i="36" s="1"/>
  <c r="M16" i="36"/>
  <c r="N16" i="36" s="1"/>
  <c r="O16" i="36" s="1"/>
  <c r="M17" i="36"/>
  <c r="N17" i="36" s="1"/>
  <c r="M18" i="36"/>
  <c r="N18" i="36" s="1"/>
  <c r="M19" i="36"/>
  <c r="N19" i="36" s="1"/>
  <c r="M20" i="36"/>
  <c r="N20" i="36" s="1"/>
  <c r="O20" i="36" s="1"/>
  <c r="M21" i="36"/>
  <c r="N21" i="36" s="1"/>
  <c r="M22" i="36"/>
  <c r="N22" i="36" s="1"/>
  <c r="M23" i="36"/>
  <c r="N23" i="36" s="1"/>
  <c r="O23" i="36" s="1"/>
  <c r="M24" i="36"/>
  <c r="N24" i="36" s="1"/>
  <c r="M25" i="36"/>
  <c r="N25" i="36" s="1"/>
  <c r="M26" i="36"/>
  <c r="N26" i="36" s="1"/>
  <c r="O26" i="36" s="1"/>
  <c r="M27" i="36"/>
  <c r="N27" i="36" s="1"/>
  <c r="M28" i="36"/>
  <c r="N28" i="36" s="1"/>
  <c r="O28" i="36" s="1"/>
  <c r="M29" i="36"/>
  <c r="N29" i="36" s="1"/>
  <c r="M30" i="36"/>
  <c r="N30" i="36" s="1"/>
  <c r="M31" i="36"/>
  <c r="M32" i="36"/>
  <c r="N32" i="36" s="1"/>
  <c r="O32" i="36" s="1"/>
  <c r="M33" i="36"/>
  <c r="N33" i="36" s="1"/>
  <c r="O33" i="36" s="1"/>
  <c r="M34" i="36"/>
  <c r="N34" i="36" s="1"/>
  <c r="M35" i="36"/>
  <c r="N35" i="36" s="1"/>
  <c r="M36" i="36"/>
  <c r="M37" i="36"/>
  <c r="N37" i="36" s="1"/>
  <c r="M38" i="36"/>
  <c r="N38" i="36" s="1"/>
  <c r="M39" i="36"/>
  <c r="N39" i="36" s="1"/>
  <c r="M3" i="36"/>
  <c r="N3" i="36" s="1"/>
  <c r="O3" i="36" s="1"/>
  <c r="B42" i="36"/>
  <c r="Q13" i="22"/>
  <c r="R13" i="22" s="1"/>
  <c r="P4" i="22"/>
  <c r="Q4" i="22" s="1"/>
  <c r="R4" i="22" s="1"/>
  <c r="P5" i="22"/>
  <c r="Q5" i="22" s="1"/>
  <c r="R5" i="22" s="1"/>
  <c r="P6" i="22"/>
  <c r="Q6" i="22" s="1"/>
  <c r="R6" i="22" s="1"/>
  <c r="P7" i="22"/>
  <c r="Q7" i="22" s="1"/>
  <c r="R7" i="22" s="1"/>
  <c r="P8" i="22"/>
  <c r="Q8" i="22" s="1"/>
  <c r="R8" i="22" s="1"/>
  <c r="P9" i="22"/>
  <c r="Q9" i="22" s="1"/>
  <c r="R9" i="22" s="1"/>
  <c r="P10" i="22"/>
  <c r="Q10" i="22" s="1"/>
  <c r="R10" i="22" s="1"/>
  <c r="P11" i="22"/>
  <c r="Q11" i="22" s="1"/>
  <c r="R11" i="22" s="1"/>
  <c r="P12" i="22"/>
  <c r="Q12" i="22" s="1"/>
  <c r="R12" i="22" s="1"/>
  <c r="P13" i="22"/>
  <c r="P14" i="22"/>
  <c r="Q14" i="22" s="1"/>
  <c r="R14" i="22" s="1"/>
  <c r="P15" i="22"/>
  <c r="Q15" i="22" s="1"/>
  <c r="R15" i="22" s="1"/>
  <c r="P16" i="22"/>
  <c r="Q16" i="22" s="1"/>
  <c r="R16" i="22" s="1"/>
  <c r="P17" i="22"/>
  <c r="Q17" i="22" s="1"/>
  <c r="R17" i="22" s="1"/>
  <c r="P18" i="22"/>
  <c r="Q18" i="22" s="1"/>
  <c r="R18" i="22" s="1"/>
  <c r="P19" i="22"/>
  <c r="Q19" i="22" s="1"/>
  <c r="R19" i="22" s="1"/>
  <c r="P20" i="22"/>
  <c r="Q20" i="22" s="1"/>
  <c r="R20" i="22" s="1"/>
  <c r="P21" i="22"/>
  <c r="Q21" i="22" s="1"/>
  <c r="R21" i="22" s="1"/>
  <c r="P22" i="22"/>
  <c r="Q22" i="22" s="1"/>
  <c r="R22" i="22" s="1"/>
  <c r="P23" i="22"/>
  <c r="Q23" i="22" s="1"/>
  <c r="R23" i="22" s="1"/>
  <c r="P24" i="22"/>
  <c r="Q24" i="22" s="1"/>
  <c r="R24" i="22" s="1"/>
  <c r="P25" i="22"/>
  <c r="Q25" i="22" s="1"/>
  <c r="R25" i="22" s="1"/>
  <c r="P26" i="22"/>
  <c r="Q26" i="22" s="1"/>
  <c r="R26" i="22" s="1"/>
  <c r="P27" i="22"/>
  <c r="Q27" i="22" s="1"/>
  <c r="R27" i="22" s="1"/>
  <c r="P28" i="22"/>
  <c r="Q28" i="22" s="1"/>
  <c r="R28" i="22" s="1"/>
  <c r="P29" i="22"/>
  <c r="Q29" i="22" s="1"/>
  <c r="R29" i="22" s="1"/>
  <c r="P30" i="22"/>
  <c r="Q30" i="22" s="1"/>
  <c r="R30" i="22" s="1"/>
  <c r="P31" i="22"/>
  <c r="Q31" i="22" s="1"/>
  <c r="R31" i="22" s="1"/>
  <c r="P32" i="22"/>
  <c r="Q32" i="22" s="1"/>
  <c r="R32" i="22" s="1"/>
  <c r="P33" i="22"/>
  <c r="Q33" i="22" s="1"/>
  <c r="R33" i="22" s="1"/>
  <c r="P34" i="22"/>
  <c r="Q34" i="22" s="1"/>
  <c r="R34" i="22" s="1"/>
  <c r="P35" i="22"/>
  <c r="Q35" i="22" s="1"/>
  <c r="R35" i="22" s="1"/>
  <c r="P36" i="22"/>
  <c r="Q36" i="22" s="1"/>
  <c r="R36" i="22" s="1"/>
  <c r="P37" i="22"/>
  <c r="Q37" i="22" s="1"/>
  <c r="R37" i="22" s="1"/>
  <c r="P38" i="22"/>
  <c r="Q38" i="22" s="1"/>
  <c r="R38" i="22" s="1"/>
  <c r="P39" i="22"/>
  <c r="Q39" i="22" s="1"/>
  <c r="R39" i="22" s="1"/>
  <c r="P3" i="22"/>
  <c r="Q3" i="22" s="1"/>
  <c r="R3" i="22" s="1"/>
  <c r="H14" i="55" l="1"/>
  <c r="G14" i="55"/>
  <c r="F14" i="55"/>
  <c r="I14" i="55"/>
  <c r="N37" i="37"/>
  <c r="O37" i="37" s="1"/>
  <c r="Q23" i="37"/>
  <c r="R23" i="37" s="1"/>
  <c r="Q24" i="36"/>
  <c r="R24" i="36" s="1"/>
  <c r="Q25" i="39"/>
  <c r="R25" i="39" s="1"/>
  <c r="O35" i="36"/>
  <c r="N36" i="36"/>
  <c r="O36" i="36" s="1"/>
  <c r="R25" i="36"/>
  <c r="Q37" i="39"/>
  <c r="R37" i="39" s="1"/>
  <c r="Q13" i="39"/>
  <c r="R13" i="39" s="1"/>
  <c r="F5" i="41"/>
  <c r="I4" i="43"/>
  <c r="H4" i="43"/>
  <c r="G4" i="43"/>
  <c r="F5" i="43"/>
  <c r="F4" i="43"/>
  <c r="I5" i="41"/>
  <c r="G5" i="41"/>
  <c r="H5" i="41"/>
  <c r="I6" i="41"/>
  <c r="F6" i="41"/>
  <c r="H6" i="41"/>
  <c r="G6" i="41"/>
  <c r="F3" i="42"/>
  <c r="I3" i="42"/>
  <c r="H4" i="42"/>
  <c r="F4" i="42"/>
  <c r="I4" i="42"/>
  <c r="E6" i="42"/>
  <c r="G4" i="42"/>
  <c r="P28" i="40"/>
  <c r="P16" i="40"/>
  <c r="P33" i="40"/>
  <c r="P21" i="40"/>
  <c r="P31" i="40"/>
  <c r="P19" i="40"/>
  <c r="P30" i="40"/>
  <c r="P23" i="40"/>
  <c r="P26" i="40"/>
  <c r="P29" i="40"/>
  <c r="P32" i="40"/>
  <c r="P14" i="40"/>
  <c r="P17" i="40"/>
  <c r="P20" i="40"/>
  <c r="P35" i="40"/>
  <c r="O27" i="39"/>
  <c r="O15" i="39"/>
  <c r="O7" i="39"/>
  <c r="O25" i="39"/>
  <c r="O10" i="39"/>
  <c r="R20" i="39"/>
  <c r="O23" i="39"/>
  <c r="R26" i="39"/>
  <c r="R29" i="39"/>
  <c r="O19" i="39"/>
  <c r="R23" i="39"/>
  <c r="O31" i="39"/>
  <c r="O8" i="39"/>
  <c r="O28" i="39"/>
  <c r="O36" i="39"/>
  <c r="R36" i="39"/>
  <c r="O22" i="39"/>
  <c r="O5" i="39"/>
  <c r="O13" i="39"/>
  <c r="R33" i="39"/>
  <c r="O4" i="39"/>
  <c r="O3" i="39"/>
  <c r="O17" i="39"/>
  <c r="R30" i="39"/>
  <c r="O35" i="39"/>
  <c r="R14" i="39"/>
  <c r="R17" i="39"/>
  <c r="R27" i="39"/>
  <c r="R35" i="39"/>
  <c r="O16" i="39"/>
  <c r="R24" i="39"/>
  <c r="O32" i="39"/>
  <c r="O37" i="39"/>
  <c r="O33" i="39"/>
  <c r="R32" i="39"/>
  <c r="O14" i="39"/>
  <c r="O11" i="39"/>
  <c r="O20" i="39"/>
  <c r="O26" i="39"/>
  <c r="O29" i="39"/>
  <c r="O34" i="39"/>
  <c r="R38" i="37"/>
  <c r="R26" i="37"/>
  <c r="R14" i="37"/>
  <c r="R33" i="37"/>
  <c r="R15" i="37"/>
  <c r="O35" i="37"/>
  <c r="O39" i="37"/>
  <c r="O27" i="37"/>
  <c r="O15" i="37"/>
  <c r="F39" i="37"/>
  <c r="W39" i="37" s="1"/>
  <c r="O3" i="37"/>
  <c r="O19" i="37"/>
  <c r="O17" i="37"/>
  <c r="R11" i="37"/>
  <c r="R19" i="37"/>
  <c r="O20" i="37"/>
  <c r="O22" i="37"/>
  <c r="O23" i="37"/>
  <c r="O25" i="37"/>
  <c r="O26" i="37"/>
  <c r="O28" i="37"/>
  <c r="O29" i="37"/>
  <c r="R36" i="37"/>
  <c r="R39" i="37"/>
  <c r="R22" i="37"/>
  <c r="R25" i="37"/>
  <c r="R28" i="37"/>
  <c r="R34" i="37"/>
  <c r="R21" i="37"/>
  <c r="R24" i="37"/>
  <c r="R27" i="37"/>
  <c r="R10" i="37"/>
  <c r="O13" i="37"/>
  <c r="R13" i="37"/>
  <c r="O14" i="37"/>
  <c r="R12" i="37"/>
  <c r="O5" i="37"/>
  <c r="O32" i="37"/>
  <c r="R7" i="37"/>
  <c r="O38" i="37"/>
  <c r="O8" i="37"/>
  <c r="R5" i="37"/>
  <c r="O16" i="37"/>
  <c r="R37" i="37"/>
  <c r="O11" i="37"/>
  <c r="R16" i="37"/>
  <c r="R8" i="37"/>
  <c r="O18" i="37"/>
  <c r="R31" i="37"/>
  <c r="R39" i="36"/>
  <c r="R27" i="36"/>
  <c r="O38" i="36"/>
  <c r="O14" i="36"/>
  <c r="O39" i="36"/>
  <c r="R14" i="36"/>
  <c r="O10" i="36"/>
  <c r="R19" i="36"/>
  <c r="O17" i="36"/>
  <c r="O9" i="36"/>
  <c r="R7" i="36"/>
  <c r="R12" i="36"/>
  <c r="R37" i="36"/>
  <c r="O7" i="36"/>
  <c r="R9" i="36"/>
  <c r="O11" i="36"/>
  <c r="R26" i="36"/>
  <c r="R28" i="36"/>
  <c r="O31" i="36"/>
  <c r="R21" i="36"/>
  <c r="O18" i="36"/>
  <c r="R38" i="36"/>
  <c r="O13" i="36"/>
  <c r="O34" i="36"/>
  <c r="O15" i="36"/>
  <c r="R22" i="36"/>
  <c r="O25" i="36"/>
  <c r="R32" i="36"/>
  <c r="R29" i="36"/>
  <c r="O6" i="36"/>
  <c r="R36" i="36"/>
  <c r="R15" i="36"/>
  <c r="R17" i="36"/>
  <c r="R23" i="36"/>
  <c r="R5" i="36"/>
  <c r="O21" i="36"/>
  <c r="R35" i="36"/>
  <c r="O24" i="36"/>
  <c r="O27" i="36"/>
  <c r="O30" i="36"/>
  <c r="M4" i="22"/>
  <c r="N4" i="22" s="1"/>
  <c r="M5" i="22"/>
  <c r="M6" i="22"/>
  <c r="N6" i="22" s="1"/>
  <c r="M7" i="22"/>
  <c r="M8" i="22"/>
  <c r="M9" i="22"/>
  <c r="M10" i="22"/>
  <c r="M11" i="22"/>
  <c r="N11" i="22" s="1"/>
  <c r="M12" i="22"/>
  <c r="N12" i="22" s="1"/>
  <c r="M13" i="22"/>
  <c r="N13" i="22" s="1"/>
  <c r="O13" i="22" s="1"/>
  <c r="M14" i="22"/>
  <c r="N14" i="22" s="1"/>
  <c r="M15" i="22"/>
  <c r="M16" i="22"/>
  <c r="N16" i="22" s="1"/>
  <c r="M17" i="22"/>
  <c r="M18" i="22"/>
  <c r="N18" i="22" s="1"/>
  <c r="M19" i="22"/>
  <c r="M20" i="22"/>
  <c r="M21" i="22"/>
  <c r="M22" i="22"/>
  <c r="M23" i="22"/>
  <c r="N23" i="22" s="1"/>
  <c r="M24" i="22"/>
  <c r="M25" i="22"/>
  <c r="N25" i="22" s="1"/>
  <c r="M26" i="22"/>
  <c r="N26" i="22" s="1"/>
  <c r="M27" i="22"/>
  <c r="M28" i="22"/>
  <c r="N28" i="22" s="1"/>
  <c r="M29" i="22"/>
  <c r="M30" i="22"/>
  <c r="N30" i="22" s="1"/>
  <c r="M31" i="22"/>
  <c r="M32" i="22"/>
  <c r="M33" i="22"/>
  <c r="M34" i="22"/>
  <c r="M35" i="22"/>
  <c r="N35" i="22" s="1"/>
  <c r="M36" i="22"/>
  <c r="M37" i="22"/>
  <c r="N37" i="22" s="1"/>
  <c r="M38" i="22"/>
  <c r="N38" i="22" s="1"/>
  <c r="M39" i="22"/>
  <c r="M3" i="22"/>
  <c r="B42" i="22"/>
  <c r="E47" i="34"/>
  <c r="E40" i="34"/>
  <c r="E38" i="34"/>
  <c r="D46" i="34"/>
  <c r="D41" i="34"/>
  <c r="C47" i="34"/>
  <c r="C41" i="34"/>
  <c r="B47" i="34"/>
  <c r="B41" i="34"/>
  <c r="B40" i="34" s="1"/>
  <c r="B39" i="34" s="1"/>
  <c r="B38" i="34" s="1"/>
  <c r="B37" i="34" s="1"/>
  <c r="B36" i="34" s="1"/>
  <c r="B35" i="34" s="1"/>
  <c r="B34" i="34" s="1"/>
  <c r="B33" i="34" s="1"/>
  <c r="B32" i="34" s="1"/>
  <c r="B31" i="34" s="1"/>
  <c r="B30" i="34" s="1"/>
  <c r="B29" i="34" s="1"/>
  <c r="B28" i="34" s="1"/>
  <c r="B27" i="34" s="1"/>
  <c r="B26" i="34" s="1"/>
  <c r="B25" i="34" s="1"/>
  <c r="B24" i="34" s="1"/>
  <c r="B23" i="34" s="1"/>
  <c r="B22" i="34" s="1"/>
  <c r="B21" i="34" s="1"/>
  <c r="B20" i="34" s="1"/>
  <c r="B19" i="34" s="1"/>
  <c r="B18" i="34" s="1"/>
  <c r="B17" i="34" s="1"/>
  <c r="B16" i="34" s="1"/>
  <c r="B15" i="34" s="1"/>
  <c r="B14" i="34" s="1"/>
  <c r="B13" i="34" s="1"/>
  <c r="B12" i="34" s="1"/>
  <c r="B11" i="34" s="1"/>
  <c r="B10" i="34" s="1"/>
  <c r="B9" i="34" s="1"/>
  <c r="B8" i="34" s="1"/>
  <c r="B7" i="34" s="1"/>
  <c r="B6" i="34" s="1"/>
  <c r="B5" i="34" s="1"/>
  <c r="B4" i="34" s="1"/>
  <c r="B3" i="34" s="1"/>
  <c r="B3" i="22" s="1"/>
  <c r="B41" i="63" l="1"/>
  <c r="B41" i="64"/>
  <c r="B20" i="22"/>
  <c r="B38" i="37"/>
  <c r="F38" i="37" s="1"/>
  <c r="B38" i="65"/>
  <c r="B40" i="37"/>
  <c r="B40" i="65"/>
  <c r="B36" i="22"/>
  <c r="B28" i="22"/>
  <c r="H15" i="55"/>
  <c r="I15" i="55"/>
  <c r="F15" i="55"/>
  <c r="G15" i="55"/>
  <c r="B12" i="22"/>
  <c r="B5" i="22"/>
  <c r="E38" i="37"/>
  <c r="G38" i="37" s="1"/>
  <c r="I38" i="37" s="1"/>
  <c r="K38" i="37" s="1"/>
  <c r="S38" i="37" s="1"/>
  <c r="AC38" i="37" s="1"/>
  <c r="W38" i="37"/>
  <c r="C40" i="34"/>
  <c r="B41" i="36"/>
  <c r="B38" i="22"/>
  <c r="F38" i="22" s="1"/>
  <c r="E38" i="22" s="1"/>
  <c r="B30" i="22"/>
  <c r="F30" i="22" s="1"/>
  <c r="W30" i="22" s="1"/>
  <c r="B22" i="22"/>
  <c r="B14" i="22"/>
  <c r="F14" i="22" s="1"/>
  <c r="E14" i="22" s="1"/>
  <c r="N3" i="22"/>
  <c r="O3" i="22" s="1"/>
  <c r="E37" i="34"/>
  <c r="B37" i="65" s="1"/>
  <c r="B6" i="22"/>
  <c r="F6" i="22" s="1"/>
  <c r="W6" i="22" s="1"/>
  <c r="B37" i="22"/>
  <c r="F37" i="22" s="1"/>
  <c r="W37" i="22" s="1"/>
  <c r="B29" i="22"/>
  <c r="B21" i="22"/>
  <c r="F21" i="22" s="1"/>
  <c r="B13" i="22"/>
  <c r="B55" i="22"/>
  <c r="B19" i="22"/>
  <c r="F19" i="22" s="1"/>
  <c r="E19" i="22" s="1"/>
  <c r="D40" i="34"/>
  <c r="B41" i="39"/>
  <c r="E41" i="34"/>
  <c r="B41" i="65" s="1"/>
  <c r="B34" i="22"/>
  <c r="F34" i="22" s="1"/>
  <c r="W34" i="22" s="1"/>
  <c r="B26" i="22"/>
  <c r="F26" i="22" s="1"/>
  <c r="E26" i="22" s="1"/>
  <c r="B18" i="22"/>
  <c r="B10" i="22"/>
  <c r="B4" i="22"/>
  <c r="F4" i="22" s="1"/>
  <c r="W4" i="22" s="1"/>
  <c r="B11" i="22"/>
  <c r="F11" i="22" s="1"/>
  <c r="W11" i="22" s="1"/>
  <c r="B41" i="22"/>
  <c r="B33" i="22"/>
  <c r="B25" i="22"/>
  <c r="F25" i="22" s="1"/>
  <c r="W25" i="22" s="1"/>
  <c r="B17" i="22"/>
  <c r="B9" i="22"/>
  <c r="B35" i="22"/>
  <c r="B32" i="22"/>
  <c r="B27" i="22"/>
  <c r="F27" i="22" s="1"/>
  <c r="E27" i="22" s="1"/>
  <c r="B31" i="44"/>
  <c r="F31" i="44" s="1"/>
  <c r="B31" i="40"/>
  <c r="G31" i="40" s="1"/>
  <c r="F31" i="40" s="1"/>
  <c r="B40" i="22"/>
  <c r="B24" i="22"/>
  <c r="B16" i="22"/>
  <c r="B8" i="22"/>
  <c r="F8" i="22" s="1"/>
  <c r="E8" i="22" s="1"/>
  <c r="B33" i="44"/>
  <c r="B33" i="40"/>
  <c r="G33" i="40" s="1"/>
  <c r="B39" i="22"/>
  <c r="F39" i="22" s="1"/>
  <c r="E39" i="22" s="1"/>
  <c r="B31" i="22"/>
  <c r="F31" i="22" s="1"/>
  <c r="W31" i="22" s="1"/>
  <c r="B23" i="22"/>
  <c r="B15" i="22"/>
  <c r="B7" i="22"/>
  <c r="F7" i="22" s="1"/>
  <c r="E7" i="22" s="1"/>
  <c r="E39" i="37"/>
  <c r="G39" i="37" s="1"/>
  <c r="I39" i="37" s="1"/>
  <c r="K39" i="37" s="1"/>
  <c r="S39" i="37" s="1"/>
  <c r="Z39" i="37" s="1"/>
  <c r="H5" i="43"/>
  <c r="F6" i="43"/>
  <c r="G5" i="43"/>
  <c r="I5" i="43"/>
  <c r="G7" i="41"/>
  <c r="I7" i="41"/>
  <c r="F7" i="41"/>
  <c r="H7" i="41"/>
  <c r="I5" i="42"/>
  <c r="E7" i="42"/>
  <c r="F5" i="42"/>
  <c r="H5" i="42"/>
  <c r="G5" i="42"/>
  <c r="P8" i="40"/>
  <c r="P11" i="40"/>
  <c r="H32" i="40"/>
  <c r="J32" i="40" s="1"/>
  <c r="L32" i="40" s="1"/>
  <c r="Q32" i="40" s="1"/>
  <c r="X32" i="40" s="1"/>
  <c r="I32" i="40"/>
  <c r="K32" i="40" s="1"/>
  <c r="M32" i="40" s="1"/>
  <c r="R11" i="39"/>
  <c r="R5" i="39"/>
  <c r="R8" i="39"/>
  <c r="Z38" i="37"/>
  <c r="O9" i="37"/>
  <c r="O6" i="37"/>
  <c r="H39" i="37"/>
  <c r="J39" i="37" s="1"/>
  <c r="L39" i="37" s="1"/>
  <c r="O12" i="37"/>
  <c r="R31" i="36"/>
  <c r="O29" i="36"/>
  <c r="R34" i="36"/>
  <c r="R3" i="36"/>
  <c r="O22" i="36"/>
  <c r="O19" i="36"/>
  <c r="R10" i="36"/>
  <c r="O37" i="36"/>
  <c r="R16" i="36"/>
  <c r="F9" i="22"/>
  <c r="W9" i="22" s="1"/>
  <c r="F33" i="22"/>
  <c r="W33" i="22" s="1"/>
  <c r="O14" i="22"/>
  <c r="O12" i="22"/>
  <c r="O11" i="22"/>
  <c r="O26" i="22"/>
  <c r="O35" i="22"/>
  <c r="O38" i="22"/>
  <c r="O23" i="22"/>
  <c r="N34" i="22"/>
  <c r="N22" i="22"/>
  <c r="N10" i="22"/>
  <c r="O37" i="22"/>
  <c r="N33" i="22"/>
  <c r="N21" i="22"/>
  <c r="N9" i="22"/>
  <c r="F18" i="22"/>
  <c r="W18" i="22" s="1"/>
  <c r="N32" i="22"/>
  <c r="N20" i="22"/>
  <c r="N8" i="22"/>
  <c r="N31" i="22"/>
  <c r="N19" i="22"/>
  <c r="N7" i="22"/>
  <c r="N36" i="22"/>
  <c r="N29" i="22"/>
  <c r="N17" i="22"/>
  <c r="N5" i="22"/>
  <c r="O30" i="22"/>
  <c r="O18" i="22"/>
  <c r="O6" i="22"/>
  <c r="O28" i="22"/>
  <c r="O16" i="22"/>
  <c r="O4" i="22"/>
  <c r="N24" i="22"/>
  <c r="O25" i="22"/>
  <c r="N39" i="22"/>
  <c r="N27" i="22"/>
  <c r="N15" i="22"/>
  <c r="F35" i="22"/>
  <c r="W35" i="22" s="1"/>
  <c r="F23" i="22"/>
  <c r="W23" i="22" s="1"/>
  <c r="F13" i="22"/>
  <c r="W13" i="22" s="1"/>
  <c r="F32" i="22"/>
  <c r="W32" i="22" s="1"/>
  <c r="F20" i="22"/>
  <c r="E20" i="22" s="1"/>
  <c r="F29" i="22"/>
  <c r="W29" i="22" s="1"/>
  <c r="F17" i="22"/>
  <c r="W17" i="22" s="1"/>
  <c r="F5" i="22"/>
  <c r="W5" i="22" s="1"/>
  <c r="F28" i="22"/>
  <c r="W28" i="22" s="1"/>
  <c r="F16" i="22"/>
  <c r="W16" i="22" s="1"/>
  <c r="F15" i="22"/>
  <c r="E15" i="22" s="1"/>
  <c r="F12" i="22"/>
  <c r="W12" i="22" s="1"/>
  <c r="F36" i="22"/>
  <c r="W36" i="22" s="1"/>
  <c r="F24" i="22"/>
  <c r="W24" i="22" s="1"/>
  <c r="F22" i="22"/>
  <c r="W22" i="22" s="1"/>
  <c r="F10" i="22"/>
  <c r="W10" i="22" s="1"/>
  <c r="B40" i="63" l="1"/>
  <c r="B40" i="64"/>
  <c r="U33" i="40"/>
  <c r="F33" i="40"/>
  <c r="H16" i="55"/>
  <c r="I17" i="55"/>
  <c r="I16" i="55"/>
  <c r="F16" i="55"/>
  <c r="F17" i="55"/>
  <c r="G16" i="55"/>
  <c r="H38" i="37"/>
  <c r="J38" i="37" s="1"/>
  <c r="L38" i="37" s="1"/>
  <c r="U38" i="37" s="1"/>
  <c r="X38" i="37" s="1"/>
  <c r="W21" i="22"/>
  <c r="E21" i="22"/>
  <c r="T31" i="44"/>
  <c r="E31" i="44"/>
  <c r="F33" i="44"/>
  <c r="E33" i="44" s="1"/>
  <c r="B30" i="44"/>
  <c r="F30" i="44" s="1"/>
  <c r="B30" i="40"/>
  <c r="G30" i="40" s="1"/>
  <c r="E42" i="34"/>
  <c r="B42" i="37" s="1"/>
  <c r="B41" i="37"/>
  <c r="D39" i="34"/>
  <c r="B40" i="39"/>
  <c r="E9" i="22"/>
  <c r="H9" i="22" s="1"/>
  <c r="J9" i="22" s="1"/>
  <c r="L9" i="22" s="1"/>
  <c r="B37" i="37"/>
  <c r="F37" i="37" s="1"/>
  <c r="E36" i="34"/>
  <c r="B36" i="65" s="1"/>
  <c r="F36" i="65" s="1"/>
  <c r="T38" i="37"/>
  <c r="C39" i="34"/>
  <c r="B40" i="36"/>
  <c r="B34" i="44"/>
  <c r="F34" i="44" s="1"/>
  <c r="B34" i="40"/>
  <c r="G34" i="40" s="1"/>
  <c r="F34" i="40" s="1"/>
  <c r="U31" i="40"/>
  <c r="AA38" i="37"/>
  <c r="AB38" i="37"/>
  <c r="I6" i="43"/>
  <c r="G6" i="43"/>
  <c r="H6" i="43"/>
  <c r="G8" i="41"/>
  <c r="I8" i="41"/>
  <c r="F8" i="41"/>
  <c r="H8" i="41"/>
  <c r="G6" i="42"/>
  <c r="H6" i="42"/>
  <c r="F6" i="42"/>
  <c r="I6" i="42"/>
  <c r="E8" i="42"/>
  <c r="S32" i="40"/>
  <c r="R32" i="40"/>
  <c r="U39" i="37"/>
  <c r="T39" i="37"/>
  <c r="AC39" i="37"/>
  <c r="E31" i="22"/>
  <c r="E33" i="22"/>
  <c r="G33" i="22" s="1"/>
  <c r="I33" i="22" s="1"/>
  <c r="K33" i="22" s="1"/>
  <c r="S33" i="22" s="1"/>
  <c r="AC33" i="22" s="1"/>
  <c r="E34" i="22"/>
  <c r="G34" i="22" s="1"/>
  <c r="I34" i="22" s="1"/>
  <c r="K34" i="22" s="1"/>
  <c r="S34" i="22" s="1"/>
  <c r="AC34" i="22" s="1"/>
  <c r="E6" i="22"/>
  <c r="G6" i="22" s="1"/>
  <c r="I6" i="22" s="1"/>
  <c r="K6" i="22" s="1"/>
  <c r="S6" i="22" s="1"/>
  <c r="W39" i="22"/>
  <c r="E32" i="22"/>
  <c r="G32" i="22" s="1"/>
  <c r="I32" i="22" s="1"/>
  <c r="K32" i="22" s="1"/>
  <c r="S32" i="22" s="1"/>
  <c r="AC32" i="22" s="1"/>
  <c r="E25" i="22"/>
  <c r="H25" i="22" s="1"/>
  <c r="J25" i="22" s="1"/>
  <c r="L25" i="22" s="1"/>
  <c r="U25" i="22" s="1"/>
  <c r="W8" i="22"/>
  <c r="W7" i="22"/>
  <c r="W15" i="22"/>
  <c r="O9" i="22"/>
  <c r="O22" i="22"/>
  <c r="O34" i="22"/>
  <c r="O15" i="22"/>
  <c r="W19" i="22"/>
  <c r="W38" i="22"/>
  <c r="O39" i="22"/>
  <c r="B57" i="22" s="1"/>
  <c r="O17" i="22"/>
  <c r="O21" i="22"/>
  <c r="E22" i="22"/>
  <c r="G22" i="22" s="1"/>
  <c r="I22" i="22" s="1"/>
  <c r="K22" i="22" s="1"/>
  <c r="S22" i="22" s="1"/>
  <c r="AC22" i="22" s="1"/>
  <c r="O29" i="22"/>
  <c r="O33" i="22"/>
  <c r="O20" i="22"/>
  <c r="O32" i="22"/>
  <c r="E11" i="22"/>
  <c r="G11" i="22" s="1"/>
  <c r="I11" i="22" s="1"/>
  <c r="K11" i="22" s="1"/>
  <c r="S11" i="22" s="1"/>
  <c r="E30" i="22"/>
  <c r="O27" i="22"/>
  <c r="O5" i="22"/>
  <c r="E18" i="22"/>
  <c r="E23" i="22"/>
  <c r="H23" i="22" s="1"/>
  <c r="J23" i="22" s="1"/>
  <c r="L23" i="22" s="1"/>
  <c r="O36" i="22"/>
  <c r="O24" i="22"/>
  <c r="O7" i="22"/>
  <c r="O19" i="22"/>
  <c r="O31" i="22"/>
  <c r="E35" i="22"/>
  <c r="G35" i="22" s="1"/>
  <c r="I35" i="22" s="1"/>
  <c r="K35" i="22" s="1"/>
  <c r="S35" i="22" s="1"/>
  <c r="O8" i="22"/>
  <c r="O10" i="22"/>
  <c r="E5" i="22"/>
  <c r="G5" i="22" s="1"/>
  <c r="I5" i="22" s="1"/>
  <c r="K5" i="22" s="1"/>
  <c r="S5" i="22" s="1"/>
  <c r="AC5" i="22" s="1"/>
  <c r="W26" i="22"/>
  <c r="E13" i="22"/>
  <c r="W20" i="22"/>
  <c r="W14" i="22"/>
  <c r="E4" i="22"/>
  <c r="E37" i="22"/>
  <c r="H37" i="22" s="1"/>
  <c r="J37" i="22" s="1"/>
  <c r="L37" i="22" s="1"/>
  <c r="E36" i="22"/>
  <c r="E28" i="22"/>
  <c r="W27" i="22"/>
  <c r="E16" i="22"/>
  <c r="E12" i="22"/>
  <c r="E24" i="22"/>
  <c r="E10" i="22"/>
  <c r="E17" i="22"/>
  <c r="E29" i="22"/>
  <c r="G20" i="22"/>
  <c r="I20" i="22" s="1"/>
  <c r="K20" i="22" s="1"/>
  <c r="S20" i="22" s="1"/>
  <c r="AC20" i="22" s="1"/>
  <c r="H20" i="22"/>
  <c r="J20" i="22" s="1"/>
  <c r="L20" i="22" s="1"/>
  <c r="G27" i="22"/>
  <c r="I27" i="22" s="1"/>
  <c r="K27" i="22" s="1"/>
  <c r="S27" i="22" s="1"/>
  <c r="AC27" i="22" s="1"/>
  <c r="H27" i="22"/>
  <c r="J27" i="22" s="1"/>
  <c r="L27" i="22" s="1"/>
  <c r="G21" i="22"/>
  <c r="I21" i="22" s="1"/>
  <c r="K21" i="22" s="1"/>
  <c r="S21" i="22" s="1"/>
  <c r="AC21" i="22" s="1"/>
  <c r="H21" i="22"/>
  <c r="J21" i="22" s="1"/>
  <c r="L21" i="22" s="1"/>
  <c r="G26" i="22"/>
  <c r="I26" i="22" s="1"/>
  <c r="K26" i="22" s="1"/>
  <c r="S26" i="22" s="1"/>
  <c r="H26" i="22"/>
  <c r="J26" i="22" s="1"/>
  <c r="L26" i="22" s="1"/>
  <c r="G7" i="22"/>
  <c r="I7" i="22" s="1"/>
  <c r="K7" i="22" s="1"/>
  <c r="S7" i="22" s="1"/>
  <c r="AC7" i="22" s="1"/>
  <c r="H7" i="22"/>
  <c r="J7" i="22" s="1"/>
  <c r="L7" i="22" s="1"/>
  <c r="G19" i="22"/>
  <c r="I19" i="22" s="1"/>
  <c r="K19" i="22" s="1"/>
  <c r="S19" i="22" s="1"/>
  <c r="AC19" i="22" s="1"/>
  <c r="H19" i="22"/>
  <c r="J19" i="22" s="1"/>
  <c r="L19" i="22" s="1"/>
  <c r="G15" i="22"/>
  <c r="I15" i="22" s="1"/>
  <c r="K15" i="22" s="1"/>
  <c r="S15" i="22" s="1"/>
  <c r="AC15" i="22" s="1"/>
  <c r="H15" i="22"/>
  <c r="J15" i="22" s="1"/>
  <c r="L15" i="22" s="1"/>
  <c r="G9" i="22"/>
  <c r="I9" i="22" s="1"/>
  <c r="K9" i="22" s="1"/>
  <c r="S9" i="22" s="1"/>
  <c r="AC9" i="22" s="1"/>
  <c r="G39" i="22"/>
  <c r="I39" i="22" s="1"/>
  <c r="K39" i="22" s="1"/>
  <c r="S39" i="22" s="1"/>
  <c r="AC39" i="22" s="1"/>
  <c r="H39" i="22"/>
  <c r="J39" i="22" s="1"/>
  <c r="L39" i="22" s="1"/>
  <c r="H14" i="22"/>
  <c r="J14" i="22" s="1"/>
  <c r="L14" i="22" s="1"/>
  <c r="G14" i="22"/>
  <c r="I14" i="22" s="1"/>
  <c r="K14" i="22" s="1"/>
  <c r="S14" i="22" s="1"/>
  <c r="G8" i="22"/>
  <c r="I8" i="22" s="1"/>
  <c r="K8" i="22" s="1"/>
  <c r="S8" i="22" s="1"/>
  <c r="AC8" i="22" s="1"/>
  <c r="H8" i="22"/>
  <c r="J8" i="22" s="1"/>
  <c r="L8" i="22" s="1"/>
  <c r="G38" i="22"/>
  <c r="I38" i="22" s="1"/>
  <c r="K38" i="22" s="1"/>
  <c r="S38" i="22" s="1"/>
  <c r="H38" i="22"/>
  <c r="J38" i="22" s="1"/>
  <c r="L38" i="22" s="1"/>
  <c r="F3" i="22"/>
  <c r="W3" i="22" s="1"/>
  <c r="B39" i="63" l="1"/>
  <c r="B39" i="64"/>
  <c r="Y36" i="65"/>
  <c r="E36" i="65"/>
  <c r="F18" i="55"/>
  <c r="H17" i="55"/>
  <c r="G17" i="55"/>
  <c r="G31" i="22"/>
  <c r="I31" i="22" s="1"/>
  <c r="K31" i="22" s="1"/>
  <c r="S31" i="22" s="1"/>
  <c r="AC31" i="22" s="1"/>
  <c r="H31" i="22"/>
  <c r="J31" i="22" s="1"/>
  <c r="L31" i="22" s="1"/>
  <c r="U31" i="22" s="1"/>
  <c r="I33" i="40"/>
  <c r="K33" i="40" s="1"/>
  <c r="M33" i="40" s="1"/>
  <c r="S33" i="40" s="1"/>
  <c r="V33" i="40" s="1"/>
  <c r="H33" i="40"/>
  <c r="J33" i="40" s="1"/>
  <c r="L33" i="40" s="1"/>
  <c r="Q33" i="40" s="1"/>
  <c r="X33" i="40" s="1"/>
  <c r="U30" i="40"/>
  <c r="F30" i="40"/>
  <c r="Y38" i="37"/>
  <c r="V38" i="37"/>
  <c r="H31" i="44"/>
  <c r="J31" i="44" s="1"/>
  <c r="L31" i="44" s="1"/>
  <c r="G31" i="44"/>
  <c r="I31" i="44" s="1"/>
  <c r="K31" i="44" s="1"/>
  <c r="P31" i="44" s="1"/>
  <c r="W31" i="44" s="1"/>
  <c r="I31" i="40"/>
  <c r="K31" i="40" s="1"/>
  <c r="M31" i="40" s="1"/>
  <c r="H31" i="40"/>
  <c r="J31" i="40" s="1"/>
  <c r="L31" i="40" s="1"/>
  <c r="Q31" i="40" s="1"/>
  <c r="U34" i="40"/>
  <c r="T34" i="44"/>
  <c r="E34" i="44"/>
  <c r="W37" i="37"/>
  <c r="E37" i="37"/>
  <c r="B29" i="44"/>
  <c r="B29" i="40"/>
  <c r="G29" i="40" s="1"/>
  <c r="B35" i="44"/>
  <c r="B35" i="40"/>
  <c r="G35" i="40" s="1"/>
  <c r="F35" i="40" s="1"/>
  <c r="G33" i="44"/>
  <c r="I33" i="44" s="1"/>
  <c r="K33" i="44" s="1"/>
  <c r="P33" i="44" s="1"/>
  <c r="W33" i="44" s="1"/>
  <c r="H33" i="44"/>
  <c r="J33" i="44" s="1"/>
  <c r="L33" i="44" s="1"/>
  <c r="T30" i="44"/>
  <c r="E30" i="44"/>
  <c r="T33" i="44"/>
  <c r="B36" i="37"/>
  <c r="F36" i="37" s="1"/>
  <c r="E35" i="34"/>
  <c r="B35" i="65" s="1"/>
  <c r="C38" i="34"/>
  <c r="F39" i="36"/>
  <c r="D38" i="34"/>
  <c r="B39" i="39"/>
  <c r="H34" i="22"/>
  <c r="J34" i="22" s="1"/>
  <c r="L34" i="22" s="1"/>
  <c r="U34" i="22" s="1"/>
  <c r="X34" i="22" s="1"/>
  <c r="Z38" i="22"/>
  <c r="AC38" i="22"/>
  <c r="Z26" i="22"/>
  <c r="AC26" i="22"/>
  <c r="X25" i="22"/>
  <c r="AA25" i="22"/>
  <c r="Z11" i="22"/>
  <c r="AC11" i="22"/>
  <c r="Z14" i="22"/>
  <c r="AC14" i="22"/>
  <c r="Z35" i="22"/>
  <c r="AC35" i="22"/>
  <c r="H33" i="22"/>
  <c r="J33" i="22" s="1"/>
  <c r="L33" i="22" s="1"/>
  <c r="T33" i="22" s="1"/>
  <c r="AB33" i="22" s="1"/>
  <c r="Z6" i="22"/>
  <c r="AC6" i="22"/>
  <c r="H7" i="43"/>
  <c r="G7" i="43"/>
  <c r="F7" i="43"/>
  <c r="I7" i="43"/>
  <c r="F8" i="43"/>
  <c r="G9" i="41"/>
  <c r="H9" i="41"/>
  <c r="I9" i="41"/>
  <c r="F9" i="41"/>
  <c r="I7" i="42"/>
  <c r="G7" i="42"/>
  <c r="E9" i="42"/>
  <c r="F7" i="42"/>
  <c r="H7" i="42"/>
  <c r="T32" i="40"/>
  <c r="W32" i="40"/>
  <c r="V32" i="40"/>
  <c r="V39" i="37"/>
  <c r="AB39" i="37"/>
  <c r="Y39" i="37"/>
  <c r="AA39" i="37"/>
  <c r="X39" i="37"/>
  <c r="H32" i="22"/>
  <c r="J32" i="22" s="1"/>
  <c r="L32" i="22" s="1"/>
  <c r="U32" i="22" s="1"/>
  <c r="G25" i="22"/>
  <c r="I25" i="22" s="1"/>
  <c r="K25" i="22" s="1"/>
  <c r="S25" i="22" s="1"/>
  <c r="Z34" i="22"/>
  <c r="G23" i="22"/>
  <c r="I23" i="22" s="1"/>
  <c r="K23" i="22" s="1"/>
  <c r="S23" i="22" s="1"/>
  <c r="H6" i="22"/>
  <c r="J6" i="22" s="1"/>
  <c r="L6" i="22" s="1"/>
  <c r="T6" i="22" s="1"/>
  <c r="Z27" i="22"/>
  <c r="Z8" i="22"/>
  <c r="H11" i="22"/>
  <c r="J11" i="22" s="1"/>
  <c r="L11" i="22" s="1"/>
  <c r="T11" i="22" s="1"/>
  <c r="Z31" i="22"/>
  <c r="G37" i="22"/>
  <c r="I37" i="22" s="1"/>
  <c r="K37" i="22" s="1"/>
  <c r="S37" i="22" s="1"/>
  <c r="Z21" i="22"/>
  <c r="H35" i="22"/>
  <c r="J35" i="22" s="1"/>
  <c r="L35" i="22" s="1"/>
  <c r="U35" i="22" s="1"/>
  <c r="Z20" i="22"/>
  <c r="Z7" i="22"/>
  <c r="Z15" i="22"/>
  <c r="G30" i="22"/>
  <c r="I30" i="22" s="1"/>
  <c r="K30" i="22" s="1"/>
  <c r="S30" i="22" s="1"/>
  <c r="H30" i="22"/>
  <c r="J30" i="22" s="1"/>
  <c r="L30" i="22" s="1"/>
  <c r="Z32" i="22"/>
  <c r="H5" i="22"/>
  <c r="J5" i="22" s="1"/>
  <c r="L5" i="22" s="1"/>
  <c r="Z39" i="22"/>
  <c r="Z22" i="22"/>
  <c r="H22" i="22"/>
  <c r="J22" i="22" s="1"/>
  <c r="L22" i="22" s="1"/>
  <c r="T22" i="22" s="1"/>
  <c r="Z19" i="22"/>
  <c r="G18" i="22"/>
  <c r="I18" i="22" s="1"/>
  <c r="K18" i="22" s="1"/>
  <c r="S18" i="22" s="1"/>
  <c r="H18" i="22"/>
  <c r="J18" i="22" s="1"/>
  <c r="L18" i="22" s="1"/>
  <c r="Z9" i="22"/>
  <c r="Z5" i="22"/>
  <c r="Z33" i="22"/>
  <c r="H36" i="22"/>
  <c r="J36" i="22" s="1"/>
  <c r="L36" i="22" s="1"/>
  <c r="G36" i="22"/>
  <c r="I36" i="22" s="1"/>
  <c r="K36" i="22" s="1"/>
  <c r="S36" i="22" s="1"/>
  <c r="H4" i="22"/>
  <c r="J4" i="22" s="1"/>
  <c r="L4" i="22" s="1"/>
  <c r="G4" i="22"/>
  <c r="I4" i="22" s="1"/>
  <c r="K4" i="22" s="1"/>
  <c r="S4" i="22" s="1"/>
  <c r="G28" i="22"/>
  <c r="I28" i="22" s="1"/>
  <c r="K28" i="22" s="1"/>
  <c r="S28" i="22" s="1"/>
  <c r="H28" i="22"/>
  <c r="J28" i="22" s="1"/>
  <c r="L28" i="22" s="1"/>
  <c r="G13" i="22"/>
  <c r="I13" i="22" s="1"/>
  <c r="K13" i="22" s="1"/>
  <c r="S13" i="22" s="1"/>
  <c r="H13" i="22"/>
  <c r="J13" i="22" s="1"/>
  <c r="L13" i="22" s="1"/>
  <c r="G12" i="22"/>
  <c r="I12" i="22" s="1"/>
  <c r="K12" i="22" s="1"/>
  <c r="S12" i="22" s="1"/>
  <c r="H12" i="22"/>
  <c r="J12" i="22" s="1"/>
  <c r="L12" i="22" s="1"/>
  <c r="H16" i="22"/>
  <c r="J16" i="22" s="1"/>
  <c r="L16" i="22" s="1"/>
  <c r="G16" i="22"/>
  <c r="I16" i="22" s="1"/>
  <c r="K16" i="22" s="1"/>
  <c r="S16" i="22" s="1"/>
  <c r="G29" i="22"/>
  <c r="I29" i="22" s="1"/>
  <c r="K29" i="22" s="1"/>
  <c r="S29" i="22" s="1"/>
  <c r="H29" i="22"/>
  <c r="J29" i="22" s="1"/>
  <c r="L29" i="22" s="1"/>
  <c r="H17" i="22"/>
  <c r="J17" i="22" s="1"/>
  <c r="L17" i="22" s="1"/>
  <c r="G17" i="22"/>
  <c r="I17" i="22" s="1"/>
  <c r="K17" i="22" s="1"/>
  <c r="S17" i="22" s="1"/>
  <c r="G10" i="22"/>
  <c r="I10" i="22" s="1"/>
  <c r="K10" i="22" s="1"/>
  <c r="S10" i="22" s="1"/>
  <c r="H10" i="22"/>
  <c r="J10" i="22" s="1"/>
  <c r="L10" i="22" s="1"/>
  <c r="G24" i="22"/>
  <c r="I24" i="22" s="1"/>
  <c r="K24" i="22" s="1"/>
  <c r="S24" i="22" s="1"/>
  <c r="H24" i="22"/>
  <c r="J24" i="22" s="1"/>
  <c r="L24" i="22" s="1"/>
  <c r="T39" i="22"/>
  <c r="U39" i="22"/>
  <c r="T19" i="22"/>
  <c r="U19" i="22"/>
  <c r="U33" i="22"/>
  <c r="T7" i="22"/>
  <c r="U7" i="22"/>
  <c r="U38" i="22"/>
  <c r="T38" i="22"/>
  <c r="U26" i="22"/>
  <c r="T26" i="22"/>
  <c r="AB26" i="22" s="1"/>
  <c r="T31" i="22"/>
  <c r="T21" i="22"/>
  <c r="U21" i="22"/>
  <c r="T27" i="22"/>
  <c r="U27" i="22"/>
  <c r="U9" i="22"/>
  <c r="T9" i="22"/>
  <c r="U14" i="22"/>
  <c r="T14" i="22"/>
  <c r="AB14" i="22" s="1"/>
  <c r="U23" i="22"/>
  <c r="U20" i="22"/>
  <c r="T20" i="22"/>
  <c r="AB20" i="22" s="1"/>
  <c r="T15" i="22"/>
  <c r="U15" i="22"/>
  <c r="U8" i="22"/>
  <c r="T8" i="22"/>
  <c r="AB8" i="22" s="1"/>
  <c r="U37" i="22"/>
  <c r="E3" i="22"/>
  <c r="B38" i="63" l="1"/>
  <c r="B38" i="64"/>
  <c r="G36" i="65"/>
  <c r="J36" i="65" s="1"/>
  <c r="M36" i="65" s="1"/>
  <c r="S36" i="65" s="1"/>
  <c r="AB36" i="65" s="1"/>
  <c r="H36" i="65"/>
  <c r="K36" i="65" s="1"/>
  <c r="N36" i="65" s="1"/>
  <c r="I36" i="65"/>
  <c r="L36" i="65" s="1"/>
  <c r="O36" i="65" s="1"/>
  <c r="H18" i="55"/>
  <c r="G19" i="55"/>
  <c r="G18" i="55"/>
  <c r="I19" i="55"/>
  <c r="I18" i="55"/>
  <c r="R33" i="40"/>
  <c r="AA34" i="22"/>
  <c r="T34" i="22"/>
  <c r="AB34" i="22" s="1"/>
  <c r="B35" i="37"/>
  <c r="F35" i="37" s="1"/>
  <c r="E34" i="34"/>
  <c r="B34" i="65" s="1"/>
  <c r="F35" i="44"/>
  <c r="E35" i="44" s="1"/>
  <c r="W36" i="37"/>
  <c r="E36" i="37"/>
  <c r="B36" i="44"/>
  <c r="F36" i="44" s="1"/>
  <c r="B36" i="40"/>
  <c r="G36" i="40" s="1"/>
  <c r="F36" i="40" s="1"/>
  <c r="H30" i="40"/>
  <c r="J30" i="40" s="1"/>
  <c r="L30" i="40" s="1"/>
  <c r="Q30" i="40" s="1"/>
  <c r="I30" i="40"/>
  <c r="K30" i="40" s="1"/>
  <c r="M30" i="40" s="1"/>
  <c r="G30" i="44"/>
  <c r="I30" i="44" s="1"/>
  <c r="K30" i="44" s="1"/>
  <c r="P30" i="44" s="1"/>
  <c r="W30" i="44" s="1"/>
  <c r="H30" i="44"/>
  <c r="J30" i="44" s="1"/>
  <c r="L30" i="44" s="1"/>
  <c r="F29" i="44"/>
  <c r="E29" i="44" s="1"/>
  <c r="B28" i="44"/>
  <c r="B28" i="40"/>
  <c r="G28" i="40" s="1"/>
  <c r="R31" i="40"/>
  <c r="S31" i="40"/>
  <c r="I34" i="40"/>
  <c r="K34" i="40" s="1"/>
  <c r="M34" i="40" s="1"/>
  <c r="H34" i="40"/>
  <c r="J34" i="40" s="1"/>
  <c r="L34" i="40" s="1"/>
  <c r="Q34" i="40" s="1"/>
  <c r="X31" i="40"/>
  <c r="D37" i="34"/>
  <c r="B38" i="39"/>
  <c r="Q33" i="44"/>
  <c r="R33" i="44"/>
  <c r="U33" i="44" s="1"/>
  <c r="G37" i="37"/>
  <c r="I37" i="37" s="1"/>
  <c r="K37" i="37" s="1"/>
  <c r="S37" i="37" s="1"/>
  <c r="H37" i="37"/>
  <c r="J37" i="37" s="1"/>
  <c r="L37" i="37" s="1"/>
  <c r="W39" i="36"/>
  <c r="E39" i="36"/>
  <c r="R31" i="44"/>
  <c r="U31" i="44" s="1"/>
  <c r="Q31" i="44"/>
  <c r="U29" i="40"/>
  <c r="F29" i="40"/>
  <c r="C37" i="34"/>
  <c r="B38" i="36"/>
  <c r="F38" i="36" s="1"/>
  <c r="U35" i="40"/>
  <c r="H34" i="44"/>
  <c r="J34" i="44" s="1"/>
  <c r="L34" i="44" s="1"/>
  <c r="G34" i="44"/>
  <c r="I34" i="44" s="1"/>
  <c r="K34" i="44" s="1"/>
  <c r="P34" i="44" s="1"/>
  <c r="W34" i="44" s="1"/>
  <c r="T32" i="22"/>
  <c r="AB32" i="22" s="1"/>
  <c r="Z37" i="22"/>
  <c r="AC37" i="22"/>
  <c r="Y9" i="22"/>
  <c r="AB9" i="22"/>
  <c r="X7" i="22"/>
  <c r="AA7" i="22"/>
  <c r="Z10" i="22"/>
  <c r="AC10" i="22"/>
  <c r="Z28" i="22"/>
  <c r="AC28" i="22"/>
  <c r="Y11" i="22"/>
  <c r="AB11" i="22"/>
  <c r="X37" i="22"/>
  <c r="AA37" i="22"/>
  <c r="X27" i="22"/>
  <c r="AA27" i="22"/>
  <c r="X14" i="22"/>
  <c r="AA14" i="22"/>
  <c r="X38" i="22"/>
  <c r="AA38" i="22"/>
  <c r="X9" i="22"/>
  <c r="AA9" i="22"/>
  <c r="Y7" i="22"/>
  <c r="AB7" i="22"/>
  <c r="V34" i="22"/>
  <c r="X8" i="22"/>
  <c r="AA8" i="22"/>
  <c r="X21" i="22"/>
  <c r="AA21" i="22"/>
  <c r="X19" i="22"/>
  <c r="AA19" i="22"/>
  <c r="Z29" i="22"/>
  <c r="AC29" i="22"/>
  <c r="Z16" i="22"/>
  <c r="AC16" i="22"/>
  <c r="Z30" i="22"/>
  <c r="AC30" i="22"/>
  <c r="Y6" i="22"/>
  <c r="AB6" i="22"/>
  <c r="Z23" i="22"/>
  <c r="AC23" i="22"/>
  <c r="Y22" i="22"/>
  <c r="AB22" i="22"/>
  <c r="Y19" i="22"/>
  <c r="AB19" i="22"/>
  <c r="Y15" i="22"/>
  <c r="AB15" i="22"/>
  <c r="X31" i="22"/>
  <c r="AA31" i="22"/>
  <c r="Y31" i="22"/>
  <c r="AB31" i="22"/>
  <c r="X39" i="22"/>
  <c r="AA39" i="22"/>
  <c r="Z4" i="22"/>
  <c r="AC4" i="22"/>
  <c r="Y27" i="22"/>
  <c r="AB27" i="22"/>
  <c r="Z12" i="22"/>
  <c r="AC12" i="22"/>
  <c r="Z25" i="22"/>
  <c r="AC25" i="22"/>
  <c r="Z36" i="22"/>
  <c r="AC36" i="22"/>
  <c r="X15" i="22"/>
  <c r="AA15" i="22"/>
  <c r="X20" i="22"/>
  <c r="AA20" i="22"/>
  <c r="Z18" i="22"/>
  <c r="AC18" i="22"/>
  <c r="X35" i="22"/>
  <c r="AA35" i="22"/>
  <c r="X32" i="22"/>
  <c r="AA32" i="22"/>
  <c r="Z17" i="22"/>
  <c r="AC17" i="22"/>
  <c r="X33" i="22"/>
  <c r="AA33" i="22"/>
  <c r="Y21" i="22"/>
  <c r="AB21" i="22"/>
  <c r="Y39" i="22"/>
  <c r="AB39" i="22"/>
  <c r="X23" i="22"/>
  <c r="AA23" i="22"/>
  <c r="X26" i="22"/>
  <c r="AA26" i="22"/>
  <c r="Y38" i="22"/>
  <c r="AB38" i="22"/>
  <c r="Z24" i="22"/>
  <c r="AC24" i="22"/>
  <c r="Z13" i="22"/>
  <c r="AC13" i="22"/>
  <c r="I8" i="43"/>
  <c r="G8" i="43"/>
  <c r="H8" i="43"/>
  <c r="G10" i="41"/>
  <c r="H10" i="41"/>
  <c r="I10" i="41"/>
  <c r="F10" i="41"/>
  <c r="F8" i="42"/>
  <c r="H8" i="42"/>
  <c r="E10" i="42"/>
  <c r="I8" i="42"/>
  <c r="G8" i="42"/>
  <c r="T25" i="22"/>
  <c r="T23" i="22"/>
  <c r="V23" i="22" s="1"/>
  <c r="T37" i="22"/>
  <c r="V37" i="22" s="1"/>
  <c r="U11" i="22"/>
  <c r="U6" i="22"/>
  <c r="Y34" i="22"/>
  <c r="U22" i="22"/>
  <c r="V22" i="22" s="1"/>
  <c r="T35" i="22"/>
  <c r="Y35" i="22" s="1"/>
  <c r="T30" i="22"/>
  <c r="AB30" i="22" s="1"/>
  <c r="U30" i="22"/>
  <c r="V8" i="22"/>
  <c r="Y8" i="22"/>
  <c r="V14" i="22"/>
  <c r="Y14" i="22"/>
  <c r="T18" i="22"/>
  <c r="U18" i="22"/>
  <c r="AA18" i="22" s="1"/>
  <c r="V26" i="22"/>
  <c r="Y26" i="22"/>
  <c r="V20" i="22"/>
  <c r="Y20" i="22"/>
  <c r="V33" i="22"/>
  <c r="Y33" i="22"/>
  <c r="T5" i="22"/>
  <c r="AB5" i="22" s="1"/>
  <c r="U5" i="22"/>
  <c r="H3" i="22"/>
  <c r="J3" i="22" s="1"/>
  <c r="L3" i="22" s="1"/>
  <c r="G3" i="22"/>
  <c r="I3" i="22" s="1"/>
  <c r="K3" i="22" s="1"/>
  <c r="S3" i="22" s="1"/>
  <c r="T13" i="22"/>
  <c r="U13" i="22"/>
  <c r="U28" i="22"/>
  <c r="T28" i="22"/>
  <c r="AB28" i="22" s="1"/>
  <c r="V7" i="22"/>
  <c r="V39" i="22"/>
  <c r="U4" i="22"/>
  <c r="T4" i="22"/>
  <c r="AB4" i="22" s="1"/>
  <c r="T36" i="22"/>
  <c r="U36" i="22"/>
  <c r="AA36" i="22" s="1"/>
  <c r="U24" i="22"/>
  <c r="T24" i="22"/>
  <c r="T10" i="22"/>
  <c r="U10" i="22"/>
  <c r="V27" i="22"/>
  <c r="V15" i="22"/>
  <c r="V31" i="22"/>
  <c r="U29" i="22"/>
  <c r="T29" i="22"/>
  <c r="AB29" i="22" s="1"/>
  <c r="V19" i="22"/>
  <c r="V21" i="22"/>
  <c r="T17" i="22"/>
  <c r="AB17" i="22" s="1"/>
  <c r="U17" i="22"/>
  <c r="T16" i="22"/>
  <c r="U16" i="22"/>
  <c r="V9" i="22"/>
  <c r="V38" i="22"/>
  <c r="T12" i="22"/>
  <c r="U12" i="22"/>
  <c r="V36" i="65" l="1"/>
  <c r="Z36" i="65" s="1"/>
  <c r="X36" i="65"/>
  <c r="AA36" i="65" s="1"/>
  <c r="U36" i="65"/>
  <c r="T36" i="65"/>
  <c r="W36" i="65" s="1"/>
  <c r="B37" i="63"/>
  <c r="F37" i="63" s="1"/>
  <c r="B37" i="64"/>
  <c r="F37" i="64" s="1"/>
  <c r="T29" i="44"/>
  <c r="W33" i="40"/>
  <c r="T33" i="40"/>
  <c r="G20" i="55"/>
  <c r="I20" i="55"/>
  <c r="H19" i="55"/>
  <c r="F19" i="55"/>
  <c r="F20" i="55"/>
  <c r="I35" i="40"/>
  <c r="K35" i="40" s="1"/>
  <c r="M35" i="40" s="1"/>
  <c r="H35" i="40"/>
  <c r="J35" i="40" s="1"/>
  <c r="L35" i="40" s="1"/>
  <c r="Q35" i="40" s="1"/>
  <c r="H39" i="36"/>
  <c r="G39" i="36"/>
  <c r="I39" i="36" s="1"/>
  <c r="K39" i="36" s="1"/>
  <c r="S39" i="36" s="1"/>
  <c r="B27" i="44"/>
  <c r="F27" i="44" s="1"/>
  <c r="B27" i="40"/>
  <c r="G27" i="40" s="1"/>
  <c r="T36" i="44"/>
  <c r="E36" i="44"/>
  <c r="H29" i="44"/>
  <c r="J29" i="44" s="1"/>
  <c r="L29" i="44" s="1"/>
  <c r="G29" i="44"/>
  <c r="I29" i="44" s="1"/>
  <c r="K29" i="44" s="1"/>
  <c r="P29" i="44" s="1"/>
  <c r="W29" i="44" s="1"/>
  <c r="B37" i="44"/>
  <c r="F37" i="44" s="1"/>
  <c r="G37" i="40"/>
  <c r="F37" i="40" s="1"/>
  <c r="H37" i="40" s="1"/>
  <c r="W38" i="36"/>
  <c r="E38" i="36"/>
  <c r="C36" i="34"/>
  <c r="B37" i="36"/>
  <c r="F37" i="36" s="1"/>
  <c r="Z37" i="37"/>
  <c r="AC37" i="37"/>
  <c r="Q30" i="44"/>
  <c r="R30" i="44"/>
  <c r="U30" i="44" s="1"/>
  <c r="I29" i="40"/>
  <c r="K29" i="40" s="1"/>
  <c r="M29" i="40" s="1"/>
  <c r="H29" i="40"/>
  <c r="J29" i="40" s="1"/>
  <c r="L29" i="40" s="1"/>
  <c r="Q29" i="40" s="1"/>
  <c r="V31" i="40"/>
  <c r="H35" i="44"/>
  <c r="J35" i="44" s="1"/>
  <c r="L35" i="44" s="1"/>
  <c r="G35" i="44"/>
  <c r="I35" i="44" s="1"/>
  <c r="K35" i="44" s="1"/>
  <c r="P35" i="44" s="1"/>
  <c r="W35" i="44" s="1"/>
  <c r="T37" i="37"/>
  <c r="U37" i="37"/>
  <c r="R34" i="40"/>
  <c r="S34" i="40"/>
  <c r="V33" i="44"/>
  <c r="S33" i="44"/>
  <c r="W31" i="40"/>
  <c r="T31" i="40"/>
  <c r="S30" i="40"/>
  <c r="R30" i="40"/>
  <c r="T35" i="44"/>
  <c r="X34" i="40"/>
  <c r="V31" i="44"/>
  <c r="S31" i="44"/>
  <c r="U28" i="40"/>
  <c r="F28" i="40"/>
  <c r="X30" i="40"/>
  <c r="E33" i="34"/>
  <c r="B33" i="65" s="1"/>
  <c r="F33" i="65" s="1"/>
  <c r="B34" i="37"/>
  <c r="F34" i="37" s="1"/>
  <c r="H36" i="37"/>
  <c r="J36" i="37" s="1"/>
  <c r="L36" i="37" s="1"/>
  <c r="G36" i="37"/>
  <c r="I36" i="37" s="1"/>
  <c r="K36" i="37" s="1"/>
  <c r="S36" i="37" s="1"/>
  <c r="R34" i="44"/>
  <c r="U34" i="44" s="1"/>
  <c r="Q34" i="44"/>
  <c r="D36" i="34"/>
  <c r="B37" i="39"/>
  <c r="F37" i="39" s="1"/>
  <c r="F28" i="44"/>
  <c r="E28" i="44" s="1"/>
  <c r="U36" i="40"/>
  <c r="E35" i="37"/>
  <c r="W35" i="37"/>
  <c r="V32" i="22"/>
  <c r="Y32" i="22"/>
  <c r="Y13" i="22"/>
  <c r="AB13" i="22"/>
  <c r="Y16" i="22"/>
  <c r="AB16" i="22"/>
  <c r="X13" i="22"/>
  <c r="AA13" i="22"/>
  <c r="X4" i="22"/>
  <c r="AA4" i="22"/>
  <c r="X16" i="22"/>
  <c r="AA16" i="22"/>
  <c r="X10" i="22"/>
  <c r="AA10" i="22"/>
  <c r="Y10" i="22"/>
  <c r="AB10" i="22"/>
  <c r="Y24" i="22"/>
  <c r="AB24" i="22"/>
  <c r="Y12" i="22"/>
  <c r="AB12" i="22"/>
  <c r="V35" i="22"/>
  <c r="AB35" i="22"/>
  <c r="X24" i="22"/>
  <c r="AA24" i="22"/>
  <c r="Y36" i="22"/>
  <c r="AB36" i="22"/>
  <c r="X5" i="22"/>
  <c r="AA5" i="22"/>
  <c r="Y18" i="22"/>
  <c r="AB18" i="22"/>
  <c r="Y37" i="22"/>
  <c r="AB37" i="22"/>
  <c r="X29" i="22"/>
  <c r="AA29" i="22"/>
  <c r="X17" i="22"/>
  <c r="AA17" i="22"/>
  <c r="X6" i="22"/>
  <c r="AA6" i="22"/>
  <c r="Y23" i="22"/>
  <c r="AB23" i="22"/>
  <c r="X30" i="22"/>
  <c r="AA30" i="22"/>
  <c r="X28" i="22"/>
  <c r="AA28" i="22"/>
  <c r="X22" i="22"/>
  <c r="AA22" i="22"/>
  <c r="X11" i="22"/>
  <c r="AA11" i="22"/>
  <c r="X12" i="22"/>
  <c r="AA12" i="22"/>
  <c r="V25" i="22"/>
  <c r="AB25" i="22"/>
  <c r="Z3" i="22"/>
  <c r="AC3" i="22"/>
  <c r="G9" i="43"/>
  <c r="H9" i="43"/>
  <c r="F9" i="43"/>
  <c r="I9" i="43"/>
  <c r="H11" i="41"/>
  <c r="I11" i="41"/>
  <c r="F11" i="41"/>
  <c r="G11" i="41"/>
  <c r="I9" i="42"/>
  <c r="E11" i="42"/>
  <c r="H9" i="42"/>
  <c r="F9" i="42"/>
  <c r="G9" i="42"/>
  <c r="Y25" i="22"/>
  <c r="V11" i="22"/>
  <c r="V6" i="22"/>
  <c r="V17" i="22"/>
  <c r="Y17" i="22"/>
  <c r="V28" i="22"/>
  <c r="Y28" i="22"/>
  <c r="V18" i="22"/>
  <c r="X18" i="22"/>
  <c r="Y5" i="22"/>
  <c r="V5" i="22"/>
  <c r="V36" i="22"/>
  <c r="X36" i="22"/>
  <c r="V29" i="22"/>
  <c r="Y29" i="22"/>
  <c r="V4" i="22"/>
  <c r="Y4" i="22"/>
  <c r="Y30" i="22"/>
  <c r="V30" i="22"/>
  <c r="V13" i="22"/>
  <c r="V10" i="22"/>
  <c r="V12" i="22"/>
  <c r="V16" i="22"/>
  <c r="V24" i="22"/>
  <c r="U3" i="22"/>
  <c r="T3" i="22"/>
  <c r="T37" i="64" l="1"/>
  <c r="E37" i="64"/>
  <c r="T37" i="63"/>
  <c r="E37" i="63"/>
  <c r="B36" i="63"/>
  <c r="F36" i="63" s="1"/>
  <c r="B36" i="64"/>
  <c r="F36" i="64" s="1"/>
  <c r="Y33" i="65"/>
  <c r="E33" i="65"/>
  <c r="J39" i="36"/>
  <c r="L39" i="36" s="1"/>
  <c r="I22" i="55"/>
  <c r="H22" i="55"/>
  <c r="G22" i="55"/>
  <c r="F22" i="55"/>
  <c r="G21" i="55"/>
  <c r="H20" i="55"/>
  <c r="H21" i="55"/>
  <c r="I21" i="55"/>
  <c r="W37" i="39"/>
  <c r="E37" i="39"/>
  <c r="V34" i="40"/>
  <c r="X29" i="40"/>
  <c r="G38" i="36"/>
  <c r="I38" i="36" s="1"/>
  <c r="K38" i="36" s="1"/>
  <c r="S38" i="36" s="1"/>
  <c r="H38" i="36"/>
  <c r="J38" i="36" s="1"/>
  <c r="L38" i="36" s="1"/>
  <c r="D35" i="34"/>
  <c r="B36" i="39"/>
  <c r="F36" i="39" s="1"/>
  <c r="T30" i="40"/>
  <c r="W30" i="40"/>
  <c r="T34" i="40"/>
  <c r="W34" i="40"/>
  <c r="S29" i="40"/>
  <c r="R29" i="40"/>
  <c r="U27" i="40"/>
  <c r="F27" i="40"/>
  <c r="S34" i="44"/>
  <c r="V34" i="44"/>
  <c r="V30" i="40"/>
  <c r="X37" i="37"/>
  <c r="AA37" i="37"/>
  <c r="T27" i="44"/>
  <c r="E27" i="44"/>
  <c r="AB37" i="37"/>
  <c r="V37" i="37"/>
  <c r="Y37" i="37"/>
  <c r="S30" i="44"/>
  <c r="V30" i="44"/>
  <c r="E37" i="44"/>
  <c r="T37" i="44"/>
  <c r="B26" i="44"/>
  <c r="F26" i="44" s="1"/>
  <c r="B26" i="40"/>
  <c r="G26" i="40" s="1"/>
  <c r="I36" i="40"/>
  <c r="K36" i="40" s="1"/>
  <c r="M36" i="40" s="1"/>
  <c r="H36" i="40"/>
  <c r="J36" i="40" s="1"/>
  <c r="L36" i="40" s="1"/>
  <c r="Q36" i="40" s="1"/>
  <c r="Z36" i="37"/>
  <c r="AC36" i="37"/>
  <c r="B38" i="44"/>
  <c r="B38" i="40"/>
  <c r="Z39" i="36"/>
  <c r="AC39" i="36"/>
  <c r="U36" i="37"/>
  <c r="T36" i="37"/>
  <c r="R35" i="44"/>
  <c r="U35" i="44" s="1"/>
  <c r="Q35" i="44"/>
  <c r="H35" i="37"/>
  <c r="J35" i="37" s="1"/>
  <c r="L35" i="37" s="1"/>
  <c r="G35" i="37"/>
  <c r="I35" i="37" s="1"/>
  <c r="K35" i="37" s="1"/>
  <c r="S35" i="37" s="1"/>
  <c r="G28" i="44"/>
  <c r="I28" i="44" s="1"/>
  <c r="K28" i="44" s="1"/>
  <c r="P28" i="44" s="1"/>
  <c r="W28" i="44" s="1"/>
  <c r="H28" i="44"/>
  <c r="J28" i="44" s="1"/>
  <c r="L28" i="44" s="1"/>
  <c r="E37" i="36"/>
  <c r="W37" i="36"/>
  <c r="R29" i="44"/>
  <c r="U29" i="44" s="1"/>
  <c r="Q29" i="44"/>
  <c r="X35" i="40"/>
  <c r="I28" i="40"/>
  <c r="K28" i="40" s="1"/>
  <c r="M28" i="40" s="1"/>
  <c r="H28" i="40"/>
  <c r="J28" i="40" s="1"/>
  <c r="L28" i="40" s="1"/>
  <c r="Q28" i="40" s="1"/>
  <c r="U37" i="40"/>
  <c r="W34" i="37"/>
  <c r="E34" i="37"/>
  <c r="T28" i="44"/>
  <c r="E32" i="34"/>
  <c r="B32" i="65" s="1"/>
  <c r="B33" i="37"/>
  <c r="F33" i="37" s="1"/>
  <c r="C35" i="34"/>
  <c r="B36" i="36"/>
  <c r="F36" i="36" s="1"/>
  <c r="H36" i="44"/>
  <c r="J36" i="44" s="1"/>
  <c r="L36" i="44" s="1"/>
  <c r="G36" i="44"/>
  <c r="I36" i="44" s="1"/>
  <c r="K36" i="44" s="1"/>
  <c r="P36" i="44" s="1"/>
  <c r="W36" i="44" s="1"/>
  <c r="S35" i="40"/>
  <c r="R35" i="40"/>
  <c r="X3" i="22"/>
  <c r="AA3" i="22"/>
  <c r="Y3" i="22"/>
  <c r="AB3" i="22"/>
  <c r="F11" i="43"/>
  <c r="G10" i="43"/>
  <c r="H10" i="43"/>
  <c r="I10" i="43"/>
  <c r="F10" i="43"/>
  <c r="G12" i="41"/>
  <c r="H12" i="41"/>
  <c r="I12" i="41"/>
  <c r="F12" i="41"/>
  <c r="F10" i="42"/>
  <c r="H10" i="42"/>
  <c r="G10" i="42"/>
  <c r="I10" i="42"/>
  <c r="E12" i="42"/>
  <c r="V3" i="22"/>
  <c r="B35" i="63" l="1"/>
  <c r="F35" i="63" s="1"/>
  <c r="B35" i="64"/>
  <c r="F35" i="64" s="1"/>
  <c r="I33" i="65"/>
  <c r="L33" i="65" s="1"/>
  <c r="O33" i="65" s="1"/>
  <c r="H33" i="65"/>
  <c r="K33" i="65" s="1"/>
  <c r="N33" i="65" s="1"/>
  <c r="G33" i="65"/>
  <c r="J33" i="65" s="1"/>
  <c r="M33" i="65" s="1"/>
  <c r="S33" i="65" s="1"/>
  <c r="AB33" i="65" s="1"/>
  <c r="T36" i="64"/>
  <c r="E36" i="64"/>
  <c r="E36" i="63"/>
  <c r="T36" i="63"/>
  <c r="G37" i="63"/>
  <c r="I37" i="63" s="1"/>
  <c r="K37" i="63" s="1"/>
  <c r="P37" i="63" s="1"/>
  <c r="W37" i="63" s="1"/>
  <c r="H37" i="63"/>
  <c r="J37" i="63" s="1"/>
  <c r="L37" i="63" s="1"/>
  <c r="H37" i="64"/>
  <c r="J37" i="64" s="1"/>
  <c r="L37" i="64" s="1"/>
  <c r="G37" i="64"/>
  <c r="I37" i="64" s="1"/>
  <c r="K37" i="64" s="1"/>
  <c r="P37" i="64" s="1"/>
  <c r="W37" i="64" s="1"/>
  <c r="U39" i="36"/>
  <c r="T39" i="36"/>
  <c r="Y39" i="36" s="1"/>
  <c r="I23" i="55"/>
  <c r="H23" i="55"/>
  <c r="F23" i="55"/>
  <c r="G23" i="55"/>
  <c r="F21" i="55"/>
  <c r="X36" i="40"/>
  <c r="E31" i="34"/>
  <c r="B31" i="65" s="1"/>
  <c r="B32" i="37"/>
  <c r="F32" i="37" s="1"/>
  <c r="T35" i="40"/>
  <c r="W35" i="40"/>
  <c r="V35" i="40"/>
  <c r="H34" i="37"/>
  <c r="J34" i="37" s="1"/>
  <c r="L34" i="37" s="1"/>
  <c r="G34" i="37"/>
  <c r="I34" i="37" s="1"/>
  <c r="K34" i="37" s="1"/>
  <c r="S34" i="37" s="1"/>
  <c r="S29" i="44"/>
  <c r="V29" i="44"/>
  <c r="AB39" i="36"/>
  <c r="E26" i="44"/>
  <c r="T26" i="44"/>
  <c r="W33" i="37"/>
  <c r="E33" i="37"/>
  <c r="AA39" i="36"/>
  <c r="X39" i="36"/>
  <c r="B25" i="44"/>
  <c r="F25" i="44" s="1"/>
  <c r="B25" i="40"/>
  <c r="G25" i="40" s="1"/>
  <c r="H27" i="44"/>
  <c r="J27" i="44" s="1"/>
  <c r="L27" i="44" s="1"/>
  <c r="G27" i="44"/>
  <c r="I27" i="44" s="1"/>
  <c r="K27" i="44" s="1"/>
  <c r="P27" i="44" s="1"/>
  <c r="W27" i="44" s="1"/>
  <c r="I27" i="40"/>
  <c r="K27" i="40" s="1"/>
  <c r="M27" i="40" s="1"/>
  <c r="H27" i="40"/>
  <c r="J27" i="40" s="1"/>
  <c r="L27" i="40" s="1"/>
  <c r="Q27" i="40" s="1"/>
  <c r="Z38" i="36"/>
  <c r="AC38" i="36"/>
  <c r="U26" i="40"/>
  <c r="F26" i="40"/>
  <c r="Q36" i="44"/>
  <c r="R36" i="44"/>
  <c r="U36" i="44" s="1"/>
  <c r="V35" i="44"/>
  <c r="S35" i="44"/>
  <c r="B39" i="44"/>
  <c r="B39" i="40"/>
  <c r="R28" i="40"/>
  <c r="S28" i="40"/>
  <c r="X36" i="37"/>
  <c r="AA36" i="37"/>
  <c r="AC35" i="37"/>
  <c r="Z35" i="37"/>
  <c r="W36" i="36"/>
  <c r="E36" i="36"/>
  <c r="J37" i="40"/>
  <c r="L37" i="40" s="1"/>
  <c r="Q37" i="40" s="1"/>
  <c r="I37" i="40"/>
  <c r="K37" i="40" s="1"/>
  <c r="M37" i="40" s="1"/>
  <c r="G37" i="36"/>
  <c r="I37" i="36" s="1"/>
  <c r="K37" i="36" s="1"/>
  <c r="S37" i="36" s="1"/>
  <c r="H37" i="36"/>
  <c r="J37" i="36" s="1"/>
  <c r="L37" i="36" s="1"/>
  <c r="H37" i="44"/>
  <c r="J37" i="44" s="1"/>
  <c r="L37" i="44" s="1"/>
  <c r="G37" i="44"/>
  <c r="I37" i="44" s="1"/>
  <c r="K37" i="44" s="1"/>
  <c r="P37" i="44" s="1"/>
  <c r="W37" i="44" s="1"/>
  <c r="T29" i="40"/>
  <c r="W29" i="40"/>
  <c r="W36" i="39"/>
  <c r="E36" i="39"/>
  <c r="H37" i="39"/>
  <c r="J37" i="39" s="1"/>
  <c r="L37" i="39" s="1"/>
  <c r="G37" i="39"/>
  <c r="I37" i="39" s="1"/>
  <c r="K37" i="39" s="1"/>
  <c r="S37" i="39" s="1"/>
  <c r="T38" i="36"/>
  <c r="U38" i="36"/>
  <c r="S36" i="40"/>
  <c r="R36" i="40"/>
  <c r="U35" i="37"/>
  <c r="T35" i="37"/>
  <c r="C34" i="34"/>
  <c r="B35" i="36"/>
  <c r="F35" i="36" s="1"/>
  <c r="X28" i="40"/>
  <c r="R28" i="44"/>
  <c r="U28" i="44" s="1"/>
  <c r="Q28" i="44"/>
  <c r="V36" i="37"/>
  <c r="AB36" i="37"/>
  <c r="Y36" i="37"/>
  <c r="V29" i="40"/>
  <c r="D34" i="34"/>
  <c r="B35" i="39"/>
  <c r="F35" i="39" s="1"/>
  <c r="H11" i="43"/>
  <c r="I11" i="43"/>
  <c r="G11" i="43"/>
  <c r="F13" i="41"/>
  <c r="H13" i="41"/>
  <c r="G13" i="41"/>
  <c r="I13" i="41"/>
  <c r="G11" i="42"/>
  <c r="I11" i="42"/>
  <c r="E13" i="42"/>
  <c r="H11" i="42"/>
  <c r="F11" i="42"/>
  <c r="T35" i="63" l="1"/>
  <c r="E35" i="63"/>
  <c r="H36" i="63"/>
  <c r="J36" i="63" s="1"/>
  <c r="L36" i="63" s="1"/>
  <c r="G36" i="63"/>
  <c r="I36" i="63" s="1"/>
  <c r="K36" i="63" s="1"/>
  <c r="P36" i="63" s="1"/>
  <c r="W36" i="63" s="1"/>
  <c r="T35" i="64"/>
  <c r="E35" i="64"/>
  <c r="B34" i="63"/>
  <c r="F34" i="63" s="1"/>
  <c r="B34" i="64"/>
  <c r="F34" i="64" s="1"/>
  <c r="H36" i="64"/>
  <c r="J36" i="64" s="1"/>
  <c r="L36" i="64" s="1"/>
  <c r="G36" i="64"/>
  <c r="I36" i="64" s="1"/>
  <c r="K36" i="64" s="1"/>
  <c r="P36" i="64" s="1"/>
  <c r="W36" i="64" s="1"/>
  <c r="R37" i="64"/>
  <c r="U37" i="64" s="1"/>
  <c r="Q37" i="64"/>
  <c r="U33" i="65"/>
  <c r="T33" i="65"/>
  <c r="W33" i="65" s="1"/>
  <c r="Q37" i="63"/>
  <c r="R37" i="63"/>
  <c r="U37" i="63" s="1"/>
  <c r="V33" i="65"/>
  <c r="Z33" i="65" s="1"/>
  <c r="X33" i="65"/>
  <c r="AA33" i="65" s="1"/>
  <c r="V39" i="36"/>
  <c r="I24" i="55"/>
  <c r="G24" i="55"/>
  <c r="F24" i="55"/>
  <c r="H24" i="55"/>
  <c r="H36" i="36"/>
  <c r="J36" i="36" s="1"/>
  <c r="L36" i="36" s="1"/>
  <c r="G36" i="36"/>
  <c r="I36" i="36" s="1"/>
  <c r="K36" i="36" s="1"/>
  <c r="S36" i="36" s="1"/>
  <c r="W35" i="36"/>
  <c r="E35" i="36"/>
  <c r="AC37" i="39"/>
  <c r="Z37" i="39"/>
  <c r="R37" i="44"/>
  <c r="U37" i="44" s="1"/>
  <c r="Q37" i="44"/>
  <c r="X27" i="40"/>
  <c r="R27" i="40"/>
  <c r="S27" i="40"/>
  <c r="H33" i="37"/>
  <c r="J33" i="37" s="1"/>
  <c r="L33" i="37" s="1"/>
  <c r="G33" i="37"/>
  <c r="I33" i="37" s="1"/>
  <c r="K33" i="37" s="1"/>
  <c r="S33" i="37" s="1"/>
  <c r="E32" i="37"/>
  <c r="W32" i="37"/>
  <c r="T25" i="44"/>
  <c r="E25" i="44"/>
  <c r="X38" i="36"/>
  <c r="AA38" i="36"/>
  <c r="V38" i="36"/>
  <c r="Y38" i="36"/>
  <c r="AB38" i="36"/>
  <c r="B40" i="44"/>
  <c r="B40" i="40"/>
  <c r="T37" i="36"/>
  <c r="U37" i="36"/>
  <c r="H36" i="39"/>
  <c r="J36" i="39" s="1"/>
  <c r="L36" i="39" s="1"/>
  <c r="G36" i="39"/>
  <c r="I36" i="39" s="1"/>
  <c r="K36" i="39" s="1"/>
  <c r="S36" i="39" s="1"/>
  <c r="AC37" i="36"/>
  <c r="Z37" i="36"/>
  <c r="Z34" i="37"/>
  <c r="AC34" i="37"/>
  <c r="E30" i="34"/>
  <c r="B30" i="65" s="1"/>
  <c r="F30" i="65" s="1"/>
  <c r="B31" i="37"/>
  <c r="F31" i="37" s="1"/>
  <c r="W35" i="39"/>
  <c r="E35" i="39"/>
  <c r="V36" i="40"/>
  <c r="D33" i="34"/>
  <c r="B34" i="39"/>
  <c r="F34" i="39" s="1"/>
  <c r="B24" i="44"/>
  <c r="B24" i="40"/>
  <c r="G24" i="40" s="1"/>
  <c r="C33" i="34"/>
  <c r="B34" i="36"/>
  <c r="F34" i="36" s="1"/>
  <c r="R37" i="40"/>
  <c r="S37" i="40"/>
  <c r="S36" i="44"/>
  <c r="V36" i="44"/>
  <c r="Q27" i="44"/>
  <c r="R27" i="44"/>
  <c r="U27" i="44" s="1"/>
  <c r="U34" i="37"/>
  <c r="T34" i="37"/>
  <c r="U37" i="39"/>
  <c r="T37" i="39"/>
  <c r="AB35" i="37"/>
  <c r="Y35" i="37"/>
  <c r="V35" i="37"/>
  <c r="X35" i="37"/>
  <c r="AA35" i="37"/>
  <c r="V28" i="40"/>
  <c r="S28" i="44"/>
  <c r="V28" i="44"/>
  <c r="T36" i="40"/>
  <c r="W36" i="40"/>
  <c r="X37" i="40"/>
  <c r="W28" i="40"/>
  <c r="T28" i="40"/>
  <c r="H26" i="40"/>
  <c r="J26" i="40" s="1"/>
  <c r="L26" i="40" s="1"/>
  <c r="Q26" i="40" s="1"/>
  <c r="I26" i="40"/>
  <c r="K26" i="40" s="1"/>
  <c r="M26" i="40" s="1"/>
  <c r="F25" i="40"/>
  <c r="U25" i="40"/>
  <c r="G26" i="44"/>
  <c r="I26" i="44" s="1"/>
  <c r="K26" i="44" s="1"/>
  <c r="P26" i="44" s="1"/>
  <c r="W26" i="44" s="1"/>
  <c r="H26" i="44"/>
  <c r="J26" i="44" s="1"/>
  <c r="L26" i="44" s="1"/>
  <c r="I12" i="43"/>
  <c r="G12" i="43"/>
  <c r="F12" i="43"/>
  <c r="H12" i="43"/>
  <c r="I14" i="41"/>
  <c r="F14" i="41"/>
  <c r="G14" i="41"/>
  <c r="H14" i="41"/>
  <c r="I12" i="42"/>
  <c r="H12" i="42"/>
  <c r="G12" i="42"/>
  <c r="F12" i="42"/>
  <c r="E14" i="42"/>
  <c r="Y30" i="65" l="1"/>
  <c r="E30" i="65"/>
  <c r="E34" i="64"/>
  <c r="T34" i="64"/>
  <c r="V37" i="63"/>
  <c r="S37" i="63"/>
  <c r="T34" i="63"/>
  <c r="E34" i="63"/>
  <c r="H35" i="64"/>
  <c r="J35" i="64" s="1"/>
  <c r="L35" i="64" s="1"/>
  <c r="G35" i="64"/>
  <c r="I35" i="64" s="1"/>
  <c r="K35" i="64" s="1"/>
  <c r="P35" i="64" s="1"/>
  <c r="W35" i="64" s="1"/>
  <c r="B33" i="63"/>
  <c r="F33" i="63" s="1"/>
  <c r="B33" i="64"/>
  <c r="F33" i="64" s="1"/>
  <c r="S37" i="64"/>
  <c r="V37" i="64"/>
  <c r="R36" i="63"/>
  <c r="U36" i="63" s="1"/>
  <c r="Q36" i="63"/>
  <c r="H35" i="63"/>
  <c r="J35" i="63" s="1"/>
  <c r="L35" i="63" s="1"/>
  <c r="G35" i="63"/>
  <c r="I35" i="63" s="1"/>
  <c r="K35" i="63" s="1"/>
  <c r="P35" i="63" s="1"/>
  <c r="W35" i="63" s="1"/>
  <c r="R36" i="64"/>
  <c r="U36" i="64" s="1"/>
  <c r="Q36" i="64"/>
  <c r="I25" i="55"/>
  <c r="H25" i="55"/>
  <c r="G25" i="55"/>
  <c r="F25" i="55"/>
  <c r="R26" i="44"/>
  <c r="U26" i="44" s="1"/>
  <c r="Q26" i="44"/>
  <c r="W34" i="36"/>
  <c r="E34" i="36"/>
  <c r="AC33" i="37"/>
  <c r="Z33" i="37"/>
  <c r="I25" i="40"/>
  <c r="K25" i="40" s="1"/>
  <c r="M25" i="40" s="1"/>
  <c r="H25" i="40"/>
  <c r="J25" i="40" s="1"/>
  <c r="L25" i="40" s="1"/>
  <c r="Q25" i="40" s="1"/>
  <c r="U24" i="40"/>
  <c r="F24" i="40"/>
  <c r="U36" i="39"/>
  <c r="T36" i="39"/>
  <c r="U33" i="37"/>
  <c r="T33" i="37"/>
  <c r="Z36" i="39"/>
  <c r="AC36" i="39"/>
  <c r="V27" i="44"/>
  <c r="S27" i="44"/>
  <c r="F24" i="44"/>
  <c r="E24" i="44" s="1"/>
  <c r="W31" i="37"/>
  <c r="E31" i="37"/>
  <c r="X37" i="36"/>
  <c r="AA37" i="36"/>
  <c r="V27" i="40"/>
  <c r="H35" i="36"/>
  <c r="J35" i="36" s="1"/>
  <c r="L35" i="36" s="1"/>
  <c r="G35" i="36"/>
  <c r="I35" i="36" s="1"/>
  <c r="K35" i="36" s="1"/>
  <c r="S35" i="36" s="1"/>
  <c r="X37" i="39"/>
  <c r="AA37" i="39"/>
  <c r="C32" i="34"/>
  <c r="B33" i="36"/>
  <c r="F33" i="36" s="1"/>
  <c r="X26" i="40"/>
  <c r="B23" i="44"/>
  <c r="F23" i="44" s="1"/>
  <c r="B23" i="40"/>
  <c r="G23" i="40" s="1"/>
  <c r="E29" i="34"/>
  <c r="B29" i="65" s="1"/>
  <c r="B30" i="37"/>
  <c r="F30" i="37" s="1"/>
  <c r="Y37" i="36"/>
  <c r="V37" i="36"/>
  <c r="AB37" i="36"/>
  <c r="T27" i="40"/>
  <c r="W27" i="40"/>
  <c r="V37" i="44"/>
  <c r="S37" i="44"/>
  <c r="Y34" i="37"/>
  <c r="AB34" i="37"/>
  <c r="V34" i="37"/>
  <c r="H32" i="37"/>
  <c r="J32" i="37" s="1"/>
  <c r="L32" i="37" s="1"/>
  <c r="G32" i="37"/>
  <c r="I32" i="37" s="1"/>
  <c r="K32" i="37" s="1"/>
  <c r="S32" i="37" s="1"/>
  <c r="X34" i="37"/>
  <c r="AA34" i="37"/>
  <c r="H35" i="39"/>
  <c r="J35" i="39" s="1"/>
  <c r="L35" i="39" s="1"/>
  <c r="G35" i="39"/>
  <c r="I35" i="39" s="1"/>
  <c r="K35" i="39" s="1"/>
  <c r="S35" i="39" s="1"/>
  <c r="W34" i="39"/>
  <c r="E34" i="39"/>
  <c r="H25" i="44"/>
  <c r="J25" i="44" s="1"/>
  <c r="L25" i="44" s="1"/>
  <c r="G25" i="44"/>
  <c r="I25" i="44" s="1"/>
  <c r="K25" i="44" s="1"/>
  <c r="P25" i="44" s="1"/>
  <c r="W25" i="44" s="1"/>
  <c r="Z36" i="36"/>
  <c r="AC36" i="36"/>
  <c r="W37" i="40"/>
  <c r="T37" i="40"/>
  <c r="B41" i="44"/>
  <c r="B41" i="40"/>
  <c r="R26" i="40"/>
  <c r="S26" i="40"/>
  <c r="V37" i="39"/>
  <c r="Y37" i="39"/>
  <c r="AB37" i="39"/>
  <c r="V37" i="40"/>
  <c r="D32" i="34"/>
  <c r="B33" i="39"/>
  <c r="F33" i="39" s="1"/>
  <c r="U36" i="36"/>
  <c r="T36" i="36"/>
  <c r="G13" i="43"/>
  <c r="H13" i="43"/>
  <c r="F13" i="43"/>
  <c r="I13" i="43"/>
  <c r="I15" i="41"/>
  <c r="F15" i="41"/>
  <c r="G15" i="41"/>
  <c r="H15" i="41"/>
  <c r="G13" i="42"/>
  <c r="I13" i="42"/>
  <c r="E15" i="42"/>
  <c r="F13" i="42"/>
  <c r="H13" i="42"/>
  <c r="S36" i="63" l="1"/>
  <c r="V36" i="63"/>
  <c r="H34" i="63"/>
  <c r="J34" i="63" s="1"/>
  <c r="L34" i="63" s="1"/>
  <c r="G34" i="63"/>
  <c r="I34" i="63" s="1"/>
  <c r="K34" i="63" s="1"/>
  <c r="P34" i="63" s="1"/>
  <c r="W34" i="63" s="1"/>
  <c r="B32" i="63"/>
  <c r="F32" i="63" s="1"/>
  <c r="B32" i="64"/>
  <c r="F32" i="64" s="1"/>
  <c r="S36" i="64"/>
  <c r="V36" i="64"/>
  <c r="T33" i="64"/>
  <c r="E33" i="64"/>
  <c r="T33" i="63"/>
  <c r="E33" i="63"/>
  <c r="H34" i="64"/>
  <c r="J34" i="64" s="1"/>
  <c r="L34" i="64" s="1"/>
  <c r="G34" i="64"/>
  <c r="I34" i="64" s="1"/>
  <c r="K34" i="64" s="1"/>
  <c r="P34" i="64" s="1"/>
  <c r="W34" i="64" s="1"/>
  <c r="H30" i="65"/>
  <c r="K30" i="65" s="1"/>
  <c r="N30" i="65" s="1"/>
  <c r="I30" i="65"/>
  <c r="L30" i="65" s="1"/>
  <c r="O30" i="65" s="1"/>
  <c r="G30" i="65"/>
  <c r="J30" i="65" s="1"/>
  <c r="M30" i="65" s="1"/>
  <c r="S30" i="65" s="1"/>
  <c r="AB30" i="65" s="1"/>
  <c r="Q35" i="63"/>
  <c r="R35" i="63"/>
  <c r="U35" i="63" s="1"/>
  <c r="Q35" i="64"/>
  <c r="R35" i="64"/>
  <c r="U35" i="64" s="1"/>
  <c r="I26" i="55"/>
  <c r="G26" i="55"/>
  <c r="H26" i="55"/>
  <c r="F26" i="55"/>
  <c r="AB36" i="36"/>
  <c r="Y36" i="36"/>
  <c r="V36" i="36"/>
  <c r="C31" i="34"/>
  <c r="B32" i="36"/>
  <c r="F32" i="36" s="1"/>
  <c r="X36" i="36"/>
  <c r="AA36" i="36"/>
  <c r="E28" i="34"/>
  <c r="B28" i="65" s="1"/>
  <c r="B29" i="37"/>
  <c r="F29" i="37" s="1"/>
  <c r="H31" i="37"/>
  <c r="J31" i="37" s="1"/>
  <c r="L31" i="37" s="1"/>
  <c r="G31" i="37"/>
  <c r="I31" i="37" s="1"/>
  <c r="K31" i="37" s="1"/>
  <c r="S31" i="37" s="1"/>
  <c r="V33" i="37"/>
  <c r="AB33" i="37"/>
  <c r="Y33" i="37"/>
  <c r="W33" i="39"/>
  <c r="E33" i="39"/>
  <c r="W26" i="40"/>
  <c r="T26" i="40"/>
  <c r="U23" i="40"/>
  <c r="F23" i="40"/>
  <c r="X33" i="37"/>
  <c r="AA33" i="37"/>
  <c r="Z35" i="36"/>
  <c r="AC35" i="36"/>
  <c r="H24" i="44"/>
  <c r="J24" i="44" s="1"/>
  <c r="L24" i="44" s="1"/>
  <c r="G24" i="44"/>
  <c r="I24" i="44" s="1"/>
  <c r="K24" i="44" s="1"/>
  <c r="P24" i="44" s="1"/>
  <c r="W24" i="44" s="1"/>
  <c r="V36" i="39"/>
  <c r="Y36" i="39"/>
  <c r="AB36" i="39"/>
  <c r="H34" i="36"/>
  <c r="J34" i="36" s="1"/>
  <c r="L34" i="36" s="1"/>
  <c r="G34" i="36"/>
  <c r="I34" i="36" s="1"/>
  <c r="K34" i="36" s="1"/>
  <c r="S34" i="36" s="1"/>
  <c r="W33" i="36"/>
  <c r="E33" i="36"/>
  <c r="R25" i="40"/>
  <c r="S25" i="40"/>
  <c r="V26" i="40"/>
  <c r="AC32" i="37"/>
  <c r="Z32" i="37"/>
  <c r="U32" i="37"/>
  <c r="T32" i="37"/>
  <c r="B22" i="44"/>
  <c r="B22" i="40"/>
  <c r="G22" i="40" s="1"/>
  <c r="T35" i="36"/>
  <c r="U35" i="36"/>
  <c r="T24" i="44"/>
  <c r="AA36" i="39"/>
  <c r="X36" i="39"/>
  <c r="X25" i="40"/>
  <c r="W30" i="37"/>
  <c r="E30" i="37"/>
  <c r="T23" i="44"/>
  <c r="E23" i="44"/>
  <c r="B42" i="44"/>
  <c r="B42" i="40"/>
  <c r="H24" i="40"/>
  <c r="J24" i="40" s="1"/>
  <c r="L24" i="40" s="1"/>
  <c r="Q24" i="40" s="1"/>
  <c r="I24" i="40"/>
  <c r="K24" i="40" s="1"/>
  <c r="M24" i="40" s="1"/>
  <c r="V26" i="44"/>
  <c r="S26" i="44"/>
  <c r="Z35" i="39"/>
  <c r="AC35" i="39"/>
  <c r="U35" i="39"/>
  <c r="T35" i="39"/>
  <c r="D31" i="34"/>
  <c r="B32" i="39"/>
  <c r="F32" i="39" s="1"/>
  <c r="R25" i="44"/>
  <c r="U25" i="44" s="1"/>
  <c r="Q25" i="44"/>
  <c r="G34" i="39"/>
  <c r="I34" i="39" s="1"/>
  <c r="K34" i="39" s="1"/>
  <c r="S34" i="39" s="1"/>
  <c r="H34" i="39"/>
  <c r="J34" i="39" s="1"/>
  <c r="L34" i="39" s="1"/>
  <c r="F15" i="43"/>
  <c r="G14" i="43"/>
  <c r="F14" i="43"/>
  <c r="H14" i="43"/>
  <c r="I14" i="43"/>
  <c r="G16" i="41"/>
  <c r="I16" i="41"/>
  <c r="F16" i="41"/>
  <c r="H16" i="41"/>
  <c r="F14" i="42"/>
  <c r="I14" i="42"/>
  <c r="G14" i="42"/>
  <c r="H14" i="42"/>
  <c r="E16" i="42"/>
  <c r="B31" i="63" l="1"/>
  <c r="F31" i="63" s="1"/>
  <c r="B31" i="64"/>
  <c r="F31" i="64" s="1"/>
  <c r="V30" i="65"/>
  <c r="Z30" i="65" s="1"/>
  <c r="X30" i="65"/>
  <c r="AA30" i="65" s="1"/>
  <c r="T32" i="64"/>
  <c r="E32" i="64"/>
  <c r="R34" i="64"/>
  <c r="U34" i="64" s="1"/>
  <c r="Q34" i="64"/>
  <c r="T32" i="63"/>
  <c r="E32" i="63"/>
  <c r="U30" i="65"/>
  <c r="T30" i="65"/>
  <c r="S35" i="64"/>
  <c r="V35" i="64"/>
  <c r="H33" i="63"/>
  <c r="J33" i="63" s="1"/>
  <c r="L33" i="63" s="1"/>
  <c r="G33" i="63"/>
  <c r="I33" i="63" s="1"/>
  <c r="K33" i="63" s="1"/>
  <c r="P33" i="63" s="1"/>
  <c r="W33" i="63" s="1"/>
  <c r="Q34" i="63"/>
  <c r="R34" i="63"/>
  <c r="U34" i="63" s="1"/>
  <c r="V35" i="63"/>
  <c r="S35" i="63"/>
  <c r="G33" i="64"/>
  <c r="I33" i="64" s="1"/>
  <c r="K33" i="64" s="1"/>
  <c r="P33" i="64" s="1"/>
  <c r="W33" i="64" s="1"/>
  <c r="H33" i="64"/>
  <c r="J33" i="64" s="1"/>
  <c r="L33" i="64" s="1"/>
  <c r="I27" i="55"/>
  <c r="H27" i="55"/>
  <c r="F27" i="55"/>
  <c r="G27" i="55"/>
  <c r="T34" i="39"/>
  <c r="U34" i="39"/>
  <c r="G23" i="44"/>
  <c r="I23" i="44" s="1"/>
  <c r="K23" i="44" s="1"/>
  <c r="P23" i="44" s="1"/>
  <c r="W23" i="44" s="1"/>
  <c r="H23" i="44"/>
  <c r="J23" i="44" s="1"/>
  <c r="L23" i="44" s="1"/>
  <c r="H33" i="39"/>
  <c r="J33" i="39" s="1"/>
  <c r="L33" i="39" s="1"/>
  <c r="G33" i="39"/>
  <c r="I33" i="39" s="1"/>
  <c r="K33" i="39" s="1"/>
  <c r="S33" i="39" s="1"/>
  <c r="AB35" i="36"/>
  <c r="Y35" i="36"/>
  <c r="V35" i="36"/>
  <c r="U22" i="40"/>
  <c r="F22" i="40"/>
  <c r="H23" i="40"/>
  <c r="J23" i="40" s="1"/>
  <c r="L23" i="40" s="1"/>
  <c r="Q23" i="40" s="1"/>
  <c r="I23" i="40"/>
  <c r="K23" i="40" s="1"/>
  <c r="M23" i="40" s="1"/>
  <c r="W32" i="36"/>
  <c r="E32" i="36"/>
  <c r="U34" i="36"/>
  <c r="T34" i="36"/>
  <c r="W32" i="39"/>
  <c r="E32" i="39"/>
  <c r="F22" i="44"/>
  <c r="E22" i="44" s="1"/>
  <c r="V25" i="40"/>
  <c r="C30" i="34"/>
  <c r="B31" i="36"/>
  <c r="F31" i="36" s="1"/>
  <c r="AC34" i="39"/>
  <c r="Z34" i="39"/>
  <c r="H30" i="37"/>
  <c r="J30" i="37" s="1"/>
  <c r="L30" i="37" s="1"/>
  <c r="G30" i="37"/>
  <c r="I30" i="37" s="1"/>
  <c r="K30" i="37" s="1"/>
  <c r="S30" i="37" s="1"/>
  <c r="X24" i="40"/>
  <c r="B21" i="44"/>
  <c r="F21" i="44" s="1"/>
  <c r="B21" i="40"/>
  <c r="G21" i="40" s="1"/>
  <c r="T25" i="40"/>
  <c r="W25" i="40"/>
  <c r="Z31" i="37"/>
  <c r="AC31" i="37"/>
  <c r="Z34" i="36"/>
  <c r="AC34" i="36"/>
  <c r="E27" i="34"/>
  <c r="B28" i="37"/>
  <c r="F28" i="37" s="1"/>
  <c r="S25" i="44"/>
  <c r="V25" i="44"/>
  <c r="Q24" i="44"/>
  <c r="R24" i="44"/>
  <c r="U24" i="44" s="1"/>
  <c r="U31" i="37"/>
  <c r="T31" i="37"/>
  <c r="X35" i="36"/>
  <c r="AA35" i="36"/>
  <c r="S24" i="40"/>
  <c r="R24" i="40"/>
  <c r="D30" i="34"/>
  <c r="B31" i="39"/>
  <c r="F31" i="39" s="1"/>
  <c r="V35" i="39"/>
  <c r="AB35" i="39"/>
  <c r="Y35" i="39"/>
  <c r="Y32" i="37"/>
  <c r="V32" i="37"/>
  <c r="AB32" i="37"/>
  <c r="G33" i="36"/>
  <c r="I33" i="36" s="1"/>
  <c r="K33" i="36" s="1"/>
  <c r="S33" i="36" s="1"/>
  <c r="H33" i="36"/>
  <c r="J33" i="36" s="1"/>
  <c r="L33" i="36" s="1"/>
  <c r="AA35" i="39"/>
  <c r="X35" i="39"/>
  <c r="AA32" i="37"/>
  <c r="X32" i="37"/>
  <c r="E29" i="37"/>
  <c r="W29" i="37"/>
  <c r="F16" i="43"/>
  <c r="G15" i="43"/>
  <c r="I15" i="43"/>
  <c r="H15" i="43"/>
  <c r="G17" i="41"/>
  <c r="F17" i="41"/>
  <c r="I17" i="41"/>
  <c r="H17" i="41"/>
  <c r="H15" i="42"/>
  <c r="E17" i="42"/>
  <c r="I15" i="42"/>
  <c r="F15" i="42"/>
  <c r="I16" i="42"/>
  <c r="G15" i="42"/>
  <c r="Q33" i="64" l="1"/>
  <c r="R33" i="64"/>
  <c r="U33" i="64" s="1"/>
  <c r="G32" i="64"/>
  <c r="I32" i="64" s="1"/>
  <c r="K32" i="64" s="1"/>
  <c r="P32" i="64" s="1"/>
  <c r="W32" i="64" s="1"/>
  <c r="H32" i="64"/>
  <c r="J32" i="64" s="1"/>
  <c r="L32" i="64" s="1"/>
  <c r="R33" i="63"/>
  <c r="U33" i="63" s="1"/>
  <c r="Q33" i="63"/>
  <c r="W30" i="65"/>
  <c r="B30" i="63"/>
  <c r="F30" i="63" s="1"/>
  <c r="B30" i="64"/>
  <c r="F30" i="64" s="1"/>
  <c r="G32" i="63"/>
  <c r="I32" i="63" s="1"/>
  <c r="K32" i="63" s="1"/>
  <c r="P32" i="63" s="1"/>
  <c r="W32" i="63" s="1"/>
  <c r="H32" i="63"/>
  <c r="J32" i="63" s="1"/>
  <c r="L32" i="63" s="1"/>
  <c r="T31" i="64"/>
  <c r="E31" i="64"/>
  <c r="V34" i="64"/>
  <c r="S34" i="64"/>
  <c r="E26" i="34"/>
  <c r="B26" i="65" s="1"/>
  <c r="B27" i="65"/>
  <c r="F27" i="65" s="1"/>
  <c r="V34" i="63"/>
  <c r="S34" i="63"/>
  <c r="T31" i="63"/>
  <c r="E31" i="63"/>
  <c r="I28" i="55"/>
  <c r="H28" i="55"/>
  <c r="G28" i="55"/>
  <c r="F28" i="55"/>
  <c r="T22" i="44"/>
  <c r="AA31" i="37"/>
  <c r="X31" i="37"/>
  <c r="X34" i="36"/>
  <c r="AA34" i="36"/>
  <c r="D29" i="34"/>
  <c r="B30" i="39"/>
  <c r="F30" i="39" s="1"/>
  <c r="W24" i="40"/>
  <c r="T24" i="40"/>
  <c r="Z30" i="37"/>
  <c r="AC30" i="37"/>
  <c r="H22" i="44"/>
  <c r="J22" i="44" s="1"/>
  <c r="L22" i="44" s="1"/>
  <c r="G22" i="44"/>
  <c r="I22" i="44" s="1"/>
  <c r="K22" i="44" s="1"/>
  <c r="P22" i="44" s="1"/>
  <c r="W22" i="44" s="1"/>
  <c r="S23" i="40"/>
  <c r="R23" i="40"/>
  <c r="U33" i="39"/>
  <c r="T33" i="39"/>
  <c r="U33" i="36"/>
  <c r="T33" i="36"/>
  <c r="H32" i="36"/>
  <c r="J32" i="36" s="1"/>
  <c r="L32" i="36" s="1"/>
  <c r="G32" i="36"/>
  <c r="I32" i="36" s="1"/>
  <c r="K32" i="36" s="1"/>
  <c r="S32" i="36" s="1"/>
  <c r="X23" i="40"/>
  <c r="Q23" i="44"/>
  <c r="R23" i="44"/>
  <c r="U23" i="44" s="1"/>
  <c r="AC33" i="36"/>
  <c r="Z33" i="36"/>
  <c r="U30" i="37"/>
  <c r="T30" i="37"/>
  <c r="W28" i="37"/>
  <c r="E28" i="37"/>
  <c r="H32" i="39"/>
  <c r="J32" i="39" s="1"/>
  <c r="L32" i="39" s="1"/>
  <c r="G32" i="39"/>
  <c r="I32" i="39" s="1"/>
  <c r="K32" i="39" s="1"/>
  <c r="S32" i="39" s="1"/>
  <c r="I22" i="40"/>
  <c r="K22" i="40" s="1"/>
  <c r="M22" i="40" s="1"/>
  <c r="H22" i="40"/>
  <c r="J22" i="40" s="1"/>
  <c r="L22" i="40" s="1"/>
  <c r="Q22" i="40" s="1"/>
  <c r="B20" i="44"/>
  <c r="F20" i="44" s="1"/>
  <c r="B20" i="40"/>
  <c r="G20" i="40" s="1"/>
  <c r="C29" i="34"/>
  <c r="B30" i="36"/>
  <c r="F30" i="36" s="1"/>
  <c r="W31" i="39"/>
  <c r="E31" i="39"/>
  <c r="S24" i="44"/>
  <c r="V24" i="44"/>
  <c r="V24" i="40"/>
  <c r="B27" i="37"/>
  <c r="F27" i="37" s="1"/>
  <c r="U21" i="40"/>
  <c r="F21" i="40"/>
  <c r="AA34" i="39"/>
  <c r="X34" i="39"/>
  <c r="AC33" i="39"/>
  <c r="Z33" i="39"/>
  <c r="H29" i="37"/>
  <c r="J29" i="37" s="1"/>
  <c r="L29" i="37" s="1"/>
  <c r="G29" i="37"/>
  <c r="I29" i="37" s="1"/>
  <c r="K29" i="37" s="1"/>
  <c r="S29" i="37" s="1"/>
  <c r="Y31" i="37"/>
  <c r="AB31" i="37"/>
  <c r="V31" i="37"/>
  <c r="E21" i="44"/>
  <c r="T21" i="44"/>
  <c r="W31" i="36"/>
  <c r="E31" i="36"/>
  <c r="V34" i="36"/>
  <c r="Y34" i="36"/>
  <c r="AB34" i="36"/>
  <c r="V34" i="39"/>
  <c r="Y34" i="39"/>
  <c r="AB34" i="39"/>
  <c r="F17" i="43"/>
  <c r="I16" i="43"/>
  <c r="G16" i="43"/>
  <c r="H16" i="43"/>
  <c r="F18" i="41"/>
  <c r="H18" i="41"/>
  <c r="G18" i="41"/>
  <c r="I18" i="41"/>
  <c r="G16" i="42"/>
  <c r="E18" i="42"/>
  <c r="H16" i="42"/>
  <c r="F16" i="42"/>
  <c r="B29" i="63" l="1"/>
  <c r="F29" i="63" s="1"/>
  <c r="B29" i="64"/>
  <c r="F29" i="64" s="1"/>
  <c r="E30" i="63"/>
  <c r="T30" i="63"/>
  <c r="S33" i="63"/>
  <c r="V33" i="63"/>
  <c r="H31" i="63"/>
  <c r="J31" i="63" s="1"/>
  <c r="L31" i="63" s="1"/>
  <c r="G31" i="63"/>
  <c r="I31" i="63" s="1"/>
  <c r="K31" i="63" s="1"/>
  <c r="P31" i="63" s="1"/>
  <c r="W31" i="63" s="1"/>
  <c r="H31" i="64"/>
  <c r="J31" i="64" s="1"/>
  <c r="L31" i="64" s="1"/>
  <c r="G31" i="64"/>
  <c r="I31" i="64" s="1"/>
  <c r="K31" i="64" s="1"/>
  <c r="P31" i="64" s="1"/>
  <c r="W31" i="64" s="1"/>
  <c r="Q32" i="64"/>
  <c r="R32" i="64"/>
  <c r="U32" i="64" s="1"/>
  <c r="R32" i="63"/>
  <c r="U32" i="63" s="1"/>
  <c r="Q32" i="63"/>
  <c r="Y27" i="65"/>
  <c r="E27" i="65"/>
  <c r="T30" i="64"/>
  <c r="E30" i="64"/>
  <c r="S33" i="64"/>
  <c r="V33" i="64"/>
  <c r="I29" i="55"/>
  <c r="G29" i="55"/>
  <c r="H29" i="55"/>
  <c r="F29" i="55"/>
  <c r="W30" i="36"/>
  <c r="E30" i="36"/>
  <c r="AA33" i="39"/>
  <c r="X33" i="39"/>
  <c r="C28" i="34"/>
  <c r="B29" i="36"/>
  <c r="F29" i="36" s="1"/>
  <c r="T20" i="44"/>
  <c r="E20" i="44"/>
  <c r="V30" i="37"/>
  <c r="AB30" i="37"/>
  <c r="Y30" i="37"/>
  <c r="Z32" i="36"/>
  <c r="AC32" i="36"/>
  <c r="D28" i="34"/>
  <c r="B29" i="39"/>
  <c r="F29" i="39" s="1"/>
  <c r="U29" i="37"/>
  <c r="T29" i="37"/>
  <c r="G21" i="44"/>
  <c r="I21" i="44" s="1"/>
  <c r="K21" i="44" s="1"/>
  <c r="P21" i="44" s="1"/>
  <c r="W21" i="44" s="1"/>
  <c r="H21" i="44"/>
  <c r="J21" i="44" s="1"/>
  <c r="L21" i="44" s="1"/>
  <c r="U32" i="36"/>
  <c r="T32" i="36"/>
  <c r="Q22" i="44"/>
  <c r="R22" i="44"/>
  <c r="U22" i="44" s="1"/>
  <c r="W27" i="37"/>
  <c r="E27" i="37"/>
  <c r="V23" i="44"/>
  <c r="S23" i="44"/>
  <c r="H28" i="37"/>
  <c r="J28" i="37" s="1"/>
  <c r="L28" i="37" s="1"/>
  <c r="G28" i="37"/>
  <c r="I28" i="37" s="1"/>
  <c r="K28" i="37" s="1"/>
  <c r="S28" i="37" s="1"/>
  <c r="W30" i="39"/>
  <c r="E30" i="39"/>
  <c r="X22" i="40"/>
  <c r="AB33" i="36"/>
  <c r="Y33" i="36"/>
  <c r="V33" i="36"/>
  <c r="AC29" i="37"/>
  <c r="Z29" i="37"/>
  <c r="H31" i="36"/>
  <c r="J31" i="36" s="1"/>
  <c r="L31" i="36" s="1"/>
  <c r="G31" i="36"/>
  <c r="I31" i="36" s="1"/>
  <c r="K31" i="36" s="1"/>
  <c r="S31" i="36" s="1"/>
  <c r="V23" i="40"/>
  <c r="B19" i="44"/>
  <c r="F19" i="44" s="1"/>
  <c r="B19" i="40"/>
  <c r="G19" i="40" s="1"/>
  <c r="I21" i="40"/>
  <c r="K21" i="40" s="1"/>
  <c r="M21" i="40" s="1"/>
  <c r="H21" i="40"/>
  <c r="J21" i="40" s="1"/>
  <c r="L21" i="40" s="1"/>
  <c r="Q21" i="40" s="1"/>
  <c r="H31" i="39"/>
  <c r="J31" i="39" s="1"/>
  <c r="L31" i="39" s="1"/>
  <c r="G31" i="39"/>
  <c r="I31" i="39" s="1"/>
  <c r="K31" i="39" s="1"/>
  <c r="S31" i="39" s="1"/>
  <c r="S22" i="40"/>
  <c r="R22" i="40"/>
  <c r="X33" i="36"/>
  <c r="AA33" i="36"/>
  <c r="U32" i="39"/>
  <c r="T32" i="39"/>
  <c r="E25" i="34"/>
  <c r="B25" i="65" s="1"/>
  <c r="B26" i="37"/>
  <c r="F26" i="37" s="1"/>
  <c r="T23" i="40"/>
  <c r="W23" i="40"/>
  <c r="U20" i="40"/>
  <c r="F20" i="40"/>
  <c r="X30" i="37"/>
  <c r="AA30" i="37"/>
  <c r="Z32" i="39"/>
  <c r="AC32" i="39"/>
  <c r="Y33" i="39"/>
  <c r="V33" i="39"/>
  <c r="AB33" i="39"/>
  <c r="H17" i="43"/>
  <c r="I17" i="43"/>
  <c r="G17" i="43"/>
  <c r="H19" i="41"/>
  <c r="I19" i="41"/>
  <c r="G19" i="41"/>
  <c r="F19" i="41"/>
  <c r="I17" i="42"/>
  <c r="H17" i="42"/>
  <c r="G17" i="42"/>
  <c r="F17" i="42"/>
  <c r="E19" i="42"/>
  <c r="I27" i="65" l="1"/>
  <c r="L27" i="65" s="1"/>
  <c r="O27" i="65" s="1"/>
  <c r="H27" i="65"/>
  <c r="K27" i="65" s="1"/>
  <c r="N27" i="65" s="1"/>
  <c r="U27" i="65" s="1"/>
  <c r="G27" i="65"/>
  <c r="J27" i="65" s="1"/>
  <c r="M27" i="65" s="1"/>
  <c r="V32" i="63"/>
  <c r="S32" i="63"/>
  <c r="B28" i="63"/>
  <c r="F28" i="63" s="1"/>
  <c r="B28" i="64"/>
  <c r="F28" i="64" s="1"/>
  <c r="S32" i="64"/>
  <c r="V32" i="64"/>
  <c r="H30" i="63"/>
  <c r="J30" i="63" s="1"/>
  <c r="L30" i="63" s="1"/>
  <c r="G30" i="63"/>
  <c r="I30" i="63" s="1"/>
  <c r="K30" i="63" s="1"/>
  <c r="P30" i="63" s="1"/>
  <c r="W30" i="63" s="1"/>
  <c r="Q31" i="63"/>
  <c r="R31" i="63"/>
  <c r="U31" i="63" s="1"/>
  <c r="G30" i="64"/>
  <c r="I30" i="64" s="1"/>
  <c r="K30" i="64" s="1"/>
  <c r="P30" i="64" s="1"/>
  <c r="W30" i="64" s="1"/>
  <c r="H30" i="64"/>
  <c r="J30" i="64" s="1"/>
  <c r="L30" i="64" s="1"/>
  <c r="T29" i="64"/>
  <c r="E29" i="64"/>
  <c r="R31" i="64"/>
  <c r="U31" i="64" s="1"/>
  <c r="Q31" i="64"/>
  <c r="T29" i="63"/>
  <c r="E29" i="63"/>
  <c r="I30" i="55"/>
  <c r="H30" i="55"/>
  <c r="G30" i="55"/>
  <c r="F30" i="55"/>
  <c r="E24" i="34"/>
  <c r="B24" i="65" s="1"/>
  <c r="B25" i="37"/>
  <c r="F25" i="37" s="1"/>
  <c r="U31" i="36"/>
  <c r="T31" i="36"/>
  <c r="S21" i="40"/>
  <c r="R21" i="40"/>
  <c r="V22" i="44"/>
  <c r="S22" i="44"/>
  <c r="D27" i="34"/>
  <c r="B28" i="39"/>
  <c r="F28" i="39" s="1"/>
  <c r="W29" i="36"/>
  <c r="E29" i="36"/>
  <c r="F19" i="40"/>
  <c r="U19" i="40"/>
  <c r="Z28" i="37"/>
  <c r="AC28" i="37"/>
  <c r="V32" i="36"/>
  <c r="Y32" i="36"/>
  <c r="AB32" i="36"/>
  <c r="C27" i="34"/>
  <c r="B28" i="36"/>
  <c r="F28" i="36" s="1"/>
  <c r="T31" i="39"/>
  <c r="U31" i="39"/>
  <c r="X29" i="37"/>
  <c r="AA29" i="37"/>
  <c r="W29" i="39"/>
  <c r="E29" i="39"/>
  <c r="H20" i="40"/>
  <c r="J20" i="40" s="1"/>
  <c r="L20" i="40" s="1"/>
  <c r="Q20" i="40" s="1"/>
  <c r="I20" i="40"/>
  <c r="K20" i="40" s="1"/>
  <c r="M20" i="40" s="1"/>
  <c r="U28" i="37"/>
  <c r="T28" i="37"/>
  <c r="X32" i="36"/>
  <c r="AA32" i="36"/>
  <c r="G20" i="44"/>
  <c r="I20" i="44" s="1"/>
  <c r="K20" i="44" s="1"/>
  <c r="P20" i="44" s="1"/>
  <c r="W20" i="44" s="1"/>
  <c r="H20" i="44"/>
  <c r="J20" i="44" s="1"/>
  <c r="L20" i="44" s="1"/>
  <c r="T22" i="40"/>
  <c r="W22" i="40"/>
  <c r="B18" i="44"/>
  <c r="B18" i="40"/>
  <c r="G18" i="40" s="1"/>
  <c r="Q21" i="44"/>
  <c r="R21" i="44"/>
  <c r="U21" i="44" s="1"/>
  <c r="Z31" i="36"/>
  <c r="AC31" i="36"/>
  <c r="X21" i="40"/>
  <c r="H30" i="39"/>
  <c r="J30" i="39" s="1"/>
  <c r="L30" i="39" s="1"/>
  <c r="G30" i="39"/>
  <c r="I30" i="39" s="1"/>
  <c r="K30" i="39" s="1"/>
  <c r="S30" i="39" s="1"/>
  <c r="V22" i="40"/>
  <c r="G30" i="36"/>
  <c r="I30" i="36" s="1"/>
  <c r="K30" i="36" s="1"/>
  <c r="S30" i="36" s="1"/>
  <c r="H30" i="36"/>
  <c r="J30" i="36" s="1"/>
  <c r="L30" i="36" s="1"/>
  <c r="V32" i="39"/>
  <c r="AB32" i="39"/>
  <c r="Y32" i="39"/>
  <c r="AA32" i="39"/>
  <c r="X32" i="39"/>
  <c r="T19" i="44"/>
  <c r="E19" i="44"/>
  <c r="E26" i="37"/>
  <c r="W26" i="37"/>
  <c r="AC31" i="39"/>
  <c r="Z31" i="39"/>
  <c r="G27" i="37"/>
  <c r="I27" i="37" s="1"/>
  <c r="K27" i="37" s="1"/>
  <c r="S27" i="37" s="1"/>
  <c r="H27" i="37"/>
  <c r="J27" i="37" s="1"/>
  <c r="L27" i="37" s="1"/>
  <c r="Y29" i="37"/>
  <c r="V29" i="37"/>
  <c r="AB29" i="37"/>
  <c r="H18" i="43"/>
  <c r="G18" i="43"/>
  <c r="F18" i="43"/>
  <c r="I18" i="43"/>
  <c r="F20" i="41"/>
  <c r="H20" i="41"/>
  <c r="G20" i="41"/>
  <c r="I20" i="41"/>
  <c r="I18" i="42"/>
  <c r="F18" i="42"/>
  <c r="E20" i="42"/>
  <c r="G18" i="42"/>
  <c r="H18" i="42"/>
  <c r="I19" i="42"/>
  <c r="T28" i="63" l="1"/>
  <c r="E28" i="63"/>
  <c r="G29" i="63"/>
  <c r="I29" i="63" s="1"/>
  <c r="K29" i="63" s="1"/>
  <c r="P29" i="63" s="1"/>
  <c r="W29" i="63" s="1"/>
  <c r="H29" i="63"/>
  <c r="J29" i="63" s="1"/>
  <c r="L29" i="63" s="1"/>
  <c r="S31" i="63"/>
  <c r="V31" i="63"/>
  <c r="V31" i="64"/>
  <c r="S31" i="64"/>
  <c r="T27" i="65"/>
  <c r="W27" i="65" s="1"/>
  <c r="S27" i="65"/>
  <c r="AB27" i="65" s="1"/>
  <c r="R30" i="64"/>
  <c r="U30" i="64" s="1"/>
  <c r="Q30" i="64"/>
  <c r="B27" i="63"/>
  <c r="F27" i="63" s="1"/>
  <c r="B27" i="64"/>
  <c r="F27" i="64" s="1"/>
  <c r="R30" i="63"/>
  <c r="U30" i="63" s="1"/>
  <c r="Q30" i="63"/>
  <c r="T28" i="64"/>
  <c r="E28" i="64"/>
  <c r="H29" i="64"/>
  <c r="J29" i="64" s="1"/>
  <c r="L29" i="64" s="1"/>
  <c r="G29" i="64"/>
  <c r="I29" i="64" s="1"/>
  <c r="K29" i="64" s="1"/>
  <c r="P29" i="64" s="1"/>
  <c r="W29" i="64" s="1"/>
  <c r="V27" i="65"/>
  <c r="Z27" i="65" s="1"/>
  <c r="X27" i="65"/>
  <c r="AA27" i="65" s="1"/>
  <c r="I31" i="55"/>
  <c r="H31" i="55"/>
  <c r="G31" i="55"/>
  <c r="F18" i="44"/>
  <c r="E18" i="44" s="1"/>
  <c r="AA28" i="37"/>
  <c r="X28" i="37"/>
  <c r="W21" i="40"/>
  <c r="T21" i="40"/>
  <c r="H26" i="37"/>
  <c r="J26" i="37" s="1"/>
  <c r="L26" i="37" s="1"/>
  <c r="G26" i="37"/>
  <c r="I26" i="37" s="1"/>
  <c r="K26" i="37" s="1"/>
  <c r="S26" i="37" s="1"/>
  <c r="U30" i="36"/>
  <c r="T30" i="36"/>
  <c r="S20" i="40"/>
  <c r="R20" i="40"/>
  <c r="W28" i="36"/>
  <c r="E28" i="36"/>
  <c r="I19" i="40"/>
  <c r="K19" i="40" s="1"/>
  <c r="M19" i="40" s="1"/>
  <c r="H19" i="40"/>
  <c r="J19" i="40" s="1"/>
  <c r="L19" i="40" s="1"/>
  <c r="Q19" i="40" s="1"/>
  <c r="V21" i="40"/>
  <c r="V28" i="37"/>
  <c r="AB28" i="37"/>
  <c r="Y28" i="37"/>
  <c r="AC30" i="36"/>
  <c r="Z30" i="36"/>
  <c r="X20" i="40"/>
  <c r="C26" i="34"/>
  <c r="B27" i="36"/>
  <c r="F27" i="36" s="1"/>
  <c r="H29" i="36"/>
  <c r="J29" i="36" s="1"/>
  <c r="L29" i="36" s="1"/>
  <c r="G29" i="36"/>
  <c r="I29" i="36" s="1"/>
  <c r="K29" i="36" s="1"/>
  <c r="S29" i="36" s="1"/>
  <c r="V31" i="36"/>
  <c r="Y31" i="36"/>
  <c r="AB31" i="36"/>
  <c r="Q20" i="44"/>
  <c r="R20" i="44"/>
  <c r="U20" i="44" s="1"/>
  <c r="H29" i="39"/>
  <c r="J29" i="39" s="1"/>
  <c r="L29" i="39" s="1"/>
  <c r="G29" i="39"/>
  <c r="I29" i="39" s="1"/>
  <c r="K29" i="39" s="1"/>
  <c r="S29" i="39" s="1"/>
  <c r="AA31" i="36"/>
  <c r="X31" i="36"/>
  <c r="U30" i="39"/>
  <c r="T30" i="39"/>
  <c r="AA31" i="39"/>
  <c r="X31" i="39"/>
  <c r="H19" i="44"/>
  <c r="J19" i="44" s="1"/>
  <c r="L19" i="44" s="1"/>
  <c r="G19" i="44"/>
  <c r="I19" i="44" s="1"/>
  <c r="K19" i="44" s="1"/>
  <c r="P19" i="44" s="1"/>
  <c r="W19" i="44" s="1"/>
  <c r="U27" i="37"/>
  <c r="T27" i="37"/>
  <c r="V21" i="44"/>
  <c r="S21" i="44"/>
  <c r="W28" i="39"/>
  <c r="E28" i="39"/>
  <c r="W25" i="37"/>
  <c r="E25" i="37"/>
  <c r="B17" i="44"/>
  <c r="B17" i="40"/>
  <c r="G17" i="40" s="1"/>
  <c r="AB31" i="39"/>
  <c r="Y31" i="39"/>
  <c r="V31" i="39"/>
  <c r="Z27" i="37"/>
  <c r="AC27" i="37"/>
  <c r="Z30" i="39"/>
  <c r="AC30" i="39"/>
  <c r="U18" i="40"/>
  <c r="F18" i="40"/>
  <c r="D26" i="34"/>
  <c r="B27" i="39"/>
  <c r="F27" i="39" s="1"/>
  <c r="E23" i="34"/>
  <c r="B23" i="65" s="1"/>
  <c r="F23" i="65" s="1"/>
  <c r="B24" i="37"/>
  <c r="F24" i="37" s="1"/>
  <c r="H19" i="43"/>
  <c r="F19" i="43"/>
  <c r="I19" i="43"/>
  <c r="F20" i="43"/>
  <c r="G19" i="43"/>
  <c r="G21" i="41"/>
  <c r="H21" i="41"/>
  <c r="I21" i="41"/>
  <c r="F21" i="41"/>
  <c r="G19" i="42"/>
  <c r="E21" i="42"/>
  <c r="F19" i="42"/>
  <c r="H19" i="42"/>
  <c r="S30" i="63" l="1"/>
  <c r="V30" i="63"/>
  <c r="B26" i="63"/>
  <c r="F26" i="63" s="1"/>
  <c r="B26" i="64"/>
  <c r="F26" i="64" s="1"/>
  <c r="T27" i="64"/>
  <c r="E27" i="64"/>
  <c r="T27" i="63"/>
  <c r="E27" i="63"/>
  <c r="Y23" i="65"/>
  <c r="E23" i="65"/>
  <c r="S30" i="64"/>
  <c r="V30" i="64"/>
  <c r="Q29" i="63"/>
  <c r="R29" i="63"/>
  <c r="U29" i="63" s="1"/>
  <c r="R29" i="64"/>
  <c r="U29" i="64" s="1"/>
  <c r="Q29" i="64"/>
  <c r="G28" i="64"/>
  <c r="I28" i="64" s="1"/>
  <c r="K28" i="64" s="1"/>
  <c r="P28" i="64" s="1"/>
  <c r="W28" i="64" s="1"/>
  <c r="H28" i="64"/>
  <c r="J28" i="64" s="1"/>
  <c r="L28" i="64" s="1"/>
  <c r="H28" i="63"/>
  <c r="J28" i="63" s="1"/>
  <c r="L28" i="63" s="1"/>
  <c r="G28" i="63"/>
  <c r="I28" i="63" s="1"/>
  <c r="K28" i="63" s="1"/>
  <c r="P28" i="63" s="1"/>
  <c r="W28" i="63" s="1"/>
  <c r="I32" i="55"/>
  <c r="H32" i="55"/>
  <c r="G32" i="55"/>
  <c r="F32" i="55"/>
  <c r="U26" i="37"/>
  <c r="T26" i="37"/>
  <c r="Y27" i="37"/>
  <c r="AB27" i="37"/>
  <c r="V27" i="37"/>
  <c r="AC29" i="36"/>
  <c r="Z29" i="36"/>
  <c r="W24" i="37"/>
  <c r="E24" i="37"/>
  <c r="G25" i="37"/>
  <c r="I25" i="37" s="1"/>
  <c r="K25" i="37" s="1"/>
  <c r="S25" i="37" s="1"/>
  <c r="H25" i="37"/>
  <c r="J25" i="37" s="1"/>
  <c r="L25" i="37" s="1"/>
  <c r="AC29" i="39"/>
  <c r="Z29" i="39"/>
  <c r="U29" i="36"/>
  <c r="T29" i="36"/>
  <c r="T20" i="40"/>
  <c r="W20" i="40"/>
  <c r="U17" i="40"/>
  <c r="F17" i="40"/>
  <c r="AA27" i="37"/>
  <c r="X27" i="37"/>
  <c r="E22" i="34"/>
  <c r="B22" i="65" s="1"/>
  <c r="B23" i="37"/>
  <c r="F23" i="37" s="1"/>
  <c r="W27" i="36"/>
  <c r="E27" i="36"/>
  <c r="V20" i="40"/>
  <c r="S19" i="40"/>
  <c r="R19" i="40"/>
  <c r="W27" i="39"/>
  <c r="E27" i="39"/>
  <c r="H28" i="39"/>
  <c r="J28" i="39" s="1"/>
  <c r="L28" i="39" s="1"/>
  <c r="G28" i="39"/>
  <c r="I28" i="39" s="1"/>
  <c r="K28" i="39" s="1"/>
  <c r="S28" i="39" s="1"/>
  <c r="C25" i="34"/>
  <c r="B26" i="36"/>
  <c r="F26" i="36" s="1"/>
  <c r="Y30" i="36"/>
  <c r="V30" i="36"/>
  <c r="AB30" i="36"/>
  <c r="B16" i="44"/>
  <c r="B16" i="40"/>
  <c r="G16" i="40" s="1"/>
  <c r="Q19" i="44"/>
  <c r="R19" i="44"/>
  <c r="U19" i="44" s="1"/>
  <c r="D25" i="34"/>
  <c r="B26" i="39"/>
  <c r="F26" i="39" s="1"/>
  <c r="V20" i="44"/>
  <c r="S20" i="44"/>
  <c r="X30" i="36"/>
  <c r="AA30" i="36"/>
  <c r="G18" i="44"/>
  <c r="I18" i="44" s="1"/>
  <c r="K18" i="44" s="1"/>
  <c r="P18" i="44" s="1"/>
  <c r="W18" i="44" s="1"/>
  <c r="H18" i="44"/>
  <c r="J18" i="44" s="1"/>
  <c r="L18" i="44" s="1"/>
  <c r="X30" i="39"/>
  <c r="AA30" i="39"/>
  <c r="F17" i="44"/>
  <c r="E17" i="44" s="1"/>
  <c r="H28" i="36"/>
  <c r="J28" i="36" s="1"/>
  <c r="L28" i="36" s="1"/>
  <c r="G28" i="36"/>
  <c r="I28" i="36" s="1"/>
  <c r="K28" i="36" s="1"/>
  <c r="S28" i="36" s="1"/>
  <c r="U29" i="39"/>
  <c r="T29" i="39"/>
  <c r="I18" i="40"/>
  <c r="K18" i="40" s="1"/>
  <c r="M18" i="40" s="1"/>
  <c r="H18" i="40"/>
  <c r="J18" i="40" s="1"/>
  <c r="L18" i="40" s="1"/>
  <c r="Q18" i="40" s="1"/>
  <c r="AB30" i="39"/>
  <c r="Y30" i="39"/>
  <c r="V30" i="39"/>
  <c r="X19" i="40"/>
  <c r="AC26" i="37"/>
  <c r="Z26" i="37"/>
  <c r="T18" i="44"/>
  <c r="F21" i="43"/>
  <c r="H20" i="43"/>
  <c r="G20" i="43"/>
  <c r="I20" i="43"/>
  <c r="I21" i="43"/>
  <c r="F20" i="42"/>
  <c r="I20" i="42"/>
  <c r="H20" i="42"/>
  <c r="G20" i="42"/>
  <c r="V29" i="64" l="1"/>
  <c r="S29" i="64"/>
  <c r="H27" i="63"/>
  <c r="J27" i="63" s="1"/>
  <c r="L27" i="63" s="1"/>
  <c r="G27" i="63"/>
  <c r="I27" i="63" s="1"/>
  <c r="K27" i="63" s="1"/>
  <c r="P27" i="63" s="1"/>
  <c r="W27" i="63" s="1"/>
  <c r="H27" i="64"/>
  <c r="J27" i="64" s="1"/>
  <c r="L27" i="64" s="1"/>
  <c r="G27" i="64"/>
  <c r="I27" i="64" s="1"/>
  <c r="K27" i="64" s="1"/>
  <c r="P27" i="64" s="1"/>
  <c r="W27" i="64" s="1"/>
  <c r="S29" i="63"/>
  <c r="V29" i="63"/>
  <c r="T26" i="64"/>
  <c r="E26" i="64"/>
  <c r="Q28" i="63"/>
  <c r="R28" i="63"/>
  <c r="U28" i="63" s="1"/>
  <c r="T26" i="63"/>
  <c r="E26" i="63"/>
  <c r="B25" i="63"/>
  <c r="F25" i="63" s="1"/>
  <c r="B25" i="64"/>
  <c r="F25" i="64" s="1"/>
  <c r="Q28" i="64"/>
  <c r="R28" i="64"/>
  <c r="U28" i="64" s="1"/>
  <c r="I23" i="65"/>
  <c r="L23" i="65" s="1"/>
  <c r="O23" i="65" s="1"/>
  <c r="G23" i="65"/>
  <c r="J23" i="65" s="1"/>
  <c r="M23" i="65" s="1"/>
  <c r="S23" i="65" s="1"/>
  <c r="AB23" i="65" s="1"/>
  <c r="H23" i="65"/>
  <c r="K23" i="65" s="1"/>
  <c r="N23" i="65" s="1"/>
  <c r="I33" i="55"/>
  <c r="H33" i="55"/>
  <c r="G33" i="55"/>
  <c r="F33" i="55"/>
  <c r="W26" i="39"/>
  <c r="E26" i="39"/>
  <c r="T19" i="40"/>
  <c r="W19" i="40"/>
  <c r="AA29" i="36"/>
  <c r="X29" i="36"/>
  <c r="S18" i="40"/>
  <c r="R18" i="40"/>
  <c r="D24" i="34"/>
  <c r="B25" i="39"/>
  <c r="F25" i="39" s="1"/>
  <c r="V19" i="40"/>
  <c r="W23" i="37"/>
  <c r="E23" i="37"/>
  <c r="T17" i="44"/>
  <c r="Q18" i="44"/>
  <c r="R18" i="44"/>
  <c r="U18" i="44" s="1"/>
  <c r="W26" i="36"/>
  <c r="E26" i="36"/>
  <c r="H17" i="40"/>
  <c r="J17" i="40" s="1"/>
  <c r="L17" i="40" s="1"/>
  <c r="Q17" i="40" s="1"/>
  <c r="I17" i="40"/>
  <c r="K17" i="40" s="1"/>
  <c r="M17" i="40" s="1"/>
  <c r="G27" i="39"/>
  <c r="I27" i="39" s="1"/>
  <c r="K27" i="39" s="1"/>
  <c r="S27" i="39" s="1"/>
  <c r="H27" i="39"/>
  <c r="J27" i="39" s="1"/>
  <c r="L27" i="39" s="1"/>
  <c r="X18" i="40"/>
  <c r="X29" i="39"/>
  <c r="AA29" i="39"/>
  <c r="V19" i="44"/>
  <c r="S19" i="44"/>
  <c r="C24" i="34"/>
  <c r="B25" i="36"/>
  <c r="F25" i="36" s="1"/>
  <c r="U25" i="37"/>
  <c r="T25" i="37"/>
  <c r="V29" i="36"/>
  <c r="AB29" i="36"/>
  <c r="Y29" i="36"/>
  <c r="V29" i="39"/>
  <c r="AB29" i="39"/>
  <c r="Y29" i="39"/>
  <c r="U16" i="40"/>
  <c r="F16" i="40"/>
  <c r="AC28" i="39"/>
  <c r="Z28" i="39"/>
  <c r="H27" i="36"/>
  <c r="J27" i="36" s="1"/>
  <c r="L27" i="36" s="1"/>
  <c r="G27" i="36"/>
  <c r="I27" i="36" s="1"/>
  <c r="K27" i="36" s="1"/>
  <c r="S27" i="36" s="1"/>
  <c r="Z25" i="37"/>
  <c r="AC25" i="37"/>
  <c r="Y26" i="37"/>
  <c r="V26" i="37"/>
  <c r="AB26" i="37"/>
  <c r="H17" i="44"/>
  <c r="J17" i="44" s="1"/>
  <c r="L17" i="44" s="1"/>
  <c r="G17" i="44"/>
  <c r="I17" i="44" s="1"/>
  <c r="K17" i="44" s="1"/>
  <c r="P17" i="44" s="1"/>
  <c r="W17" i="44" s="1"/>
  <c r="B15" i="44"/>
  <c r="F15" i="44" s="1"/>
  <c r="B15" i="40"/>
  <c r="G15" i="40" s="1"/>
  <c r="E21" i="34"/>
  <c r="B21" i="65" s="1"/>
  <c r="B22" i="37"/>
  <c r="F22" i="37" s="1"/>
  <c r="Z28" i="36"/>
  <c r="AC28" i="36"/>
  <c r="T28" i="36"/>
  <c r="U28" i="36"/>
  <c r="F16" i="44"/>
  <c r="E16" i="44" s="1"/>
  <c r="U28" i="39"/>
  <c r="T28" i="39"/>
  <c r="G24" i="37"/>
  <c r="I24" i="37" s="1"/>
  <c r="K24" i="37" s="1"/>
  <c r="S24" i="37" s="1"/>
  <c r="H24" i="37"/>
  <c r="J24" i="37" s="1"/>
  <c r="L24" i="37" s="1"/>
  <c r="X26" i="37"/>
  <c r="AA26" i="37"/>
  <c r="G21" i="43"/>
  <c r="H21" i="43"/>
  <c r="H21" i="42"/>
  <c r="I21" i="42"/>
  <c r="F21" i="42"/>
  <c r="G21" i="42"/>
  <c r="T25" i="64" l="1"/>
  <c r="E25" i="64"/>
  <c r="T25" i="63"/>
  <c r="E25" i="63"/>
  <c r="H26" i="63"/>
  <c r="J26" i="63" s="1"/>
  <c r="L26" i="63" s="1"/>
  <c r="G26" i="63"/>
  <c r="I26" i="63" s="1"/>
  <c r="K26" i="63" s="1"/>
  <c r="P26" i="63" s="1"/>
  <c r="W26" i="63" s="1"/>
  <c r="U23" i="65"/>
  <c r="T23" i="65"/>
  <c r="W23" i="65" s="1"/>
  <c r="R27" i="64"/>
  <c r="U27" i="64" s="1"/>
  <c r="Q27" i="64"/>
  <c r="V23" i="65"/>
  <c r="Z23" i="65" s="1"/>
  <c r="X23" i="65"/>
  <c r="AA23" i="65" s="1"/>
  <c r="V28" i="63"/>
  <c r="S28" i="63"/>
  <c r="R27" i="63"/>
  <c r="U27" i="63" s="1"/>
  <c r="Q27" i="63"/>
  <c r="B24" i="63"/>
  <c r="F24" i="63" s="1"/>
  <c r="B24" i="64"/>
  <c r="F24" i="64" s="1"/>
  <c r="H26" i="64"/>
  <c r="J26" i="64" s="1"/>
  <c r="L26" i="64" s="1"/>
  <c r="G26" i="64"/>
  <c r="I26" i="64" s="1"/>
  <c r="K26" i="64" s="1"/>
  <c r="P26" i="64" s="1"/>
  <c r="W26" i="64" s="1"/>
  <c r="S28" i="64"/>
  <c r="V28" i="64"/>
  <c r="I34" i="55"/>
  <c r="G34" i="55"/>
  <c r="H34" i="55"/>
  <c r="F34" i="55"/>
  <c r="H16" i="44"/>
  <c r="J16" i="44" s="1"/>
  <c r="L16" i="44" s="1"/>
  <c r="G16" i="44"/>
  <c r="I16" i="44" s="1"/>
  <c r="K16" i="44" s="1"/>
  <c r="P16" i="44" s="1"/>
  <c r="W16" i="44" s="1"/>
  <c r="C23" i="34"/>
  <c r="B24" i="36"/>
  <c r="F24" i="36" s="1"/>
  <c r="H23" i="37"/>
  <c r="J23" i="37" s="1"/>
  <c r="L23" i="37" s="1"/>
  <c r="G23" i="37"/>
  <c r="I23" i="37" s="1"/>
  <c r="K23" i="37" s="1"/>
  <c r="S23" i="37" s="1"/>
  <c r="B14" i="44"/>
  <c r="F14" i="44" s="1"/>
  <c r="B14" i="40"/>
  <c r="G14" i="40" s="1"/>
  <c r="V28" i="36"/>
  <c r="Y28" i="36"/>
  <c r="AB28" i="36"/>
  <c r="U27" i="36"/>
  <c r="T27" i="36"/>
  <c r="X17" i="40"/>
  <c r="U15" i="40"/>
  <c r="F15" i="40"/>
  <c r="V18" i="40"/>
  <c r="AC27" i="36"/>
  <c r="Z27" i="36"/>
  <c r="Q17" i="44"/>
  <c r="R17" i="44"/>
  <c r="U17" i="44" s="1"/>
  <c r="H26" i="36"/>
  <c r="J26" i="36" s="1"/>
  <c r="L26" i="36" s="1"/>
  <c r="G26" i="36"/>
  <c r="I26" i="36" s="1"/>
  <c r="K26" i="36" s="1"/>
  <c r="S26" i="36" s="1"/>
  <c r="W25" i="36"/>
  <c r="E25" i="36"/>
  <c r="T16" i="44"/>
  <c r="T24" i="37"/>
  <c r="U24" i="37"/>
  <c r="W25" i="39"/>
  <c r="E25" i="39"/>
  <c r="Z27" i="39"/>
  <c r="AC27" i="39"/>
  <c r="AA28" i="36"/>
  <c r="X28" i="36"/>
  <c r="V28" i="39"/>
  <c r="Y28" i="39"/>
  <c r="AB28" i="39"/>
  <c r="W22" i="37"/>
  <c r="E22" i="37"/>
  <c r="I16" i="40"/>
  <c r="K16" i="40" s="1"/>
  <c r="M16" i="40" s="1"/>
  <c r="H16" i="40"/>
  <c r="J16" i="40" s="1"/>
  <c r="L16" i="40" s="1"/>
  <c r="Q16" i="40" s="1"/>
  <c r="V25" i="37"/>
  <c r="Y25" i="37"/>
  <c r="AB25" i="37"/>
  <c r="D23" i="34"/>
  <c r="B24" i="39"/>
  <c r="F24" i="39" s="1"/>
  <c r="G26" i="39"/>
  <c r="I26" i="39" s="1"/>
  <c r="K26" i="39" s="1"/>
  <c r="S26" i="39" s="1"/>
  <c r="H26" i="39"/>
  <c r="J26" i="39" s="1"/>
  <c r="L26" i="39" s="1"/>
  <c r="U27" i="39"/>
  <c r="T27" i="39"/>
  <c r="T15" i="44"/>
  <c r="E15" i="44"/>
  <c r="S17" i="40"/>
  <c r="R17" i="40"/>
  <c r="Z24" i="37"/>
  <c r="AC24" i="37"/>
  <c r="X28" i="39"/>
  <c r="AA28" i="39"/>
  <c r="E20" i="34"/>
  <c r="B20" i="65" s="1"/>
  <c r="B21" i="37"/>
  <c r="F21" i="37" s="1"/>
  <c r="AA25" i="37"/>
  <c r="X25" i="37"/>
  <c r="V18" i="44"/>
  <c r="S18" i="44"/>
  <c r="W18" i="40"/>
  <c r="T18" i="40"/>
  <c r="T24" i="64" l="1"/>
  <c r="E24" i="64"/>
  <c r="B23" i="63"/>
  <c r="F23" i="63" s="1"/>
  <c r="B23" i="64"/>
  <c r="F23" i="64" s="1"/>
  <c r="S27" i="63"/>
  <c r="V27" i="63"/>
  <c r="Q26" i="63"/>
  <c r="R26" i="63"/>
  <c r="U26" i="63" s="1"/>
  <c r="G25" i="63"/>
  <c r="I25" i="63" s="1"/>
  <c r="K25" i="63" s="1"/>
  <c r="P25" i="63" s="1"/>
  <c r="W25" i="63" s="1"/>
  <c r="H25" i="63"/>
  <c r="J25" i="63" s="1"/>
  <c r="L25" i="63" s="1"/>
  <c r="G25" i="64"/>
  <c r="I25" i="64" s="1"/>
  <c r="K25" i="64" s="1"/>
  <c r="P25" i="64" s="1"/>
  <c r="W25" i="64" s="1"/>
  <c r="H25" i="64"/>
  <c r="J25" i="64" s="1"/>
  <c r="L25" i="64" s="1"/>
  <c r="R26" i="64"/>
  <c r="U26" i="64" s="1"/>
  <c r="Q26" i="64"/>
  <c r="S27" i="64"/>
  <c r="V27" i="64"/>
  <c r="T24" i="63"/>
  <c r="E24" i="63"/>
  <c r="I35" i="55"/>
  <c r="F35" i="55"/>
  <c r="H35" i="55"/>
  <c r="G35" i="55"/>
  <c r="E14" i="44"/>
  <c r="T14" i="44"/>
  <c r="H15" i="44"/>
  <c r="J15" i="44" s="1"/>
  <c r="L15" i="44" s="1"/>
  <c r="G15" i="44"/>
  <c r="I15" i="44" s="1"/>
  <c r="K15" i="44" s="1"/>
  <c r="P15" i="44" s="1"/>
  <c r="W15" i="44" s="1"/>
  <c r="V17" i="44"/>
  <c r="S17" i="44"/>
  <c r="V27" i="36"/>
  <c r="Y27" i="36"/>
  <c r="AB27" i="36"/>
  <c r="AC23" i="37"/>
  <c r="Z23" i="37"/>
  <c r="V27" i="39"/>
  <c r="Y27" i="39"/>
  <c r="AB27" i="39"/>
  <c r="AA27" i="36"/>
  <c r="X27" i="36"/>
  <c r="U23" i="37"/>
  <c r="T23" i="37"/>
  <c r="B13" i="44"/>
  <c r="F13" i="44" s="1"/>
  <c r="B13" i="40"/>
  <c r="G13" i="40" s="1"/>
  <c r="X16" i="40"/>
  <c r="H25" i="36"/>
  <c r="J25" i="36" s="1"/>
  <c r="L25" i="36" s="1"/>
  <c r="G25" i="36"/>
  <c r="I25" i="36" s="1"/>
  <c r="K25" i="36" s="1"/>
  <c r="S25" i="36" s="1"/>
  <c r="W24" i="36"/>
  <c r="E24" i="36"/>
  <c r="V17" i="40"/>
  <c r="V24" i="37"/>
  <c r="Y24" i="37"/>
  <c r="AB24" i="37"/>
  <c r="U26" i="39"/>
  <c r="T26" i="39"/>
  <c r="S16" i="40"/>
  <c r="R16" i="40"/>
  <c r="C22" i="34"/>
  <c r="B23" i="36"/>
  <c r="F23" i="36" s="1"/>
  <c r="D22" i="34"/>
  <c r="B23" i="39"/>
  <c r="F23" i="39" s="1"/>
  <c r="AA24" i="37"/>
  <c r="X24" i="37"/>
  <c r="AC26" i="39"/>
  <c r="Z26" i="39"/>
  <c r="H22" i="37"/>
  <c r="J22" i="37" s="1"/>
  <c r="L22" i="37" s="1"/>
  <c r="G22" i="37"/>
  <c r="I22" i="37" s="1"/>
  <c r="K22" i="37" s="1"/>
  <c r="S22" i="37" s="1"/>
  <c r="Z26" i="36"/>
  <c r="AC26" i="36"/>
  <c r="I15" i="40"/>
  <c r="K15" i="40" s="1"/>
  <c r="M15" i="40" s="1"/>
  <c r="H15" i="40"/>
  <c r="J15" i="40" s="1"/>
  <c r="L15" i="40" s="1"/>
  <c r="Q15" i="40" s="1"/>
  <c r="W21" i="37"/>
  <c r="E21" i="37"/>
  <c r="E19" i="34"/>
  <c r="B19" i="65" s="1"/>
  <c r="B20" i="37"/>
  <c r="F20" i="37" s="1"/>
  <c r="X27" i="39"/>
  <c r="AA27" i="39"/>
  <c r="T17" i="40"/>
  <c r="W17" i="40"/>
  <c r="W24" i="39"/>
  <c r="E24" i="39"/>
  <c r="H25" i="39"/>
  <c r="J25" i="39" s="1"/>
  <c r="L25" i="39" s="1"/>
  <c r="G25" i="39"/>
  <c r="I25" i="39" s="1"/>
  <c r="K25" i="39" s="1"/>
  <c r="S25" i="39" s="1"/>
  <c r="U26" i="36"/>
  <c r="T26" i="36"/>
  <c r="U14" i="40"/>
  <c r="F14" i="40"/>
  <c r="Q16" i="44"/>
  <c r="R16" i="44"/>
  <c r="U16" i="44" s="1"/>
  <c r="S26" i="63" l="1"/>
  <c r="V26" i="63"/>
  <c r="V26" i="64"/>
  <c r="S26" i="64"/>
  <c r="R25" i="64"/>
  <c r="U25" i="64" s="1"/>
  <c r="Q25" i="64"/>
  <c r="T23" i="64"/>
  <c r="E23" i="64"/>
  <c r="T23" i="63"/>
  <c r="E23" i="63"/>
  <c r="B22" i="63"/>
  <c r="F22" i="63" s="1"/>
  <c r="B22" i="64"/>
  <c r="F22" i="64" s="1"/>
  <c r="G24" i="63"/>
  <c r="I24" i="63" s="1"/>
  <c r="K24" i="63" s="1"/>
  <c r="P24" i="63" s="1"/>
  <c r="W24" i="63" s="1"/>
  <c r="H24" i="63"/>
  <c r="J24" i="63" s="1"/>
  <c r="L24" i="63" s="1"/>
  <c r="Q25" i="63"/>
  <c r="R25" i="63"/>
  <c r="U25" i="63" s="1"/>
  <c r="H24" i="64"/>
  <c r="J24" i="64" s="1"/>
  <c r="L24" i="64" s="1"/>
  <c r="G24" i="64"/>
  <c r="I24" i="64" s="1"/>
  <c r="K24" i="64" s="1"/>
  <c r="P24" i="64" s="1"/>
  <c r="W24" i="64" s="1"/>
  <c r="I36" i="55"/>
  <c r="H36" i="55"/>
  <c r="F36" i="55"/>
  <c r="G36" i="55"/>
  <c r="W23" i="39"/>
  <c r="E23" i="39"/>
  <c r="W23" i="36"/>
  <c r="E23" i="36"/>
  <c r="H24" i="39"/>
  <c r="J24" i="39" s="1"/>
  <c r="L24" i="39" s="1"/>
  <c r="G24" i="39"/>
  <c r="I24" i="39" s="1"/>
  <c r="K24" i="39" s="1"/>
  <c r="S24" i="39" s="1"/>
  <c r="E18" i="34"/>
  <c r="B18" i="65" s="1"/>
  <c r="F18" i="65" s="1"/>
  <c r="B19" i="37"/>
  <c r="F19" i="37" s="1"/>
  <c r="U22" i="37"/>
  <c r="T22" i="37"/>
  <c r="C21" i="34"/>
  <c r="B22" i="36"/>
  <c r="F22" i="36" s="1"/>
  <c r="F13" i="40"/>
  <c r="U13" i="40"/>
  <c r="T13" i="44"/>
  <c r="E13" i="44"/>
  <c r="X26" i="36"/>
  <c r="AA26" i="36"/>
  <c r="E20" i="37"/>
  <c r="W20" i="37"/>
  <c r="S16" i="44"/>
  <c r="V16" i="44"/>
  <c r="V16" i="40"/>
  <c r="G24" i="36"/>
  <c r="I24" i="36" s="1"/>
  <c r="K24" i="36" s="1"/>
  <c r="S24" i="36" s="1"/>
  <c r="H24" i="36"/>
  <c r="J24" i="36" s="1"/>
  <c r="L24" i="36" s="1"/>
  <c r="B12" i="44"/>
  <c r="F12" i="44" s="1"/>
  <c r="B12" i="40"/>
  <c r="G12" i="40" s="1"/>
  <c r="R15" i="44"/>
  <c r="U15" i="44" s="1"/>
  <c r="Q15" i="44"/>
  <c r="AC25" i="39"/>
  <c r="Z25" i="39"/>
  <c r="D21" i="34"/>
  <c r="B22" i="39"/>
  <c r="F22" i="39" s="1"/>
  <c r="Z22" i="37"/>
  <c r="AC22" i="37"/>
  <c r="H21" i="37"/>
  <c r="J21" i="37" s="1"/>
  <c r="L21" i="37" s="1"/>
  <c r="G21" i="37"/>
  <c r="I21" i="37" s="1"/>
  <c r="K21" i="37" s="1"/>
  <c r="S21" i="37" s="1"/>
  <c r="W16" i="40"/>
  <c r="T16" i="40"/>
  <c r="I14" i="40"/>
  <c r="K14" i="40" s="1"/>
  <c r="M14" i="40" s="1"/>
  <c r="H14" i="40"/>
  <c r="J14" i="40" s="1"/>
  <c r="L14" i="40" s="1"/>
  <c r="Q14" i="40" s="1"/>
  <c r="X15" i="40"/>
  <c r="Y26" i="39"/>
  <c r="AB26" i="39"/>
  <c r="V26" i="39"/>
  <c r="Y23" i="37"/>
  <c r="AB23" i="37"/>
  <c r="V23" i="37"/>
  <c r="U25" i="36"/>
  <c r="T25" i="36"/>
  <c r="U25" i="39"/>
  <c r="T25" i="39"/>
  <c r="Y26" i="36"/>
  <c r="V26" i="36"/>
  <c r="AB26" i="36"/>
  <c r="S15" i="40"/>
  <c r="R15" i="40"/>
  <c r="X26" i="39"/>
  <c r="AA26" i="39"/>
  <c r="AC25" i="36"/>
  <c r="Z25" i="36"/>
  <c r="X23" i="37"/>
  <c r="AA23" i="37"/>
  <c r="G14" i="44"/>
  <c r="I14" i="44" s="1"/>
  <c r="K14" i="44" s="1"/>
  <c r="P14" i="44" s="1"/>
  <c r="W14" i="44" s="1"/>
  <c r="H14" i="44"/>
  <c r="J14" i="44" s="1"/>
  <c r="L14" i="44" s="1"/>
  <c r="H23" i="64" l="1"/>
  <c r="J23" i="64" s="1"/>
  <c r="L23" i="64" s="1"/>
  <c r="G23" i="64"/>
  <c r="I23" i="64" s="1"/>
  <c r="K23" i="64" s="1"/>
  <c r="P23" i="64" s="1"/>
  <c r="W23" i="64" s="1"/>
  <c r="B21" i="63"/>
  <c r="F21" i="63" s="1"/>
  <c r="B21" i="64"/>
  <c r="F21" i="64" s="1"/>
  <c r="R24" i="63"/>
  <c r="U24" i="63" s="1"/>
  <c r="Q24" i="63"/>
  <c r="S25" i="64"/>
  <c r="V25" i="64"/>
  <c r="S25" i="63"/>
  <c r="V25" i="63"/>
  <c r="Y18" i="65"/>
  <c r="E18" i="65"/>
  <c r="E22" i="64"/>
  <c r="T22" i="64"/>
  <c r="T22" i="63"/>
  <c r="E22" i="63"/>
  <c r="H23" i="63"/>
  <c r="J23" i="63" s="1"/>
  <c r="L23" i="63" s="1"/>
  <c r="G23" i="63"/>
  <c r="I23" i="63" s="1"/>
  <c r="K23" i="63" s="1"/>
  <c r="P23" i="63" s="1"/>
  <c r="W23" i="63" s="1"/>
  <c r="R24" i="64"/>
  <c r="U24" i="64" s="1"/>
  <c r="Q24" i="64"/>
  <c r="I37" i="55"/>
  <c r="G37" i="55"/>
  <c r="F37" i="55"/>
  <c r="H37" i="55"/>
  <c r="Z21" i="37"/>
  <c r="AC21" i="37"/>
  <c r="V25" i="36"/>
  <c r="AB25" i="36"/>
  <c r="Y25" i="36"/>
  <c r="R14" i="44"/>
  <c r="U14" i="44" s="1"/>
  <c r="Q14" i="44"/>
  <c r="W15" i="40"/>
  <c r="T15" i="40"/>
  <c r="AA25" i="36"/>
  <c r="X25" i="36"/>
  <c r="U12" i="40"/>
  <c r="F12" i="40"/>
  <c r="I13" i="40"/>
  <c r="K13" i="40" s="1"/>
  <c r="M13" i="40" s="1"/>
  <c r="H13" i="40"/>
  <c r="J13" i="40" s="1"/>
  <c r="L13" i="40" s="1"/>
  <c r="Q13" i="40" s="1"/>
  <c r="T24" i="39"/>
  <c r="U24" i="39"/>
  <c r="T12" i="44"/>
  <c r="E12" i="44"/>
  <c r="W22" i="36"/>
  <c r="E22" i="36"/>
  <c r="H23" i="36"/>
  <c r="J23" i="36" s="1"/>
  <c r="L23" i="36" s="1"/>
  <c r="G23" i="36"/>
  <c r="I23" i="36" s="1"/>
  <c r="K23" i="36" s="1"/>
  <c r="S23" i="36" s="1"/>
  <c r="W19" i="37"/>
  <c r="E19" i="37"/>
  <c r="AA25" i="39"/>
  <c r="X25" i="39"/>
  <c r="Z24" i="39"/>
  <c r="AC24" i="39"/>
  <c r="V15" i="40"/>
  <c r="S14" i="40"/>
  <c r="R14" i="40"/>
  <c r="W22" i="39"/>
  <c r="E22" i="39"/>
  <c r="B11" i="44"/>
  <c r="F11" i="44" s="1"/>
  <c r="B11" i="40"/>
  <c r="G11" i="40" s="1"/>
  <c r="G20" i="37"/>
  <c r="I20" i="37" s="1"/>
  <c r="K20" i="37" s="1"/>
  <c r="S20" i="37" s="1"/>
  <c r="H20" i="37"/>
  <c r="J20" i="37" s="1"/>
  <c r="L20" i="37" s="1"/>
  <c r="C20" i="34"/>
  <c r="B21" i="36"/>
  <c r="F21" i="36" s="1"/>
  <c r="Y25" i="39"/>
  <c r="AB25" i="39"/>
  <c r="V25" i="39"/>
  <c r="H13" i="44"/>
  <c r="J13" i="44" s="1"/>
  <c r="L13" i="44" s="1"/>
  <c r="G13" i="44"/>
  <c r="I13" i="44" s="1"/>
  <c r="K13" i="44" s="1"/>
  <c r="P13" i="44" s="1"/>
  <c r="W13" i="44" s="1"/>
  <c r="S15" i="44"/>
  <c r="V15" i="44"/>
  <c r="U21" i="37"/>
  <c r="T21" i="37"/>
  <c r="D20" i="34"/>
  <c r="B21" i="39"/>
  <c r="F21" i="39" s="1"/>
  <c r="U24" i="36"/>
  <c r="T24" i="36"/>
  <c r="V22" i="37"/>
  <c r="AB22" i="37"/>
  <c r="Y22" i="37"/>
  <c r="H23" i="39"/>
  <c r="J23" i="39" s="1"/>
  <c r="L23" i="39" s="1"/>
  <c r="G23" i="39"/>
  <c r="I23" i="39" s="1"/>
  <c r="K23" i="39" s="1"/>
  <c r="S23" i="39" s="1"/>
  <c r="E17" i="34"/>
  <c r="B17" i="65" s="1"/>
  <c r="B18" i="37"/>
  <c r="F18" i="37" s="1"/>
  <c r="X14" i="40"/>
  <c r="AC24" i="36"/>
  <c r="Z24" i="36"/>
  <c r="X22" i="37"/>
  <c r="AA22" i="37"/>
  <c r="V24" i="63" l="1"/>
  <c r="S24" i="63"/>
  <c r="H22" i="64"/>
  <c r="J22" i="64" s="1"/>
  <c r="L22" i="64" s="1"/>
  <c r="G22" i="64"/>
  <c r="I22" i="64" s="1"/>
  <c r="K22" i="64" s="1"/>
  <c r="P22" i="64" s="1"/>
  <c r="W22" i="64" s="1"/>
  <c r="S24" i="64"/>
  <c r="V24" i="64"/>
  <c r="I18" i="65"/>
  <c r="L18" i="65" s="1"/>
  <c r="O18" i="65" s="1"/>
  <c r="H18" i="65"/>
  <c r="K18" i="65" s="1"/>
  <c r="N18" i="65" s="1"/>
  <c r="U18" i="65" s="1"/>
  <c r="G18" i="65"/>
  <c r="J18" i="65" s="1"/>
  <c r="M18" i="65" s="1"/>
  <c r="T21" i="64"/>
  <c r="E21" i="64"/>
  <c r="H22" i="63"/>
  <c r="J22" i="63" s="1"/>
  <c r="L22" i="63" s="1"/>
  <c r="G22" i="63"/>
  <c r="I22" i="63" s="1"/>
  <c r="K22" i="63" s="1"/>
  <c r="P22" i="63" s="1"/>
  <c r="W22" i="63" s="1"/>
  <c r="T21" i="63"/>
  <c r="E21" i="63"/>
  <c r="B20" i="63"/>
  <c r="F20" i="63" s="1"/>
  <c r="B20" i="64"/>
  <c r="F20" i="64" s="1"/>
  <c r="R23" i="63"/>
  <c r="U23" i="63" s="1"/>
  <c r="Q23" i="63"/>
  <c r="R23" i="64"/>
  <c r="U23" i="64" s="1"/>
  <c r="Q23" i="64"/>
  <c r="I38" i="55"/>
  <c r="G38" i="55"/>
  <c r="F38" i="55"/>
  <c r="H38" i="55"/>
  <c r="Z23" i="36"/>
  <c r="AC23" i="36"/>
  <c r="R13" i="44"/>
  <c r="U13" i="44" s="1"/>
  <c r="Q13" i="44"/>
  <c r="W21" i="39"/>
  <c r="E21" i="39"/>
  <c r="H22" i="36"/>
  <c r="J22" i="36" s="1"/>
  <c r="L22" i="36" s="1"/>
  <c r="G22" i="36"/>
  <c r="I22" i="36" s="1"/>
  <c r="K22" i="36" s="1"/>
  <c r="S22" i="36" s="1"/>
  <c r="Z23" i="39"/>
  <c r="AC23" i="39"/>
  <c r="D19" i="34"/>
  <c r="B20" i="39"/>
  <c r="F20" i="39" s="1"/>
  <c r="B10" i="44"/>
  <c r="F10" i="44" s="1"/>
  <c r="B10" i="40"/>
  <c r="G10" i="40" s="1"/>
  <c r="V24" i="36"/>
  <c r="AB24" i="36"/>
  <c r="Y24" i="36"/>
  <c r="W18" i="37"/>
  <c r="E18" i="37"/>
  <c r="AA24" i="36"/>
  <c r="X24" i="36"/>
  <c r="E11" i="44"/>
  <c r="T11" i="44"/>
  <c r="AB21" i="37"/>
  <c r="V21" i="37"/>
  <c r="Y21" i="37"/>
  <c r="H22" i="39"/>
  <c r="J22" i="39" s="1"/>
  <c r="L22" i="39" s="1"/>
  <c r="G22" i="39"/>
  <c r="I22" i="39" s="1"/>
  <c r="K22" i="39" s="1"/>
  <c r="S22" i="39" s="1"/>
  <c r="H12" i="44"/>
  <c r="J12" i="44" s="1"/>
  <c r="L12" i="44" s="1"/>
  <c r="G12" i="44"/>
  <c r="I12" i="44" s="1"/>
  <c r="K12" i="44" s="1"/>
  <c r="P12" i="44" s="1"/>
  <c r="W12" i="44" s="1"/>
  <c r="T23" i="36"/>
  <c r="U23" i="36"/>
  <c r="E21" i="36"/>
  <c r="W21" i="36"/>
  <c r="X13" i="40"/>
  <c r="S13" i="40"/>
  <c r="R13" i="40"/>
  <c r="E16" i="34"/>
  <c r="B16" i="65" s="1"/>
  <c r="B17" i="37"/>
  <c r="F17" i="37" s="1"/>
  <c r="U23" i="39"/>
  <c r="T23" i="39"/>
  <c r="X21" i="37"/>
  <c r="AA21" i="37"/>
  <c r="C19" i="34"/>
  <c r="B20" i="36"/>
  <c r="F20" i="36" s="1"/>
  <c r="W14" i="40"/>
  <c r="T14" i="40"/>
  <c r="H19" i="37"/>
  <c r="J19" i="37" s="1"/>
  <c r="L19" i="37" s="1"/>
  <c r="G19" i="37"/>
  <c r="I19" i="37" s="1"/>
  <c r="K19" i="37" s="1"/>
  <c r="S19" i="37" s="1"/>
  <c r="X24" i="39"/>
  <c r="AA24" i="39"/>
  <c r="AC20" i="37"/>
  <c r="Z20" i="37"/>
  <c r="U11" i="40"/>
  <c r="F11" i="40"/>
  <c r="S14" i="44"/>
  <c r="V14" i="44"/>
  <c r="I12" i="40"/>
  <c r="K12" i="40" s="1"/>
  <c r="M12" i="40" s="1"/>
  <c r="H12" i="40"/>
  <c r="J12" i="40" s="1"/>
  <c r="L12" i="40" s="1"/>
  <c r="Q12" i="40" s="1"/>
  <c r="U20" i="37"/>
  <c r="T20" i="37"/>
  <c r="V14" i="40"/>
  <c r="V24" i="39"/>
  <c r="AB24" i="39"/>
  <c r="Y24" i="39"/>
  <c r="T20" i="63" l="1"/>
  <c r="E20" i="63"/>
  <c r="H21" i="63"/>
  <c r="J21" i="63" s="1"/>
  <c r="L21" i="63" s="1"/>
  <c r="G21" i="63"/>
  <c r="I21" i="63" s="1"/>
  <c r="K21" i="63" s="1"/>
  <c r="P21" i="63" s="1"/>
  <c r="W21" i="63" s="1"/>
  <c r="V18" i="65"/>
  <c r="Z18" i="65" s="1"/>
  <c r="X18" i="65"/>
  <c r="AA18" i="65" s="1"/>
  <c r="V23" i="64"/>
  <c r="S23" i="64"/>
  <c r="B19" i="63"/>
  <c r="F19" i="63" s="1"/>
  <c r="B19" i="64"/>
  <c r="F19" i="64" s="1"/>
  <c r="Q22" i="63"/>
  <c r="R22" i="63"/>
  <c r="U22" i="63" s="1"/>
  <c r="S23" i="63"/>
  <c r="V23" i="63"/>
  <c r="G21" i="64"/>
  <c r="I21" i="64" s="1"/>
  <c r="K21" i="64" s="1"/>
  <c r="P21" i="64" s="1"/>
  <c r="W21" i="64" s="1"/>
  <c r="H21" i="64"/>
  <c r="J21" i="64" s="1"/>
  <c r="L21" i="64" s="1"/>
  <c r="R22" i="64"/>
  <c r="U22" i="64" s="1"/>
  <c r="Q22" i="64"/>
  <c r="T20" i="64"/>
  <c r="E20" i="64"/>
  <c r="T18" i="65"/>
  <c r="W18" i="65" s="1"/>
  <c r="S18" i="65"/>
  <c r="AB18" i="65" s="1"/>
  <c r="I39" i="55"/>
  <c r="H39" i="55"/>
  <c r="G39" i="55"/>
  <c r="F39" i="55"/>
  <c r="Y20" i="37"/>
  <c r="V20" i="37"/>
  <c r="AB20" i="37"/>
  <c r="V23" i="36"/>
  <c r="AB23" i="36"/>
  <c r="Y23" i="36"/>
  <c r="T13" i="40"/>
  <c r="W13" i="40"/>
  <c r="G11" i="44"/>
  <c r="I11" i="44" s="1"/>
  <c r="K11" i="44" s="1"/>
  <c r="P11" i="44" s="1"/>
  <c r="W11" i="44" s="1"/>
  <c r="H11" i="44"/>
  <c r="J11" i="44" s="1"/>
  <c r="L11" i="44" s="1"/>
  <c r="F10" i="40"/>
  <c r="U10" i="40"/>
  <c r="U22" i="36"/>
  <c r="T22" i="36"/>
  <c r="X12" i="40"/>
  <c r="C18" i="34"/>
  <c r="B19" i="36"/>
  <c r="F19" i="36" s="1"/>
  <c r="H21" i="39"/>
  <c r="J21" i="39" s="1"/>
  <c r="L21" i="39" s="1"/>
  <c r="G21" i="39"/>
  <c r="I21" i="39" s="1"/>
  <c r="K21" i="39" s="1"/>
  <c r="S21" i="39" s="1"/>
  <c r="S12" i="40"/>
  <c r="R12" i="40"/>
  <c r="AC22" i="39"/>
  <c r="Z22" i="39"/>
  <c r="B9" i="44"/>
  <c r="F9" i="44" s="1"/>
  <c r="B9" i="40"/>
  <c r="G9" i="40" s="1"/>
  <c r="E15" i="34"/>
  <c r="B15" i="65" s="1"/>
  <c r="F15" i="65" s="1"/>
  <c r="B16" i="37"/>
  <c r="F16" i="37" s="1"/>
  <c r="AC19" i="37"/>
  <c r="Z19" i="37"/>
  <c r="U22" i="39"/>
  <c r="T22" i="39"/>
  <c r="H18" i="37"/>
  <c r="J18" i="37" s="1"/>
  <c r="L18" i="37" s="1"/>
  <c r="G18" i="37"/>
  <c r="I18" i="37" s="1"/>
  <c r="K18" i="37" s="1"/>
  <c r="S18" i="37" s="1"/>
  <c r="W20" i="39"/>
  <c r="E20" i="39"/>
  <c r="V13" i="44"/>
  <c r="S13" i="44"/>
  <c r="X20" i="37"/>
  <c r="AA20" i="37"/>
  <c r="V13" i="40"/>
  <c r="U19" i="37"/>
  <c r="T19" i="37"/>
  <c r="AB23" i="39"/>
  <c r="Y23" i="39"/>
  <c r="V23" i="39"/>
  <c r="D18" i="34"/>
  <c r="B19" i="39"/>
  <c r="F19" i="39" s="1"/>
  <c r="AC22" i="36"/>
  <c r="Z22" i="36"/>
  <c r="Q12" i="44"/>
  <c r="R12" i="44"/>
  <c r="U12" i="44" s="1"/>
  <c r="I11" i="40"/>
  <c r="K11" i="40" s="1"/>
  <c r="M11" i="40" s="1"/>
  <c r="H11" i="40"/>
  <c r="J11" i="40" s="1"/>
  <c r="L11" i="40" s="1"/>
  <c r="Q11" i="40" s="1"/>
  <c r="X23" i="39"/>
  <c r="AA23" i="39"/>
  <c r="H21" i="36"/>
  <c r="J21" i="36" s="1"/>
  <c r="L21" i="36" s="1"/>
  <c r="G21" i="36"/>
  <c r="I21" i="36" s="1"/>
  <c r="K21" i="36" s="1"/>
  <c r="S21" i="36" s="1"/>
  <c r="W20" i="36"/>
  <c r="E20" i="36"/>
  <c r="T10" i="44"/>
  <c r="E10" i="44"/>
  <c r="E17" i="37"/>
  <c r="W17" i="37"/>
  <c r="X23" i="36"/>
  <c r="AA23" i="36"/>
  <c r="B18" i="63" l="1"/>
  <c r="F18" i="63" s="1"/>
  <c r="B18" i="64"/>
  <c r="F18" i="64" s="1"/>
  <c r="R21" i="64"/>
  <c r="U21" i="64" s="1"/>
  <c r="Q21" i="64"/>
  <c r="G20" i="64"/>
  <c r="I20" i="64" s="1"/>
  <c r="K20" i="64" s="1"/>
  <c r="P20" i="64" s="1"/>
  <c r="W20" i="64" s="1"/>
  <c r="H20" i="64"/>
  <c r="J20" i="64" s="1"/>
  <c r="L20" i="64" s="1"/>
  <c r="S22" i="63"/>
  <c r="V22" i="63"/>
  <c r="R21" i="63"/>
  <c r="U21" i="63" s="1"/>
  <c r="Q21" i="63"/>
  <c r="V22" i="64"/>
  <c r="S22" i="64"/>
  <c r="T19" i="64"/>
  <c r="E19" i="64"/>
  <c r="G20" i="63"/>
  <c r="I20" i="63" s="1"/>
  <c r="K20" i="63" s="1"/>
  <c r="P20" i="63" s="1"/>
  <c r="W20" i="63" s="1"/>
  <c r="H20" i="63"/>
  <c r="J20" i="63" s="1"/>
  <c r="L20" i="63" s="1"/>
  <c r="Y15" i="65"/>
  <c r="E15" i="65"/>
  <c r="T19" i="63"/>
  <c r="E19" i="63"/>
  <c r="I40" i="55"/>
  <c r="H40" i="55"/>
  <c r="G40" i="55"/>
  <c r="F40" i="55"/>
  <c r="S11" i="40"/>
  <c r="R11" i="40"/>
  <c r="G20" i="36"/>
  <c r="I20" i="36" s="1"/>
  <c r="K20" i="36" s="1"/>
  <c r="S20" i="36" s="1"/>
  <c r="H20" i="36"/>
  <c r="J20" i="36" s="1"/>
  <c r="L20" i="36" s="1"/>
  <c r="W12" i="40"/>
  <c r="T12" i="40"/>
  <c r="AB22" i="36"/>
  <c r="Y22" i="36"/>
  <c r="V22" i="36"/>
  <c r="S12" i="44"/>
  <c r="V12" i="44"/>
  <c r="AC21" i="36"/>
  <c r="Z21" i="36"/>
  <c r="X19" i="37"/>
  <c r="AA19" i="37"/>
  <c r="E14" i="34"/>
  <c r="B14" i="65" s="1"/>
  <c r="B15" i="37"/>
  <c r="F15" i="37" s="1"/>
  <c r="Z21" i="39"/>
  <c r="AC21" i="39"/>
  <c r="V19" i="37"/>
  <c r="Y19" i="37"/>
  <c r="AB19" i="37"/>
  <c r="V12" i="40"/>
  <c r="AC18" i="37"/>
  <c r="Z18" i="37"/>
  <c r="U9" i="40"/>
  <c r="F9" i="40"/>
  <c r="T21" i="39"/>
  <c r="U21" i="39"/>
  <c r="I10" i="40"/>
  <c r="K10" i="40" s="1"/>
  <c r="M10" i="40" s="1"/>
  <c r="H10" i="40"/>
  <c r="J10" i="40" s="1"/>
  <c r="L10" i="40" s="1"/>
  <c r="Q10" i="40" s="1"/>
  <c r="H20" i="39"/>
  <c r="J20" i="39" s="1"/>
  <c r="L20" i="39" s="1"/>
  <c r="G20" i="39"/>
  <c r="I20" i="39" s="1"/>
  <c r="K20" i="39" s="1"/>
  <c r="S20" i="39" s="1"/>
  <c r="T21" i="36"/>
  <c r="U21" i="36"/>
  <c r="U18" i="37"/>
  <c r="T18" i="37"/>
  <c r="E9" i="44"/>
  <c r="T9" i="44"/>
  <c r="W19" i="36"/>
  <c r="E19" i="36"/>
  <c r="R11" i="44"/>
  <c r="U11" i="44" s="1"/>
  <c r="Q11" i="44"/>
  <c r="W16" i="37"/>
  <c r="E16" i="37"/>
  <c r="AA22" i="36"/>
  <c r="X22" i="36"/>
  <c r="E19" i="39"/>
  <c r="W19" i="39"/>
  <c r="H17" i="37"/>
  <c r="J17" i="37" s="1"/>
  <c r="L17" i="37" s="1"/>
  <c r="G17" i="37"/>
  <c r="I17" i="37" s="1"/>
  <c r="K17" i="37" s="1"/>
  <c r="S17" i="37" s="1"/>
  <c r="D17" i="34"/>
  <c r="B18" i="39"/>
  <c r="F18" i="39" s="1"/>
  <c r="Y22" i="39"/>
  <c r="V22" i="39"/>
  <c r="AB22" i="39"/>
  <c r="B8" i="44"/>
  <c r="F8" i="44" s="1"/>
  <c r="B8" i="40"/>
  <c r="G8" i="40" s="1"/>
  <c r="C17" i="34"/>
  <c r="B18" i="36"/>
  <c r="F18" i="36" s="1"/>
  <c r="G10" i="44"/>
  <c r="I10" i="44" s="1"/>
  <c r="K10" i="44" s="1"/>
  <c r="P10" i="44" s="1"/>
  <c r="W10" i="44" s="1"/>
  <c r="H10" i="44"/>
  <c r="J10" i="44" s="1"/>
  <c r="L10" i="44" s="1"/>
  <c r="X11" i="40"/>
  <c r="X22" i="39"/>
  <c r="AA22" i="39"/>
  <c r="R20" i="63" l="1"/>
  <c r="U20" i="63" s="1"/>
  <c r="Q20" i="63"/>
  <c r="H19" i="64"/>
  <c r="J19" i="64" s="1"/>
  <c r="L19" i="64" s="1"/>
  <c r="G19" i="64"/>
  <c r="I19" i="64" s="1"/>
  <c r="K19" i="64" s="1"/>
  <c r="P19" i="64" s="1"/>
  <c r="W19" i="64" s="1"/>
  <c r="R20" i="64"/>
  <c r="U20" i="64" s="1"/>
  <c r="Q20" i="64"/>
  <c r="B17" i="63"/>
  <c r="F17" i="63" s="1"/>
  <c r="B17" i="64"/>
  <c r="F17" i="64" s="1"/>
  <c r="H19" i="63"/>
  <c r="J19" i="63" s="1"/>
  <c r="L19" i="63" s="1"/>
  <c r="G19" i="63"/>
  <c r="I19" i="63" s="1"/>
  <c r="K19" i="63" s="1"/>
  <c r="P19" i="63" s="1"/>
  <c r="W19" i="63" s="1"/>
  <c r="V21" i="64"/>
  <c r="S21" i="64"/>
  <c r="I15" i="65"/>
  <c r="L15" i="65" s="1"/>
  <c r="O15" i="65" s="1"/>
  <c r="H15" i="65"/>
  <c r="K15" i="65" s="1"/>
  <c r="N15" i="65" s="1"/>
  <c r="G15" i="65"/>
  <c r="J15" i="65" s="1"/>
  <c r="M15" i="65" s="1"/>
  <c r="S15" i="65" s="1"/>
  <c r="AB15" i="65" s="1"/>
  <c r="S21" i="63"/>
  <c r="V21" i="63"/>
  <c r="T18" i="64"/>
  <c r="E18" i="64"/>
  <c r="E18" i="63"/>
  <c r="T18" i="63"/>
  <c r="I41" i="55"/>
  <c r="G41" i="55"/>
  <c r="F41" i="55"/>
  <c r="H41" i="55"/>
  <c r="V21" i="39"/>
  <c r="AB21" i="39"/>
  <c r="Y21" i="39"/>
  <c r="X21" i="36"/>
  <c r="AA21" i="36"/>
  <c r="G9" i="44"/>
  <c r="I9" i="44" s="1"/>
  <c r="K9" i="44" s="1"/>
  <c r="P9" i="44" s="1"/>
  <c r="W9" i="44" s="1"/>
  <c r="H9" i="44"/>
  <c r="J9" i="44" s="1"/>
  <c r="L9" i="44" s="1"/>
  <c r="S10" i="40"/>
  <c r="R10" i="40"/>
  <c r="W18" i="36"/>
  <c r="E18" i="36"/>
  <c r="W18" i="39"/>
  <c r="E18" i="39"/>
  <c r="G16" i="37"/>
  <c r="I16" i="37" s="1"/>
  <c r="K16" i="37" s="1"/>
  <c r="S16" i="37" s="1"/>
  <c r="H16" i="37"/>
  <c r="J16" i="37" s="1"/>
  <c r="L16" i="37" s="1"/>
  <c r="V18" i="37"/>
  <c r="AB18" i="37"/>
  <c r="Y18" i="37"/>
  <c r="AA21" i="39"/>
  <c r="X21" i="39"/>
  <c r="D16" i="34"/>
  <c r="B17" i="39"/>
  <c r="F17" i="39" s="1"/>
  <c r="H9" i="40"/>
  <c r="J9" i="40" s="1"/>
  <c r="L9" i="40" s="1"/>
  <c r="Q9" i="40" s="1"/>
  <c r="I9" i="40"/>
  <c r="K9" i="40" s="1"/>
  <c r="M9" i="40" s="1"/>
  <c r="T8" i="44"/>
  <c r="E8" i="44"/>
  <c r="U17" i="37"/>
  <c r="T17" i="37"/>
  <c r="AB21" i="36"/>
  <c r="V21" i="36"/>
  <c r="Y21" i="36"/>
  <c r="U20" i="36"/>
  <c r="T20" i="36"/>
  <c r="C16" i="34"/>
  <c r="B17" i="36"/>
  <c r="F17" i="36" s="1"/>
  <c r="AA18" i="37"/>
  <c r="X18" i="37"/>
  <c r="S11" i="44"/>
  <c r="V11" i="44"/>
  <c r="B7" i="44"/>
  <c r="B7" i="40"/>
  <c r="G7" i="40" s="1"/>
  <c r="H19" i="36"/>
  <c r="J19" i="36" s="1"/>
  <c r="L19" i="36" s="1"/>
  <c r="G19" i="36"/>
  <c r="I19" i="36" s="1"/>
  <c r="K19" i="36" s="1"/>
  <c r="S19" i="36" s="1"/>
  <c r="Z20" i="39"/>
  <c r="AC20" i="39"/>
  <c r="AC20" i="36"/>
  <c r="Z20" i="36"/>
  <c r="U8" i="40"/>
  <c r="F8" i="40"/>
  <c r="G19" i="39"/>
  <c r="I19" i="39" s="1"/>
  <c r="K19" i="39" s="1"/>
  <c r="S19" i="39" s="1"/>
  <c r="H19" i="39"/>
  <c r="J19" i="39" s="1"/>
  <c r="L19" i="39" s="1"/>
  <c r="U20" i="39"/>
  <c r="T20" i="39"/>
  <c r="W15" i="37"/>
  <c r="E15" i="37"/>
  <c r="W11" i="40"/>
  <c r="T11" i="40"/>
  <c r="AC17" i="37"/>
  <c r="Z17" i="37"/>
  <c r="R10" i="44"/>
  <c r="U10" i="44" s="1"/>
  <c r="Q10" i="44"/>
  <c r="X10" i="40"/>
  <c r="E13" i="34"/>
  <c r="B13" i="65" s="1"/>
  <c r="B14" i="37"/>
  <c r="F14" i="37" s="1"/>
  <c r="V11" i="40"/>
  <c r="T17" i="64" l="1"/>
  <c r="E17" i="64"/>
  <c r="T17" i="63"/>
  <c r="E17" i="63"/>
  <c r="B16" i="63"/>
  <c r="F16" i="63" s="1"/>
  <c r="B16" i="64"/>
  <c r="F16" i="64" s="1"/>
  <c r="U15" i="65"/>
  <c r="T15" i="65"/>
  <c r="S20" i="64"/>
  <c r="V20" i="64"/>
  <c r="V15" i="65"/>
  <c r="Z15" i="65" s="1"/>
  <c r="X15" i="65"/>
  <c r="AA15" i="65" s="1"/>
  <c r="G18" i="63"/>
  <c r="I18" i="63" s="1"/>
  <c r="K18" i="63" s="1"/>
  <c r="P18" i="63" s="1"/>
  <c r="W18" i="63" s="1"/>
  <c r="H18" i="63"/>
  <c r="J18" i="63" s="1"/>
  <c r="L18" i="63" s="1"/>
  <c r="H18" i="64"/>
  <c r="J18" i="64" s="1"/>
  <c r="L18" i="64" s="1"/>
  <c r="G18" i="64"/>
  <c r="I18" i="64" s="1"/>
  <c r="K18" i="64" s="1"/>
  <c r="P18" i="64" s="1"/>
  <c r="W18" i="64" s="1"/>
  <c r="R19" i="64"/>
  <c r="U19" i="64" s="1"/>
  <c r="Q19" i="64"/>
  <c r="S20" i="63"/>
  <c r="V20" i="63"/>
  <c r="Q19" i="63"/>
  <c r="R19" i="63"/>
  <c r="U19" i="63" s="1"/>
  <c r="I42" i="55"/>
  <c r="H42" i="55"/>
  <c r="F42" i="55"/>
  <c r="G42" i="55"/>
  <c r="S9" i="40"/>
  <c r="R9" i="40"/>
  <c r="AC16" i="37"/>
  <c r="Z16" i="37"/>
  <c r="B6" i="44"/>
  <c r="F6" i="44" s="1"/>
  <c r="B6" i="40"/>
  <c r="G6" i="40" s="1"/>
  <c r="V10" i="44"/>
  <c r="S10" i="44"/>
  <c r="V20" i="39"/>
  <c r="Y20" i="39"/>
  <c r="AB20" i="39"/>
  <c r="W17" i="39"/>
  <c r="E17" i="39"/>
  <c r="AA20" i="39"/>
  <c r="X20" i="39"/>
  <c r="D15" i="34"/>
  <c r="B16" i="39"/>
  <c r="F16" i="39" s="1"/>
  <c r="H18" i="39"/>
  <c r="J18" i="39" s="1"/>
  <c r="L18" i="39" s="1"/>
  <c r="G18" i="39"/>
  <c r="I18" i="39" s="1"/>
  <c r="K18" i="39" s="1"/>
  <c r="S18" i="39" s="1"/>
  <c r="H15" i="37"/>
  <c r="J15" i="37" s="1"/>
  <c r="L15" i="37" s="1"/>
  <c r="G15" i="37"/>
  <c r="I15" i="37" s="1"/>
  <c r="K15" i="37" s="1"/>
  <c r="S15" i="37" s="1"/>
  <c r="X20" i="36"/>
  <c r="AA20" i="36"/>
  <c r="V10" i="40"/>
  <c r="U19" i="39"/>
  <c r="T19" i="39"/>
  <c r="AC19" i="36"/>
  <c r="Z19" i="36"/>
  <c r="AB17" i="37"/>
  <c r="V17" i="37"/>
  <c r="Y17" i="37"/>
  <c r="Q9" i="44"/>
  <c r="R9" i="44"/>
  <c r="U9" i="44" s="1"/>
  <c r="E14" i="37"/>
  <c r="W14" i="37"/>
  <c r="U19" i="36"/>
  <c r="T19" i="36"/>
  <c r="W17" i="36"/>
  <c r="E17" i="36"/>
  <c r="AA17" i="37"/>
  <c r="X17" i="37"/>
  <c r="H18" i="36"/>
  <c r="J18" i="36" s="1"/>
  <c r="L18" i="36" s="1"/>
  <c r="G18" i="36"/>
  <c r="I18" i="36" s="1"/>
  <c r="K18" i="36" s="1"/>
  <c r="S18" i="36" s="1"/>
  <c r="T16" i="37"/>
  <c r="U16" i="37"/>
  <c r="AC19" i="39"/>
  <c r="Z19" i="39"/>
  <c r="E12" i="34"/>
  <c r="B12" i="65" s="1"/>
  <c r="B13" i="37"/>
  <c r="F13" i="37" s="1"/>
  <c r="I8" i="40"/>
  <c r="K8" i="40" s="1"/>
  <c r="M8" i="40" s="1"/>
  <c r="H8" i="40"/>
  <c r="J8" i="40" s="1"/>
  <c r="L8" i="40" s="1"/>
  <c r="Q8" i="40" s="1"/>
  <c r="U7" i="40"/>
  <c r="F7" i="40"/>
  <c r="C15" i="34"/>
  <c r="B16" i="36"/>
  <c r="F16" i="36" s="1"/>
  <c r="G8" i="44"/>
  <c r="I8" i="44" s="1"/>
  <c r="K8" i="44" s="1"/>
  <c r="P8" i="44" s="1"/>
  <c r="W8" i="44" s="1"/>
  <c r="H8" i="44"/>
  <c r="J8" i="44" s="1"/>
  <c r="L8" i="44" s="1"/>
  <c r="X9" i="40"/>
  <c r="F7" i="44"/>
  <c r="E7" i="44" s="1"/>
  <c r="Y20" i="36"/>
  <c r="V20" i="36"/>
  <c r="AB20" i="36"/>
  <c r="W10" i="40"/>
  <c r="T10" i="40"/>
  <c r="W15" i="65" l="1"/>
  <c r="R18" i="63"/>
  <c r="U18" i="63" s="1"/>
  <c r="Q18" i="63"/>
  <c r="T16" i="64"/>
  <c r="E16" i="64"/>
  <c r="V19" i="63"/>
  <c r="S19" i="63"/>
  <c r="T16" i="63"/>
  <c r="E16" i="63"/>
  <c r="G17" i="63"/>
  <c r="I17" i="63" s="1"/>
  <c r="K17" i="63" s="1"/>
  <c r="P17" i="63" s="1"/>
  <c r="W17" i="63" s="1"/>
  <c r="H17" i="63"/>
  <c r="J17" i="63" s="1"/>
  <c r="L17" i="63" s="1"/>
  <c r="R18" i="64"/>
  <c r="U18" i="64" s="1"/>
  <c r="Q18" i="64"/>
  <c r="B15" i="63"/>
  <c r="F15" i="63" s="1"/>
  <c r="B15" i="64"/>
  <c r="F15" i="64" s="1"/>
  <c r="S19" i="64"/>
  <c r="V19" i="64"/>
  <c r="G17" i="64"/>
  <c r="I17" i="64" s="1"/>
  <c r="K17" i="64" s="1"/>
  <c r="P17" i="64" s="1"/>
  <c r="W17" i="64" s="1"/>
  <c r="H17" i="64"/>
  <c r="J17" i="64" s="1"/>
  <c r="L17" i="64" s="1"/>
  <c r="I43" i="55"/>
  <c r="F43" i="55"/>
  <c r="H43" i="55"/>
  <c r="G43" i="55"/>
  <c r="T7" i="44"/>
  <c r="C14" i="34"/>
  <c r="B15" i="36"/>
  <c r="F15" i="36" s="1"/>
  <c r="H7" i="44"/>
  <c r="J7" i="44" s="1"/>
  <c r="L7" i="44" s="1"/>
  <c r="G7" i="44"/>
  <c r="I7" i="44" s="1"/>
  <c r="K7" i="44" s="1"/>
  <c r="P7" i="44" s="1"/>
  <c r="W7" i="44" s="1"/>
  <c r="H7" i="40"/>
  <c r="J7" i="40" s="1"/>
  <c r="L7" i="40" s="1"/>
  <c r="Q7" i="40" s="1"/>
  <c r="I7" i="40"/>
  <c r="K7" i="40" s="1"/>
  <c r="M7" i="40" s="1"/>
  <c r="AA16" i="37"/>
  <c r="X16" i="37"/>
  <c r="AB19" i="36"/>
  <c r="Y19" i="36"/>
  <c r="V19" i="36"/>
  <c r="U6" i="40"/>
  <c r="F6" i="40"/>
  <c r="X8" i="40"/>
  <c r="AC18" i="36"/>
  <c r="Z18" i="36"/>
  <c r="U15" i="37"/>
  <c r="T15" i="37"/>
  <c r="B5" i="44"/>
  <c r="F5" i="44" s="1"/>
  <c r="B5" i="40"/>
  <c r="G5" i="40" s="1"/>
  <c r="AC15" i="37"/>
  <c r="Z15" i="37"/>
  <c r="U18" i="36"/>
  <c r="T18" i="36"/>
  <c r="G14" i="37"/>
  <c r="I14" i="37" s="1"/>
  <c r="K14" i="37" s="1"/>
  <c r="S14" i="37" s="1"/>
  <c r="H14" i="37"/>
  <c r="J14" i="37" s="1"/>
  <c r="L14" i="37" s="1"/>
  <c r="V19" i="39"/>
  <c r="AB19" i="39"/>
  <c r="Y19" i="39"/>
  <c r="AC18" i="39"/>
  <c r="Z18" i="39"/>
  <c r="Y16" i="37"/>
  <c r="AB16" i="37"/>
  <c r="V16" i="37"/>
  <c r="H17" i="39"/>
  <c r="J17" i="39" s="1"/>
  <c r="L17" i="39" s="1"/>
  <c r="G17" i="39"/>
  <c r="I17" i="39" s="1"/>
  <c r="K17" i="39" s="1"/>
  <c r="S17" i="39" s="1"/>
  <c r="R8" i="44"/>
  <c r="U8" i="44" s="1"/>
  <c r="Q8" i="44"/>
  <c r="W13" i="37"/>
  <c r="E13" i="37"/>
  <c r="AA19" i="39"/>
  <c r="X19" i="39"/>
  <c r="T18" i="39"/>
  <c r="U18" i="39"/>
  <c r="AA19" i="36"/>
  <c r="X19" i="36"/>
  <c r="S8" i="40"/>
  <c r="R8" i="40"/>
  <c r="E16" i="39"/>
  <c r="W16" i="39"/>
  <c r="T9" i="40"/>
  <c r="W9" i="40"/>
  <c r="T6" i="44"/>
  <c r="E6" i="44"/>
  <c r="E11" i="34"/>
  <c r="B11" i="65" s="1"/>
  <c r="B12" i="37"/>
  <c r="F12" i="37" s="1"/>
  <c r="V9" i="44"/>
  <c r="S9" i="44"/>
  <c r="W16" i="36"/>
  <c r="E16" i="36"/>
  <c r="H17" i="36"/>
  <c r="J17" i="36" s="1"/>
  <c r="L17" i="36" s="1"/>
  <c r="G17" i="36"/>
  <c r="I17" i="36" s="1"/>
  <c r="K17" i="36" s="1"/>
  <c r="S17" i="36" s="1"/>
  <c r="D14" i="34"/>
  <c r="B15" i="39"/>
  <c r="F15" i="39" s="1"/>
  <c r="V9" i="40"/>
  <c r="T15" i="63" l="1"/>
  <c r="E15" i="63"/>
  <c r="V18" i="64"/>
  <c r="S18" i="64"/>
  <c r="G16" i="64"/>
  <c r="I16" i="64" s="1"/>
  <c r="K16" i="64" s="1"/>
  <c r="P16" i="64" s="1"/>
  <c r="W16" i="64" s="1"/>
  <c r="H16" i="64"/>
  <c r="J16" i="64" s="1"/>
  <c r="L16" i="64" s="1"/>
  <c r="R17" i="64"/>
  <c r="U17" i="64" s="1"/>
  <c r="Q17" i="64"/>
  <c r="Q17" i="63"/>
  <c r="R17" i="63"/>
  <c r="U17" i="63" s="1"/>
  <c r="S18" i="63"/>
  <c r="V18" i="63"/>
  <c r="B14" i="63"/>
  <c r="F14" i="63" s="1"/>
  <c r="B14" i="64"/>
  <c r="F14" i="64" s="1"/>
  <c r="T15" i="64"/>
  <c r="E15" i="64"/>
  <c r="G16" i="63"/>
  <c r="I16" i="63" s="1"/>
  <c r="K16" i="63" s="1"/>
  <c r="P16" i="63" s="1"/>
  <c r="W16" i="63" s="1"/>
  <c r="H16" i="63"/>
  <c r="J16" i="63" s="1"/>
  <c r="L16" i="63" s="1"/>
  <c r="I44" i="55"/>
  <c r="G44" i="55"/>
  <c r="F44" i="55"/>
  <c r="H44" i="55"/>
  <c r="V8" i="44"/>
  <c r="S8" i="44"/>
  <c r="G16" i="36"/>
  <c r="I16" i="36" s="1"/>
  <c r="K16" i="36" s="1"/>
  <c r="S16" i="36" s="1"/>
  <c r="H16" i="36"/>
  <c r="J16" i="36" s="1"/>
  <c r="L16" i="36" s="1"/>
  <c r="X18" i="39"/>
  <c r="AA18" i="39"/>
  <c r="V18" i="39"/>
  <c r="AB18" i="39"/>
  <c r="Y18" i="39"/>
  <c r="U17" i="39"/>
  <c r="T17" i="39"/>
  <c r="T5" i="44"/>
  <c r="E5" i="44"/>
  <c r="I6" i="40"/>
  <c r="K6" i="40" s="1"/>
  <c r="M6" i="40" s="1"/>
  <c r="H6" i="40"/>
  <c r="J6" i="40" s="1"/>
  <c r="L6" i="40" s="1"/>
  <c r="Q6" i="40" s="1"/>
  <c r="X7" i="40"/>
  <c r="Z17" i="39"/>
  <c r="AC17" i="39"/>
  <c r="U14" i="37"/>
  <c r="T14" i="37"/>
  <c r="B4" i="44"/>
  <c r="B4" i="40"/>
  <c r="G4" i="40" s="1"/>
  <c r="U5" i="40"/>
  <c r="F5" i="40"/>
  <c r="W15" i="39"/>
  <c r="E15" i="39"/>
  <c r="AC14" i="37"/>
  <c r="Z14" i="37"/>
  <c r="V15" i="37"/>
  <c r="AB15" i="37"/>
  <c r="Y15" i="37"/>
  <c r="R7" i="44"/>
  <c r="U7" i="44" s="1"/>
  <c r="Q7" i="44"/>
  <c r="S7" i="40"/>
  <c r="R7" i="40"/>
  <c r="W12" i="37"/>
  <c r="E12" i="37"/>
  <c r="D13" i="34"/>
  <c r="B14" i="39"/>
  <c r="F14" i="39" s="1"/>
  <c r="E10" i="34"/>
  <c r="B10" i="65" s="1"/>
  <c r="F10" i="65" s="1"/>
  <c r="B11" i="37"/>
  <c r="F11" i="37" s="1"/>
  <c r="T8" i="40"/>
  <c r="W8" i="40"/>
  <c r="H13" i="37"/>
  <c r="J13" i="37" s="1"/>
  <c r="L13" i="37" s="1"/>
  <c r="G13" i="37"/>
  <c r="I13" i="37" s="1"/>
  <c r="K13" i="37" s="1"/>
  <c r="S13" i="37" s="1"/>
  <c r="V18" i="36"/>
  <c r="Y18" i="36"/>
  <c r="AB18" i="36"/>
  <c r="AA15" i="37"/>
  <c r="X15" i="37"/>
  <c r="E15" i="36"/>
  <c r="W15" i="36"/>
  <c r="T17" i="36"/>
  <c r="U17" i="36"/>
  <c r="H16" i="39"/>
  <c r="J16" i="39" s="1"/>
  <c r="L16" i="39" s="1"/>
  <c r="G16" i="39"/>
  <c r="I16" i="39" s="1"/>
  <c r="K16" i="39" s="1"/>
  <c r="S16" i="39" s="1"/>
  <c r="Z17" i="36"/>
  <c r="AC17" i="36"/>
  <c r="H6" i="44"/>
  <c r="J6" i="44" s="1"/>
  <c r="L6" i="44" s="1"/>
  <c r="G6" i="44"/>
  <c r="I6" i="44" s="1"/>
  <c r="K6" i="44" s="1"/>
  <c r="P6" i="44" s="1"/>
  <c r="W6" i="44" s="1"/>
  <c r="V8" i="40"/>
  <c r="X18" i="36"/>
  <c r="AA18" i="36"/>
  <c r="C13" i="34"/>
  <c r="B14" i="36"/>
  <c r="F14" i="36" s="1"/>
  <c r="H15" i="64" l="1"/>
  <c r="J15" i="64" s="1"/>
  <c r="L15" i="64" s="1"/>
  <c r="G15" i="64"/>
  <c r="I15" i="64" s="1"/>
  <c r="K15" i="64" s="1"/>
  <c r="P15" i="64" s="1"/>
  <c r="W15" i="64" s="1"/>
  <c r="S17" i="64"/>
  <c r="V17" i="64"/>
  <c r="Y10" i="65"/>
  <c r="E10" i="65"/>
  <c r="Q16" i="64"/>
  <c r="R16" i="64"/>
  <c r="U16" i="64" s="1"/>
  <c r="T14" i="63"/>
  <c r="E14" i="63"/>
  <c r="T14" i="64"/>
  <c r="E14" i="64"/>
  <c r="B13" i="63"/>
  <c r="F13" i="63" s="1"/>
  <c r="B13" i="64"/>
  <c r="F13" i="64" s="1"/>
  <c r="R16" i="63"/>
  <c r="U16" i="63" s="1"/>
  <c r="Q16" i="63"/>
  <c r="G15" i="63"/>
  <c r="I15" i="63" s="1"/>
  <c r="K15" i="63" s="1"/>
  <c r="P15" i="63" s="1"/>
  <c r="W15" i="63" s="1"/>
  <c r="H15" i="63"/>
  <c r="J15" i="63" s="1"/>
  <c r="L15" i="63" s="1"/>
  <c r="S17" i="63"/>
  <c r="V17" i="63"/>
  <c r="I45" i="55"/>
  <c r="G45" i="55"/>
  <c r="F45" i="55"/>
  <c r="H45" i="55"/>
  <c r="U4" i="40"/>
  <c r="F4" i="40"/>
  <c r="U13" i="37"/>
  <c r="T13" i="37"/>
  <c r="H12" i="37"/>
  <c r="J12" i="37" s="1"/>
  <c r="L12" i="37" s="1"/>
  <c r="G12" i="37"/>
  <c r="I12" i="37" s="1"/>
  <c r="K12" i="37" s="1"/>
  <c r="S12" i="37" s="1"/>
  <c r="F4" i="44"/>
  <c r="E4" i="44" s="1"/>
  <c r="X6" i="40"/>
  <c r="V17" i="36"/>
  <c r="Y17" i="36"/>
  <c r="AB17" i="36"/>
  <c r="D12" i="34"/>
  <c r="B13" i="39"/>
  <c r="F13" i="39" s="1"/>
  <c r="S6" i="40"/>
  <c r="R6" i="40"/>
  <c r="W14" i="36"/>
  <c r="E14" i="36"/>
  <c r="W7" i="40"/>
  <c r="T7" i="40"/>
  <c r="V14" i="37"/>
  <c r="AB14" i="37"/>
  <c r="Y14" i="37"/>
  <c r="H5" i="44"/>
  <c r="J5" i="44" s="1"/>
  <c r="L5" i="44" s="1"/>
  <c r="G5" i="44"/>
  <c r="I5" i="44" s="1"/>
  <c r="K5" i="44" s="1"/>
  <c r="P5" i="44" s="1"/>
  <c r="W5" i="44" s="1"/>
  <c r="H15" i="36"/>
  <c r="J15" i="36" s="1"/>
  <c r="L15" i="36" s="1"/>
  <c r="G15" i="36"/>
  <c r="I15" i="36" s="1"/>
  <c r="K15" i="36" s="1"/>
  <c r="S15" i="36" s="1"/>
  <c r="C12" i="34"/>
  <c r="B13" i="36"/>
  <c r="F13" i="36" s="1"/>
  <c r="V7" i="40"/>
  <c r="H15" i="39"/>
  <c r="J15" i="39" s="1"/>
  <c r="L15" i="39" s="1"/>
  <c r="G15" i="39"/>
  <c r="I15" i="39" s="1"/>
  <c r="K15" i="39" s="1"/>
  <c r="S15" i="39" s="1"/>
  <c r="X14" i="37"/>
  <c r="AA14" i="37"/>
  <c r="U16" i="36"/>
  <c r="T16" i="36"/>
  <c r="AC13" i="37"/>
  <c r="Z13" i="37"/>
  <c r="V7" i="44"/>
  <c r="S7" i="44"/>
  <c r="V17" i="39"/>
  <c r="AB17" i="39"/>
  <c r="Y17" i="39"/>
  <c r="Z16" i="36"/>
  <c r="AC16" i="36"/>
  <c r="B3" i="44"/>
  <c r="B3" i="40"/>
  <c r="AC16" i="39"/>
  <c r="Z16" i="39"/>
  <c r="U16" i="39"/>
  <c r="T16" i="39"/>
  <c r="E9" i="34"/>
  <c r="B9" i="65" s="1"/>
  <c r="B10" i="37"/>
  <c r="F10" i="37" s="1"/>
  <c r="H5" i="40"/>
  <c r="J5" i="40" s="1"/>
  <c r="L5" i="40" s="1"/>
  <c r="Q5" i="40" s="1"/>
  <c r="I5" i="40"/>
  <c r="K5" i="40" s="1"/>
  <c r="M5" i="40" s="1"/>
  <c r="AA17" i="39"/>
  <c r="X17" i="39"/>
  <c r="R6" i="44"/>
  <c r="U6" i="44" s="1"/>
  <c r="Q6" i="44"/>
  <c r="W11" i="37"/>
  <c r="E11" i="37"/>
  <c r="X17" i="36"/>
  <c r="AA17" i="36"/>
  <c r="W14" i="39"/>
  <c r="E14" i="39"/>
  <c r="V16" i="64" l="1"/>
  <c r="S16" i="64"/>
  <c r="V16" i="63"/>
  <c r="S16" i="63"/>
  <c r="T13" i="63"/>
  <c r="E13" i="63"/>
  <c r="T13" i="64"/>
  <c r="E13" i="64"/>
  <c r="B12" i="63"/>
  <c r="F12" i="63" s="1"/>
  <c r="B12" i="64"/>
  <c r="F12" i="64" s="1"/>
  <c r="G14" i="64"/>
  <c r="I14" i="64" s="1"/>
  <c r="K14" i="64" s="1"/>
  <c r="P14" i="64" s="1"/>
  <c r="W14" i="64" s="1"/>
  <c r="H14" i="64"/>
  <c r="J14" i="64" s="1"/>
  <c r="L14" i="64" s="1"/>
  <c r="I10" i="65"/>
  <c r="L10" i="65" s="1"/>
  <c r="O10" i="65" s="1"/>
  <c r="G10" i="65"/>
  <c r="J10" i="65" s="1"/>
  <c r="M10" i="65" s="1"/>
  <c r="H10" i="65"/>
  <c r="K10" i="65" s="1"/>
  <c r="N10" i="65" s="1"/>
  <c r="U10" i="65" s="1"/>
  <c r="Q15" i="63"/>
  <c r="R15" i="63"/>
  <c r="U15" i="63" s="1"/>
  <c r="H14" i="63"/>
  <c r="J14" i="63" s="1"/>
  <c r="L14" i="63" s="1"/>
  <c r="G14" i="63"/>
  <c r="I14" i="63" s="1"/>
  <c r="K14" i="63" s="1"/>
  <c r="P14" i="63" s="1"/>
  <c r="W14" i="63" s="1"/>
  <c r="R15" i="64"/>
  <c r="U15" i="64" s="1"/>
  <c r="Q15" i="64"/>
  <c r="I46" i="55"/>
  <c r="G46" i="55"/>
  <c r="F46" i="55"/>
  <c r="H46" i="55"/>
  <c r="V6" i="40"/>
  <c r="H4" i="44"/>
  <c r="J4" i="44" s="1"/>
  <c r="L4" i="44" s="1"/>
  <c r="G4" i="44"/>
  <c r="I4" i="44" s="1"/>
  <c r="K4" i="44" s="1"/>
  <c r="P4" i="44" s="1"/>
  <c r="W4" i="44" s="1"/>
  <c r="E8" i="34"/>
  <c r="B8" i="65" s="1"/>
  <c r="B9" i="37"/>
  <c r="F9" i="37" s="1"/>
  <c r="V16" i="36"/>
  <c r="AB16" i="36"/>
  <c r="Y16" i="36"/>
  <c r="W13" i="36"/>
  <c r="E13" i="36"/>
  <c r="E13" i="39"/>
  <c r="W13" i="39"/>
  <c r="T4" i="44"/>
  <c r="AA16" i="36"/>
  <c r="X16" i="36"/>
  <c r="X16" i="39"/>
  <c r="AA16" i="39"/>
  <c r="AC15" i="36"/>
  <c r="Z15" i="36"/>
  <c r="T12" i="37"/>
  <c r="U12" i="37"/>
  <c r="D11" i="34"/>
  <c r="B12" i="39"/>
  <c r="F12" i="39" s="1"/>
  <c r="H14" i="39"/>
  <c r="J14" i="39" s="1"/>
  <c r="L14" i="39" s="1"/>
  <c r="G14" i="39"/>
  <c r="I14" i="39" s="1"/>
  <c r="K14" i="39" s="1"/>
  <c r="S14" i="39" s="1"/>
  <c r="T15" i="36"/>
  <c r="U15" i="36"/>
  <c r="V13" i="37"/>
  <c r="AB13" i="37"/>
  <c r="Y13" i="37"/>
  <c r="AC12" i="37"/>
  <c r="Z12" i="37"/>
  <c r="AC15" i="39"/>
  <c r="Z15" i="39"/>
  <c r="H14" i="36"/>
  <c r="J14" i="36" s="1"/>
  <c r="L14" i="36" s="1"/>
  <c r="G14" i="36"/>
  <c r="I14" i="36" s="1"/>
  <c r="K14" i="36" s="1"/>
  <c r="S14" i="36" s="1"/>
  <c r="X13" i="37"/>
  <c r="AA13" i="37"/>
  <c r="W10" i="37"/>
  <c r="E10" i="37"/>
  <c r="V6" i="44"/>
  <c r="S6" i="44"/>
  <c r="C11" i="34"/>
  <c r="B12" i="36"/>
  <c r="F12" i="36" s="1"/>
  <c r="S5" i="40"/>
  <c r="R5" i="40"/>
  <c r="R5" i="44"/>
  <c r="U5" i="44" s="1"/>
  <c r="Q5" i="44"/>
  <c r="H4" i="40"/>
  <c r="J4" i="40" s="1"/>
  <c r="L4" i="40" s="1"/>
  <c r="Q4" i="40" s="1"/>
  <c r="I4" i="40"/>
  <c r="K4" i="40" s="1"/>
  <c r="M4" i="40" s="1"/>
  <c r="H11" i="37"/>
  <c r="J11" i="37" s="1"/>
  <c r="L11" i="37" s="1"/>
  <c r="G11" i="37"/>
  <c r="I11" i="37" s="1"/>
  <c r="K11" i="37" s="1"/>
  <c r="S11" i="37" s="1"/>
  <c r="V16" i="39"/>
  <c r="Y16" i="39"/>
  <c r="AB16" i="39"/>
  <c r="G3" i="40"/>
  <c r="U15" i="39"/>
  <c r="T15" i="39"/>
  <c r="X5" i="40"/>
  <c r="F3" i="44"/>
  <c r="W6" i="40"/>
  <c r="T6" i="40"/>
  <c r="T10" i="65" l="1"/>
  <c r="W10" i="65" s="1"/>
  <c r="S10" i="65"/>
  <c r="AB10" i="65" s="1"/>
  <c r="H13" i="63"/>
  <c r="J13" i="63" s="1"/>
  <c r="L13" i="63" s="1"/>
  <c r="G13" i="63"/>
  <c r="I13" i="63" s="1"/>
  <c r="K13" i="63" s="1"/>
  <c r="P13" i="63" s="1"/>
  <c r="W13" i="63" s="1"/>
  <c r="G13" i="64"/>
  <c r="I13" i="64" s="1"/>
  <c r="K13" i="64" s="1"/>
  <c r="P13" i="64" s="1"/>
  <c r="W13" i="64" s="1"/>
  <c r="H13" i="64"/>
  <c r="J13" i="64" s="1"/>
  <c r="L13" i="64" s="1"/>
  <c r="S15" i="64"/>
  <c r="V15" i="64"/>
  <c r="X10" i="65"/>
  <c r="AA10" i="65" s="1"/>
  <c r="V10" i="65"/>
  <c r="Z10" i="65" s="1"/>
  <c r="R14" i="64"/>
  <c r="U14" i="64" s="1"/>
  <c r="Q14" i="64"/>
  <c r="B11" i="63"/>
  <c r="F11" i="63" s="1"/>
  <c r="B11" i="64"/>
  <c r="F11" i="64" s="1"/>
  <c r="R14" i="63"/>
  <c r="U14" i="63" s="1"/>
  <c r="Q14" i="63"/>
  <c r="T12" i="64"/>
  <c r="E12" i="64"/>
  <c r="S15" i="63"/>
  <c r="V15" i="63"/>
  <c r="T12" i="63"/>
  <c r="E12" i="63"/>
  <c r="I47" i="55"/>
  <c r="F47" i="55"/>
  <c r="H47" i="55"/>
  <c r="G47" i="55"/>
  <c r="T3" i="44"/>
  <c r="E3" i="44"/>
  <c r="W12" i="39"/>
  <c r="E12" i="39"/>
  <c r="T5" i="40"/>
  <c r="W5" i="40"/>
  <c r="D10" i="34"/>
  <c r="B11" i="39"/>
  <c r="F11" i="39" s="1"/>
  <c r="AC11" i="37"/>
  <c r="Z11" i="37"/>
  <c r="W12" i="36"/>
  <c r="E12" i="36"/>
  <c r="Z14" i="36"/>
  <c r="AC14" i="36"/>
  <c r="AB12" i="37"/>
  <c r="V12" i="37"/>
  <c r="Y12" i="37"/>
  <c r="E7" i="34"/>
  <c r="B7" i="65" s="1"/>
  <c r="B8" i="37"/>
  <c r="F8" i="37" s="1"/>
  <c r="AB15" i="39"/>
  <c r="V15" i="39"/>
  <c r="Y15" i="39"/>
  <c r="U14" i="36"/>
  <c r="T14" i="36"/>
  <c r="AA15" i="36"/>
  <c r="X15" i="36"/>
  <c r="H13" i="39"/>
  <c r="J13" i="39" s="1"/>
  <c r="L13" i="39" s="1"/>
  <c r="G13" i="39"/>
  <c r="I13" i="39" s="1"/>
  <c r="K13" i="39" s="1"/>
  <c r="S13" i="39" s="1"/>
  <c r="W9" i="37"/>
  <c r="E9" i="37"/>
  <c r="U11" i="37"/>
  <c r="T11" i="37"/>
  <c r="C10" i="34"/>
  <c r="B11" i="36"/>
  <c r="F11" i="36" s="1"/>
  <c r="X15" i="39"/>
  <c r="AA15" i="39"/>
  <c r="R4" i="40"/>
  <c r="S4" i="40"/>
  <c r="V15" i="36"/>
  <c r="Y15" i="36"/>
  <c r="AB15" i="36"/>
  <c r="H13" i="36"/>
  <c r="J13" i="36" s="1"/>
  <c r="L13" i="36" s="1"/>
  <c r="G13" i="36"/>
  <c r="I13" i="36" s="1"/>
  <c r="K13" i="36" s="1"/>
  <c r="S13" i="36" s="1"/>
  <c r="R4" i="44"/>
  <c r="U4" i="44" s="1"/>
  <c r="Q4" i="44"/>
  <c r="X4" i="40"/>
  <c r="AC14" i="39"/>
  <c r="Z14" i="39"/>
  <c r="V5" i="40"/>
  <c r="X12" i="37"/>
  <c r="AA12" i="37"/>
  <c r="F3" i="40"/>
  <c r="U3" i="40"/>
  <c r="S5" i="44"/>
  <c r="V5" i="44"/>
  <c r="H10" i="37"/>
  <c r="J10" i="37" s="1"/>
  <c r="L10" i="37" s="1"/>
  <c r="G10" i="37"/>
  <c r="I10" i="37" s="1"/>
  <c r="K10" i="37" s="1"/>
  <c r="S10" i="37" s="1"/>
  <c r="T14" i="39"/>
  <c r="U14" i="39"/>
  <c r="B10" i="63" l="1"/>
  <c r="F10" i="63" s="1"/>
  <c r="B10" i="64"/>
  <c r="F10" i="64" s="1"/>
  <c r="S14" i="63"/>
  <c r="V14" i="63"/>
  <c r="G12" i="63"/>
  <c r="I12" i="63" s="1"/>
  <c r="K12" i="63" s="1"/>
  <c r="P12" i="63" s="1"/>
  <c r="W12" i="63" s="1"/>
  <c r="H12" i="63"/>
  <c r="J12" i="63" s="1"/>
  <c r="L12" i="63" s="1"/>
  <c r="T11" i="64"/>
  <c r="E11" i="64"/>
  <c r="Q13" i="64"/>
  <c r="R13" i="64"/>
  <c r="U13" i="64" s="1"/>
  <c r="H12" i="64"/>
  <c r="J12" i="64" s="1"/>
  <c r="L12" i="64" s="1"/>
  <c r="G12" i="64"/>
  <c r="I12" i="64" s="1"/>
  <c r="K12" i="64" s="1"/>
  <c r="P12" i="64" s="1"/>
  <c r="W12" i="64" s="1"/>
  <c r="T11" i="63"/>
  <c r="E11" i="63"/>
  <c r="S14" i="64"/>
  <c r="V14" i="64"/>
  <c r="Q13" i="63"/>
  <c r="R13" i="63"/>
  <c r="U13" i="63" s="1"/>
  <c r="I48" i="55"/>
  <c r="F48" i="55"/>
  <c r="G48" i="55"/>
  <c r="H48" i="55"/>
  <c r="T10" i="37"/>
  <c r="U10" i="37"/>
  <c r="AC13" i="39"/>
  <c r="Z13" i="39"/>
  <c r="H12" i="36"/>
  <c r="J12" i="36" s="1"/>
  <c r="L12" i="36" s="1"/>
  <c r="G12" i="36"/>
  <c r="I12" i="36" s="1"/>
  <c r="K12" i="36" s="1"/>
  <c r="S12" i="36" s="1"/>
  <c r="U13" i="36"/>
  <c r="T13" i="36"/>
  <c r="W11" i="36"/>
  <c r="E11" i="36"/>
  <c r="E6" i="34"/>
  <c r="B6" i="65" s="1"/>
  <c r="B7" i="37"/>
  <c r="F7" i="37" s="1"/>
  <c r="U13" i="39"/>
  <c r="T13" i="39"/>
  <c r="C9" i="34"/>
  <c r="B10" i="36"/>
  <c r="F10" i="36" s="1"/>
  <c r="H12" i="39"/>
  <c r="J12" i="39" s="1"/>
  <c r="L12" i="39" s="1"/>
  <c r="G12" i="39"/>
  <c r="I12" i="39" s="1"/>
  <c r="K12" i="39" s="1"/>
  <c r="S12" i="39" s="1"/>
  <c r="S4" i="44"/>
  <c r="V4" i="44"/>
  <c r="W8" i="37"/>
  <c r="E8" i="37"/>
  <c r="V11" i="37"/>
  <c r="AB11" i="37"/>
  <c r="Y11" i="37"/>
  <c r="AB14" i="36"/>
  <c r="V14" i="36"/>
  <c r="Y14" i="36"/>
  <c r="W11" i="39"/>
  <c r="E11" i="39"/>
  <c r="W4" i="40"/>
  <c r="I3" i="40"/>
  <c r="K3" i="40" s="1"/>
  <c r="M3" i="40" s="1"/>
  <c r="H3" i="40"/>
  <c r="J3" i="40" s="1"/>
  <c r="L3" i="40" s="1"/>
  <c r="Q3" i="40" s="1"/>
  <c r="X11" i="37"/>
  <c r="AA11" i="37"/>
  <c r="AA14" i="36"/>
  <c r="X14" i="36"/>
  <c r="D9" i="34"/>
  <c r="B10" i="39"/>
  <c r="F10" i="39" s="1"/>
  <c r="H3" i="44"/>
  <c r="J3" i="44" s="1"/>
  <c r="L3" i="44" s="1"/>
  <c r="G3" i="44"/>
  <c r="I3" i="44" s="1"/>
  <c r="K3" i="44" s="1"/>
  <c r="P3" i="44" s="1"/>
  <c r="W3" i="44" s="1"/>
  <c r="Z10" i="37"/>
  <c r="AC10" i="37"/>
  <c r="AC13" i="36"/>
  <c r="Z13" i="36"/>
  <c r="AA14" i="39"/>
  <c r="X14" i="39"/>
  <c r="V14" i="39"/>
  <c r="AB14" i="39"/>
  <c r="Y14" i="39"/>
  <c r="T4" i="40"/>
  <c r="V4" i="40"/>
  <c r="H9" i="37"/>
  <c r="J9" i="37" s="1"/>
  <c r="L9" i="37" s="1"/>
  <c r="G9" i="37"/>
  <c r="I9" i="37" s="1"/>
  <c r="K9" i="37" s="1"/>
  <c r="S9" i="37" s="1"/>
  <c r="T10" i="63" l="1"/>
  <c r="E10" i="63"/>
  <c r="G11" i="64"/>
  <c r="I11" i="64" s="1"/>
  <c r="K11" i="64" s="1"/>
  <c r="P11" i="64" s="1"/>
  <c r="W11" i="64" s="1"/>
  <c r="H11" i="64"/>
  <c r="J11" i="64" s="1"/>
  <c r="L11" i="64" s="1"/>
  <c r="H11" i="63"/>
  <c r="J11" i="63" s="1"/>
  <c r="L11" i="63" s="1"/>
  <c r="G11" i="63"/>
  <c r="I11" i="63" s="1"/>
  <c r="K11" i="63" s="1"/>
  <c r="P11" i="63" s="1"/>
  <c r="W11" i="63" s="1"/>
  <c r="Q12" i="63"/>
  <c r="R12" i="63"/>
  <c r="U12" i="63" s="1"/>
  <c r="S13" i="63"/>
  <c r="V13" i="63"/>
  <c r="V13" i="64"/>
  <c r="S13" i="64"/>
  <c r="B9" i="63"/>
  <c r="F9" i="63" s="1"/>
  <c r="B9" i="64"/>
  <c r="F9" i="64" s="1"/>
  <c r="R12" i="64"/>
  <c r="U12" i="64" s="1"/>
  <c r="Q12" i="64"/>
  <c r="T10" i="64"/>
  <c r="E10" i="64"/>
  <c r="I49" i="55"/>
  <c r="F49" i="55"/>
  <c r="G49" i="55"/>
  <c r="H49" i="55"/>
  <c r="G8" i="37"/>
  <c r="I8" i="37" s="1"/>
  <c r="K8" i="37" s="1"/>
  <c r="S8" i="37" s="1"/>
  <c r="H8" i="37"/>
  <c r="J8" i="37" s="1"/>
  <c r="L8" i="37" s="1"/>
  <c r="U9" i="37"/>
  <c r="T9" i="37"/>
  <c r="R3" i="44"/>
  <c r="U3" i="44" s="1"/>
  <c r="Q3" i="44"/>
  <c r="X13" i="39"/>
  <c r="AA13" i="39"/>
  <c r="X13" i="36"/>
  <c r="AA13" i="36"/>
  <c r="Y13" i="39"/>
  <c r="AB13" i="39"/>
  <c r="V13" i="39"/>
  <c r="E10" i="39"/>
  <c r="W10" i="39"/>
  <c r="S3" i="40"/>
  <c r="R3" i="40"/>
  <c r="U12" i="36"/>
  <c r="T12" i="36"/>
  <c r="H11" i="39"/>
  <c r="J11" i="39" s="1"/>
  <c r="L11" i="39" s="1"/>
  <c r="G11" i="39"/>
  <c r="I11" i="39" s="1"/>
  <c r="K11" i="39" s="1"/>
  <c r="S11" i="39" s="1"/>
  <c r="Z12" i="39"/>
  <c r="AC12" i="39"/>
  <c r="W7" i="37"/>
  <c r="E7" i="37"/>
  <c r="AC9" i="37"/>
  <c r="Z9" i="37"/>
  <c r="Z12" i="36"/>
  <c r="AC12" i="36"/>
  <c r="D8" i="34"/>
  <c r="B9" i="39"/>
  <c r="F9" i="39" s="1"/>
  <c r="T12" i="39"/>
  <c r="U12" i="39"/>
  <c r="E5" i="34"/>
  <c r="B5" i="65" s="1"/>
  <c r="B6" i="37"/>
  <c r="F6" i="37" s="1"/>
  <c r="V13" i="36"/>
  <c r="AB13" i="36"/>
  <c r="Y13" i="36"/>
  <c r="W10" i="36"/>
  <c r="E10" i="36"/>
  <c r="H11" i="36"/>
  <c r="J11" i="36" s="1"/>
  <c r="L11" i="36" s="1"/>
  <c r="G11" i="36"/>
  <c r="I11" i="36" s="1"/>
  <c r="K11" i="36" s="1"/>
  <c r="S11" i="36" s="1"/>
  <c r="AA10" i="37"/>
  <c r="X10" i="37"/>
  <c r="X3" i="40"/>
  <c r="C8" i="34"/>
  <c r="B9" i="36"/>
  <c r="F9" i="36" s="1"/>
  <c r="Y10" i="37"/>
  <c r="AB10" i="37"/>
  <c r="V10" i="37"/>
  <c r="S12" i="64" l="1"/>
  <c r="V12" i="64"/>
  <c r="T9" i="64"/>
  <c r="E9" i="64"/>
  <c r="S12" i="63"/>
  <c r="V12" i="63"/>
  <c r="T9" i="63"/>
  <c r="E9" i="63"/>
  <c r="Q11" i="63"/>
  <c r="R11" i="63"/>
  <c r="U11" i="63" s="1"/>
  <c r="B8" i="63"/>
  <c r="F8" i="63" s="1"/>
  <c r="B8" i="64"/>
  <c r="F8" i="64" s="1"/>
  <c r="R11" i="64"/>
  <c r="U11" i="64" s="1"/>
  <c r="Q11" i="64"/>
  <c r="H10" i="64"/>
  <c r="J10" i="64" s="1"/>
  <c r="L10" i="64" s="1"/>
  <c r="G10" i="64"/>
  <c r="I10" i="64" s="1"/>
  <c r="K10" i="64" s="1"/>
  <c r="P10" i="64" s="1"/>
  <c r="W10" i="64" s="1"/>
  <c r="H10" i="63"/>
  <c r="J10" i="63" s="1"/>
  <c r="L10" i="63" s="1"/>
  <c r="G10" i="63"/>
  <c r="I10" i="63" s="1"/>
  <c r="K10" i="63" s="1"/>
  <c r="P10" i="63" s="1"/>
  <c r="W10" i="63" s="1"/>
  <c r="I50" i="55"/>
  <c r="H50" i="55"/>
  <c r="G50" i="55"/>
  <c r="F50" i="55"/>
  <c r="AC11" i="36"/>
  <c r="Z11" i="36"/>
  <c r="U11" i="36"/>
  <c r="T11" i="36"/>
  <c r="X12" i="39"/>
  <c r="AA12" i="39"/>
  <c r="H7" i="37"/>
  <c r="J7" i="37" s="1"/>
  <c r="L7" i="37" s="1"/>
  <c r="G7" i="37"/>
  <c r="I7" i="37" s="1"/>
  <c r="K7" i="37" s="1"/>
  <c r="S7" i="37" s="1"/>
  <c r="G10" i="39"/>
  <c r="I10" i="39" s="1"/>
  <c r="K10" i="39" s="1"/>
  <c r="S10" i="39" s="1"/>
  <c r="H10" i="39"/>
  <c r="J10" i="39" s="1"/>
  <c r="L10" i="39" s="1"/>
  <c r="W9" i="39"/>
  <c r="E9" i="39"/>
  <c r="T3" i="40"/>
  <c r="W3" i="40"/>
  <c r="X12" i="36"/>
  <c r="AA12" i="36"/>
  <c r="G10" i="36"/>
  <c r="I10" i="36" s="1"/>
  <c r="K10" i="36" s="1"/>
  <c r="S10" i="36" s="1"/>
  <c r="H10" i="36"/>
  <c r="J10" i="36" s="1"/>
  <c r="L10" i="36" s="1"/>
  <c r="V3" i="44"/>
  <c r="S3" i="44"/>
  <c r="W9" i="36"/>
  <c r="E9" i="36"/>
  <c r="D7" i="34"/>
  <c r="B8" i="39"/>
  <c r="F8" i="39" s="1"/>
  <c r="V3" i="40"/>
  <c r="Y9" i="37"/>
  <c r="V9" i="37"/>
  <c r="AB9" i="37"/>
  <c r="AB12" i="39"/>
  <c r="Y12" i="39"/>
  <c r="V12" i="39"/>
  <c r="C7" i="34"/>
  <c r="B8" i="36"/>
  <c r="F8" i="36" s="1"/>
  <c r="Z11" i="39"/>
  <c r="AC11" i="39"/>
  <c r="AA9" i="37"/>
  <c r="X9" i="37"/>
  <c r="T11" i="39"/>
  <c r="U11" i="39"/>
  <c r="T8" i="37"/>
  <c r="U8" i="37"/>
  <c r="E4" i="34"/>
  <c r="B4" i="65" s="1"/>
  <c r="B5" i="37"/>
  <c r="F5" i="37" s="1"/>
  <c r="W6" i="37"/>
  <c r="E6" i="37"/>
  <c r="Y12" i="36"/>
  <c r="V12" i="36"/>
  <c r="AB12" i="36"/>
  <c r="Z8" i="37"/>
  <c r="AC8" i="37"/>
  <c r="H9" i="63" l="1"/>
  <c r="J9" i="63" s="1"/>
  <c r="L9" i="63" s="1"/>
  <c r="G9" i="63"/>
  <c r="I9" i="63" s="1"/>
  <c r="K9" i="63" s="1"/>
  <c r="P9" i="63" s="1"/>
  <c r="W9" i="63" s="1"/>
  <c r="S11" i="64"/>
  <c r="V11" i="64"/>
  <c r="R10" i="64"/>
  <c r="U10" i="64" s="1"/>
  <c r="Q10" i="64"/>
  <c r="B7" i="63"/>
  <c r="F7" i="63" s="1"/>
  <c r="B7" i="64"/>
  <c r="F7" i="64" s="1"/>
  <c r="T8" i="64"/>
  <c r="E8" i="64"/>
  <c r="G9" i="64"/>
  <c r="I9" i="64" s="1"/>
  <c r="K9" i="64" s="1"/>
  <c r="P9" i="64" s="1"/>
  <c r="W9" i="64" s="1"/>
  <c r="H9" i="64"/>
  <c r="J9" i="64" s="1"/>
  <c r="L9" i="64" s="1"/>
  <c r="T8" i="63"/>
  <c r="E8" i="63"/>
  <c r="Q10" i="63"/>
  <c r="R10" i="63"/>
  <c r="U10" i="63" s="1"/>
  <c r="S11" i="63"/>
  <c r="V11" i="63"/>
  <c r="I51" i="55"/>
  <c r="F51" i="55"/>
  <c r="H51" i="55"/>
  <c r="G51" i="55"/>
  <c r="C6" i="34"/>
  <c r="B7" i="36"/>
  <c r="F7" i="36" s="1"/>
  <c r="X11" i="39"/>
  <c r="AA11" i="39"/>
  <c r="G9" i="36"/>
  <c r="I9" i="36" s="1"/>
  <c r="K9" i="36" s="1"/>
  <c r="S9" i="36" s="1"/>
  <c r="H9" i="36"/>
  <c r="J9" i="36" s="1"/>
  <c r="L9" i="36" s="1"/>
  <c r="T7" i="37"/>
  <c r="U7" i="37"/>
  <c r="W5" i="37"/>
  <c r="E5" i="37"/>
  <c r="Z7" i="37"/>
  <c r="AC7" i="37"/>
  <c r="E3" i="34"/>
  <c r="B4" i="37"/>
  <c r="F4" i="37" s="1"/>
  <c r="H9" i="39"/>
  <c r="J9" i="39" s="1"/>
  <c r="L9" i="39" s="1"/>
  <c r="G9" i="39"/>
  <c r="I9" i="39" s="1"/>
  <c r="K9" i="39" s="1"/>
  <c r="S9" i="39" s="1"/>
  <c r="V11" i="36"/>
  <c r="AB11" i="36"/>
  <c r="Y11" i="36"/>
  <c r="W8" i="39"/>
  <c r="E8" i="39"/>
  <c r="T10" i="36"/>
  <c r="U10" i="36"/>
  <c r="AA11" i="36"/>
  <c r="X11" i="36"/>
  <c r="V11" i="39"/>
  <c r="Y11" i="39"/>
  <c r="AB11" i="39"/>
  <c r="D6" i="34"/>
  <c r="B7" i="39"/>
  <c r="F7" i="39" s="1"/>
  <c r="Z10" i="36"/>
  <c r="AC10" i="36"/>
  <c r="T10" i="39"/>
  <c r="U10" i="39"/>
  <c r="X8" i="37"/>
  <c r="AA8" i="37"/>
  <c r="V8" i="37"/>
  <c r="AB8" i="37"/>
  <c r="Y8" i="37"/>
  <c r="H6" i="37"/>
  <c r="J6" i="37" s="1"/>
  <c r="L6" i="37" s="1"/>
  <c r="G6" i="37"/>
  <c r="I6" i="37" s="1"/>
  <c r="K6" i="37" s="1"/>
  <c r="S6" i="37" s="1"/>
  <c r="W8" i="36"/>
  <c r="E8" i="36"/>
  <c r="AC10" i="39"/>
  <c r="Z10" i="39"/>
  <c r="R9" i="63" l="1"/>
  <c r="U9" i="63" s="1"/>
  <c r="Q9" i="63"/>
  <c r="T7" i="64"/>
  <c r="E7" i="64"/>
  <c r="G8" i="63"/>
  <c r="I8" i="63" s="1"/>
  <c r="K8" i="63" s="1"/>
  <c r="P8" i="63" s="1"/>
  <c r="W8" i="63" s="1"/>
  <c r="H8" i="63"/>
  <c r="J8" i="63" s="1"/>
  <c r="L8" i="63" s="1"/>
  <c r="S10" i="64"/>
  <c r="V10" i="64"/>
  <c r="V10" i="63"/>
  <c r="S10" i="63"/>
  <c r="G8" i="64"/>
  <c r="I8" i="64" s="1"/>
  <c r="K8" i="64" s="1"/>
  <c r="P8" i="64" s="1"/>
  <c r="W8" i="64" s="1"/>
  <c r="H8" i="64"/>
  <c r="J8" i="64" s="1"/>
  <c r="L8" i="64" s="1"/>
  <c r="Q9" i="64"/>
  <c r="R9" i="64"/>
  <c r="U9" i="64" s="1"/>
  <c r="T7" i="63"/>
  <c r="E7" i="63"/>
  <c r="B6" i="63"/>
  <c r="F6" i="63" s="1"/>
  <c r="B6" i="64"/>
  <c r="F6" i="64" s="1"/>
  <c r="B3" i="37"/>
  <c r="F3" i="37" s="1"/>
  <c r="W3" i="37" s="1"/>
  <c r="B3" i="65"/>
  <c r="I52" i="55"/>
  <c r="F52" i="55"/>
  <c r="G52" i="55"/>
  <c r="H52" i="55"/>
  <c r="W7" i="39"/>
  <c r="E7" i="39"/>
  <c r="AC9" i="36"/>
  <c r="Z9" i="36"/>
  <c r="U6" i="37"/>
  <c r="T6" i="37"/>
  <c r="U9" i="36"/>
  <c r="T9" i="36"/>
  <c r="W4" i="37"/>
  <c r="E4" i="37"/>
  <c r="H5" i="37"/>
  <c r="J5" i="37" s="1"/>
  <c r="L5" i="37" s="1"/>
  <c r="G5" i="37"/>
  <c r="I5" i="37" s="1"/>
  <c r="K5" i="37" s="1"/>
  <c r="S5" i="37" s="1"/>
  <c r="G8" i="39"/>
  <c r="I8" i="39" s="1"/>
  <c r="K8" i="39" s="1"/>
  <c r="S8" i="39" s="1"/>
  <c r="H8" i="39"/>
  <c r="J8" i="39" s="1"/>
  <c r="L8" i="39" s="1"/>
  <c r="D5" i="34"/>
  <c r="B6" i="39"/>
  <c r="F6" i="39" s="1"/>
  <c r="AA10" i="39"/>
  <c r="X10" i="39"/>
  <c r="E3" i="37"/>
  <c r="AC6" i="37"/>
  <c r="Z6" i="37"/>
  <c r="H8" i="36"/>
  <c r="J8" i="36" s="1"/>
  <c r="L8" i="36" s="1"/>
  <c r="G8" i="36"/>
  <c r="I8" i="36" s="1"/>
  <c r="K8" i="36" s="1"/>
  <c r="S8" i="36" s="1"/>
  <c r="Y10" i="39"/>
  <c r="V10" i="39"/>
  <c r="AB10" i="39"/>
  <c r="X10" i="36"/>
  <c r="AA10" i="36"/>
  <c r="AA7" i="37"/>
  <c r="X7" i="37"/>
  <c r="W7" i="36"/>
  <c r="E7" i="36"/>
  <c r="T9" i="39"/>
  <c r="U9" i="39"/>
  <c r="AB10" i="36"/>
  <c r="V10" i="36"/>
  <c r="Y10" i="36"/>
  <c r="AC9" i="39"/>
  <c r="Z9" i="39"/>
  <c r="V7" i="37"/>
  <c r="Y7" i="37"/>
  <c r="AB7" i="37"/>
  <c r="C5" i="34"/>
  <c r="B6" i="36"/>
  <c r="F6" i="36" s="1"/>
  <c r="H7" i="63" l="1"/>
  <c r="J7" i="63" s="1"/>
  <c r="L7" i="63" s="1"/>
  <c r="G7" i="63"/>
  <c r="I7" i="63" s="1"/>
  <c r="K7" i="63" s="1"/>
  <c r="P7" i="63" s="1"/>
  <c r="W7" i="63" s="1"/>
  <c r="R8" i="63"/>
  <c r="U8" i="63" s="1"/>
  <c r="Q8" i="63"/>
  <c r="S9" i="64"/>
  <c r="V9" i="64"/>
  <c r="Q8" i="64"/>
  <c r="R8" i="64"/>
  <c r="U8" i="64" s="1"/>
  <c r="H7" i="64"/>
  <c r="J7" i="64" s="1"/>
  <c r="L7" i="64" s="1"/>
  <c r="G7" i="64"/>
  <c r="I7" i="64" s="1"/>
  <c r="K7" i="64" s="1"/>
  <c r="P7" i="64" s="1"/>
  <c r="W7" i="64" s="1"/>
  <c r="B5" i="63"/>
  <c r="F5" i="63" s="1"/>
  <c r="B5" i="64"/>
  <c r="F5" i="64" s="1"/>
  <c r="T6" i="64"/>
  <c r="E6" i="64"/>
  <c r="S9" i="63"/>
  <c r="V9" i="63"/>
  <c r="T6" i="63"/>
  <c r="E6" i="63"/>
  <c r="I53" i="55"/>
  <c r="H53" i="55"/>
  <c r="F53" i="55"/>
  <c r="G53" i="55"/>
  <c r="AC5" i="37"/>
  <c r="Z5" i="37"/>
  <c r="V6" i="37"/>
  <c r="AB6" i="37"/>
  <c r="Y6" i="37"/>
  <c r="U5" i="37"/>
  <c r="T5" i="37"/>
  <c r="AA6" i="37"/>
  <c r="X6" i="37"/>
  <c r="G4" i="37"/>
  <c r="I4" i="37" s="1"/>
  <c r="K4" i="37" s="1"/>
  <c r="S4" i="37" s="1"/>
  <c r="H4" i="37"/>
  <c r="J4" i="37" s="1"/>
  <c r="L4" i="37" s="1"/>
  <c r="AB9" i="36"/>
  <c r="V9" i="36"/>
  <c r="Y9" i="36"/>
  <c r="C4" i="34"/>
  <c r="B5" i="36"/>
  <c r="F5" i="36" s="1"/>
  <c r="H3" i="37"/>
  <c r="J3" i="37" s="1"/>
  <c r="L3" i="37" s="1"/>
  <c r="G3" i="37"/>
  <c r="I3" i="37" s="1"/>
  <c r="K3" i="37" s="1"/>
  <c r="S3" i="37" s="1"/>
  <c r="AA9" i="36"/>
  <c r="X9" i="36"/>
  <c r="W6" i="39"/>
  <c r="E6" i="39"/>
  <c r="G7" i="39"/>
  <c r="I7" i="39" s="1"/>
  <c r="K7" i="39" s="1"/>
  <c r="S7" i="39" s="1"/>
  <c r="H7" i="39"/>
  <c r="J7" i="39" s="1"/>
  <c r="L7" i="39" s="1"/>
  <c r="W6" i="36"/>
  <c r="E6" i="36"/>
  <c r="AC8" i="36"/>
  <c r="Z8" i="36"/>
  <c r="D4" i="34"/>
  <c r="B5" i="39"/>
  <c r="F5" i="39" s="1"/>
  <c r="G7" i="36"/>
  <c r="I7" i="36" s="1"/>
  <c r="K7" i="36" s="1"/>
  <c r="S7" i="36" s="1"/>
  <c r="H7" i="36"/>
  <c r="J7" i="36" s="1"/>
  <c r="L7" i="36" s="1"/>
  <c r="U8" i="36"/>
  <c r="T8" i="36"/>
  <c r="U8" i="39"/>
  <c r="T8" i="39"/>
  <c r="AA9" i="39"/>
  <c r="X9" i="39"/>
  <c r="V9" i="39"/>
  <c r="AB9" i="39"/>
  <c r="Y9" i="39"/>
  <c r="Z8" i="39"/>
  <c r="AC8" i="39"/>
  <c r="T5" i="64" l="1"/>
  <c r="E5" i="64"/>
  <c r="S8" i="63"/>
  <c r="V8" i="63"/>
  <c r="S8" i="64"/>
  <c r="V8" i="64"/>
  <c r="B4" i="63"/>
  <c r="F4" i="63" s="1"/>
  <c r="B4" i="64"/>
  <c r="F4" i="64" s="1"/>
  <c r="T5" i="63"/>
  <c r="E5" i="63"/>
  <c r="H6" i="64"/>
  <c r="J6" i="64" s="1"/>
  <c r="L6" i="64" s="1"/>
  <c r="G6" i="64"/>
  <c r="I6" i="64" s="1"/>
  <c r="K6" i="64" s="1"/>
  <c r="P6" i="64" s="1"/>
  <c r="W6" i="64" s="1"/>
  <c r="H6" i="63"/>
  <c r="J6" i="63" s="1"/>
  <c r="L6" i="63" s="1"/>
  <c r="G6" i="63"/>
  <c r="I6" i="63" s="1"/>
  <c r="K6" i="63" s="1"/>
  <c r="P6" i="63" s="1"/>
  <c r="W6" i="63" s="1"/>
  <c r="Q7" i="64"/>
  <c r="R7" i="64"/>
  <c r="U7" i="64" s="1"/>
  <c r="R7" i="63"/>
  <c r="U7" i="63" s="1"/>
  <c r="Q7" i="63"/>
  <c r="H6" i="36"/>
  <c r="J6" i="36" s="1"/>
  <c r="L6" i="36" s="1"/>
  <c r="G6" i="36"/>
  <c r="I6" i="36" s="1"/>
  <c r="K6" i="36" s="1"/>
  <c r="S6" i="36" s="1"/>
  <c r="X5" i="37"/>
  <c r="AA5" i="37"/>
  <c r="AA8" i="39"/>
  <c r="X8" i="39"/>
  <c r="U4" i="37"/>
  <c r="T4" i="37"/>
  <c r="AC3" i="37"/>
  <c r="Z3" i="37"/>
  <c r="X8" i="36"/>
  <c r="AA8" i="36"/>
  <c r="D3" i="34"/>
  <c r="B4" i="39"/>
  <c r="F4" i="39" s="1"/>
  <c r="AC7" i="39"/>
  <c r="Z7" i="39"/>
  <c r="U3" i="37"/>
  <c r="T3" i="37"/>
  <c r="V8" i="39"/>
  <c r="Y8" i="39"/>
  <c r="AB8" i="39"/>
  <c r="Y8" i="36"/>
  <c r="V8" i="36"/>
  <c r="AB8" i="36"/>
  <c r="H6" i="39"/>
  <c r="J6" i="39" s="1"/>
  <c r="L6" i="39" s="1"/>
  <c r="G6" i="39"/>
  <c r="I6" i="39" s="1"/>
  <c r="K6" i="39" s="1"/>
  <c r="S6" i="39" s="1"/>
  <c r="W5" i="36"/>
  <c r="E5" i="36"/>
  <c r="W5" i="39"/>
  <c r="E5" i="39"/>
  <c r="C3" i="34"/>
  <c r="B3" i="36" s="1"/>
  <c r="F3" i="36" s="1"/>
  <c r="B4" i="36"/>
  <c r="F4" i="36" s="1"/>
  <c r="U7" i="39"/>
  <c r="T7" i="39"/>
  <c r="U7" i="36"/>
  <c r="T7" i="36"/>
  <c r="AC4" i="37"/>
  <c r="Z4" i="37"/>
  <c r="Z7" i="36"/>
  <c r="AC7" i="36"/>
  <c r="AB5" i="37"/>
  <c r="Y5" i="37"/>
  <c r="V5" i="37"/>
  <c r="T4" i="64" l="1"/>
  <c r="E4" i="64"/>
  <c r="B3" i="39"/>
  <c r="F3" i="39" s="1"/>
  <c r="B3" i="63"/>
  <c r="F3" i="63" s="1"/>
  <c r="B3" i="64"/>
  <c r="F3" i="64" s="1"/>
  <c r="V7" i="64"/>
  <c r="S7" i="64"/>
  <c r="T4" i="63"/>
  <c r="E4" i="63"/>
  <c r="Q6" i="63"/>
  <c r="R6" i="63"/>
  <c r="U6" i="63" s="1"/>
  <c r="R6" i="64"/>
  <c r="U6" i="64" s="1"/>
  <c r="Q6" i="64"/>
  <c r="S7" i="63"/>
  <c r="V7" i="63"/>
  <c r="G5" i="63"/>
  <c r="I5" i="63" s="1"/>
  <c r="K5" i="63" s="1"/>
  <c r="P5" i="63" s="1"/>
  <c r="W5" i="63" s="1"/>
  <c r="H5" i="63"/>
  <c r="J5" i="63" s="1"/>
  <c r="L5" i="63" s="1"/>
  <c r="G5" i="64"/>
  <c r="I5" i="64" s="1"/>
  <c r="K5" i="64" s="1"/>
  <c r="P5" i="64" s="1"/>
  <c r="W5" i="64" s="1"/>
  <c r="H5" i="64"/>
  <c r="J5" i="64" s="1"/>
  <c r="L5" i="64" s="1"/>
  <c r="AB7" i="36"/>
  <c r="V7" i="36"/>
  <c r="Y7" i="36"/>
  <c r="H5" i="36"/>
  <c r="J5" i="36" s="1"/>
  <c r="L5" i="36" s="1"/>
  <c r="G5" i="36"/>
  <c r="I5" i="36" s="1"/>
  <c r="K5" i="36" s="1"/>
  <c r="S5" i="36" s="1"/>
  <c r="E4" i="39"/>
  <c r="W4" i="39"/>
  <c r="W3" i="39"/>
  <c r="E3" i="39"/>
  <c r="Y7" i="39"/>
  <c r="V7" i="39"/>
  <c r="AB7" i="39"/>
  <c r="H5" i="39"/>
  <c r="J5" i="39" s="1"/>
  <c r="L5" i="39" s="1"/>
  <c r="G5" i="39"/>
  <c r="I5" i="39" s="1"/>
  <c r="K5" i="39" s="1"/>
  <c r="S5" i="39" s="1"/>
  <c r="AC6" i="39"/>
  <c r="Z6" i="39"/>
  <c r="X4" i="37"/>
  <c r="AA4" i="37"/>
  <c r="X7" i="39"/>
  <c r="AA7" i="39"/>
  <c r="U6" i="39"/>
  <c r="T6" i="39"/>
  <c r="AB4" i="37"/>
  <c r="V4" i="37"/>
  <c r="Y4" i="37"/>
  <c r="AB3" i="37"/>
  <c r="V3" i="37"/>
  <c r="Y3" i="37"/>
  <c r="AA3" i="37"/>
  <c r="X3" i="37"/>
  <c r="AC6" i="36"/>
  <c r="Z6" i="36"/>
  <c r="W3" i="36"/>
  <c r="E3" i="36"/>
  <c r="AA7" i="36"/>
  <c r="X7" i="36"/>
  <c r="W4" i="36"/>
  <c r="E4" i="36"/>
  <c r="U6" i="36"/>
  <c r="T6" i="36"/>
  <c r="V6" i="64" l="1"/>
  <c r="S6" i="64"/>
  <c r="T3" i="64"/>
  <c r="E3" i="64"/>
  <c r="T3" i="63"/>
  <c r="E3" i="63"/>
  <c r="R5" i="64"/>
  <c r="U5" i="64" s="1"/>
  <c r="Q5" i="64"/>
  <c r="S6" i="63"/>
  <c r="V6" i="63"/>
  <c r="H4" i="64"/>
  <c r="J4" i="64" s="1"/>
  <c r="L4" i="64" s="1"/>
  <c r="G4" i="64"/>
  <c r="I4" i="64" s="1"/>
  <c r="K4" i="64" s="1"/>
  <c r="P4" i="64" s="1"/>
  <c r="W4" i="64" s="1"/>
  <c r="R5" i="63"/>
  <c r="U5" i="63" s="1"/>
  <c r="Q5" i="63"/>
  <c r="H4" i="63"/>
  <c r="J4" i="63" s="1"/>
  <c r="L4" i="63" s="1"/>
  <c r="G4" i="63"/>
  <c r="I4" i="63" s="1"/>
  <c r="K4" i="63" s="1"/>
  <c r="P4" i="63" s="1"/>
  <c r="W4" i="63" s="1"/>
  <c r="Z5" i="36"/>
  <c r="AC5" i="36"/>
  <c r="X6" i="36"/>
  <c r="AA6" i="36"/>
  <c r="U5" i="36"/>
  <c r="T5" i="36"/>
  <c r="H4" i="36"/>
  <c r="J4" i="36" s="1"/>
  <c r="L4" i="36" s="1"/>
  <c r="G4" i="36"/>
  <c r="I4" i="36" s="1"/>
  <c r="K4" i="36" s="1"/>
  <c r="S4" i="36" s="1"/>
  <c r="AA6" i="39"/>
  <c r="X6" i="39"/>
  <c r="G4" i="39"/>
  <c r="I4" i="39" s="1"/>
  <c r="K4" i="39" s="1"/>
  <c r="S4" i="39" s="1"/>
  <c r="H4" i="39"/>
  <c r="J4" i="39" s="1"/>
  <c r="L4" i="39" s="1"/>
  <c r="Y6" i="39"/>
  <c r="V6" i="39"/>
  <c r="AB6" i="39"/>
  <c r="G3" i="39"/>
  <c r="I3" i="39" s="1"/>
  <c r="K3" i="39" s="1"/>
  <c r="S3" i="39" s="1"/>
  <c r="H3" i="39"/>
  <c r="J3" i="39" s="1"/>
  <c r="L3" i="39" s="1"/>
  <c r="Z5" i="39"/>
  <c r="AC5" i="39"/>
  <c r="V6" i="36"/>
  <c r="Y6" i="36"/>
  <c r="AB6" i="36"/>
  <c r="G3" i="36"/>
  <c r="I3" i="36" s="1"/>
  <c r="K3" i="36" s="1"/>
  <c r="S3" i="36" s="1"/>
  <c r="H3" i="36"/>
  <c r="J3" i="36" s="1"/>
  <c r="L3" i="36" s="1"/>
  <c r="U5" i="39"/>
  <c r="T5" i="39"/>
  <c r="S5" i="64" l="1"/>
  <c r="V5" i="64"/>
  <c r="H3" i="64"/>
  <c r="J3" i="64" s="1"/>
  <c r="L3" i="64" s="1"/>
  <c r="G3" i="64"/>
  <c r="I3" i="64" s="1"/>
  <c r="K3" i="64" s="1"/>
  <c r="P3" i="64" s="1"/>
  <c r="W3" i="64" s="1"/>
  <c r="R4" i="63"/>
  <c r="U4" i="63" s="1"/>
  <c r="Q4" i="63"/>
  <c r="V5" i="63"/>
  <c r="S5" i="63"/>
  <c r="Q4" i="64"/>
  <c r="R4" i="64"/>
  <c r="U4" i="64" s="1"/>
  <c r="G3" i="63"/>
  <c r="I3" i="63" s="1"/>
  <c r="K3" i="63" s="1"/>
  <c r="P3" i="63" s="1"/>
  <c r="W3" i="63" s="1"/>
  <c r="H3" i="63"/>
  <c r="J3" i="63" s="1"/>
  <c r="L3" i="63" s="1"/>
  <c r="AC3" i="39"/>
  <c r="Z3" i="39"/>
  <c r="T4" i="39"/>
  <c r="U4" i="39"/>
  <c r="AC4" i="39"/>
  <c r="Z4" i="39"/>
  <c r="Z4" i="36"/>
  <c r="AC4" i="36"/>
  <c r="U3" i="36"/>
  <c r="T3" i="36"/>
  <c r="U4" i="36"/>
  <c r="T4" i="36"/>
  <c r="Z3" i="36"/>
  <c r="AC3" i="36"/>
  <c r="V5" i="39"/>
  <c r="AB5" i="39"/>
  <c r="Y5" i="39"/>
  <c r="X5" i="39"/>
  <c r="AA5" i="39"/>
  <c r="AB5" i="36"/>
  <c r="V5" i="36"/>
  <c r="Y5" i="36"/>
  <c r="U3" i="39"/>
  <c r="T3" i="39"/>
  <c r="AA5" i="36"/>
  <c r="X5" i="36"/>
  <c r="S4" i="64" l="1"/>
  <c r="V4" i="64"/>
  <c r="V4" i="63"/>
  <c r="S4" i="63"/>
  <c r="Q3" i="63"/>
  <c r="R3" i="63"/>
  <c r="U3" i="63" s="1"/>
  <c r="R3" i="64"/>
  <c r="U3" i="64" s="1"/>
  <c r="Q3" i="64"/>
  <c r="AA4" i="39"/>
  <c r="X4" i="39"/>
  <c r="AB4" i="39"/>
  <c r="V4" i="39"/>
  <c r="Y4" i="39"/>
  <c r="X3" i="39"/>
  <c r="AA3" i="39"/>
  <c r="V4" i="36"/>
  <c r="Y4" i="36"/>
  <c r="AB4" i="36"/>
  <c r="Y3" i="39"/>
  <c r="AB3" i="39"/>
  <c r="V3" i="39"/>
  <c r="AA4" i="36"/>
  <c r="X4" i="36"/>
  <c r="X3" i="36"/>
  <c r="AA3" i="36"/>
  <c r="AB3" i="36"/>
  <c r="V3" i="36"/>
  <c r="Y3" i="36"/>
  <c r="S3" i="64" l="1"/>
  <c r="V3" i="64"/>
  <c r="S3" i="63"/>
  <c r="V3" i="63"/>
</calcChain>
</file>

<file path=xl/sharedStrings.xml><?xml version="1.0" encoding="utf-8"?>
<sst xmlns="http://schemas.openxmlformats.org/spreadsheetml/2006/main" count="2733" uniqueCount="604">
  <si>
    <t>Bottom 90%</t>
  </si>
  <si>
    <t>Top 10-1%</t>
  </si>
  <si>
    <t>Top 1%</t>
  </si>
  <si>
    <t>mu</t>
  </si>
  <si>
    <t>sigma</t>
  </si>
  <si>
    <t>Year</t>
  </si>
  <si>
    <t>Norway</t>
  </si>
  <si>
    <t>Sweden</t>
  </si>
  <si>
    <t>US</t>
  </si>
  <si>
    <t>Min wage</t>
  </si>
  <si>
    <t>Mean wage</t>
  </si>
  <si>
    <t>Max wage</t>
  </si>
  <si>
    <t>Wage overview</t>
  </si>
  <si>
    <t>Lognormal parameters</t>
  </si>
  <si>
    <t>z(90)</t>
  </si>
  <si>
    <t>z(99)</t>
  </si>
  <si>
    <t>Phi(90)</t>
  </si>
  <si>
    <t>Phi(99)</t>
  </si>
  <si>
    <t>Cutoffs</t>
  </si>
  <si>
    <t>Variable conversion</t>
  </si>
  <si>
    <t>Standard normal CDF</t>
  </si>
  <si>
    <t>Results</t>
  </si>
  <si>
    <t>CPI</t>
  </si>
  <si>
    <t>2015-Jan</t>
  </si>
  <si>
    <t>CPI2</t>
  </si>
  <si>
    <t>Gini</t>
  </si>
  <si>
    <t>p90p100</t>
  </si>
  <si>
    <t>p99p100</t>
  </si>
  <si>
    <t>p99.9p100</t>
  </si>
  <si>
    <r>
      <rPr>
        <b/>
        <sz val="11"/>
        <color theme="1"/>
        <rFont val="Calibri"/>
        <family val="2"/>
        <scheme val="minor"/>
      </rPr>
      <t xml:space="preserve">sdiinc_992_j_FR
</t>
    </r>
    <r>
      <rPr>
        <b/>
        <sz val="11"/>
        <color theme="1"/>
        <rFont val="Calibri"/>
        <family val="2"/>
        <scheme val="minor"/>
      </rPr>
      <t xml:space="preserve">Post-tax national income
</t>
    </r>
    <r>
      <rPr>
        <sz val="12"/>
        <color theme="1"/>
        <rFont val="Calibri"/>
        <family val="2"/>
        <scheme val="minor"/>
      </rPr>
      <t xml:space="preserve">Top 1% | share | adults | equal split
</t>
    </r>
    <r>
      <rPr>
        <b/>
        <sz val="11"/>
        <color theme="1"/>
        <rFont val="Calibri"/>
        <family val="2"/>
        <scheme val="minor"/>
      </rPr>
      <t>France</t>
    </r>
  </si>
  <si>
    <r>
      <rPr>
        <b/>
        <sz val="11"/>
        <color theme="1"/>
        <rFont val="Calibri"/>
        <family val="2"/>
        <scheme val="minor"/>
      </rPr>
      <t xml:space="preserve">sdiinc_992_j_US
</t>
    </r>
    <r>
      <rPr>
        <b/>
        <sz val="11"/>
        <color theme="1"/>
        <rFont val="Calibri"/>
        <family val="2"/>
        <scheme val="minor"/>
      </rPr>
      <t xml:space="preserve">Post-tax national income
</t>
    </r>
    <r>
      <rPr>
        <sz val="12"/>
        <color theme="1"/>
        <rFont val="Calibri"/>
        <family val="2"/>
        <scheme val="minor"/>
      </rPr>
      <t xml:space="preserve">Top 1% | share | adults | equal split
</t>
    </r>
    <r>
      <rPr>
        <b/>
        <sz val="11"/>
        <color theme="1"/>
        <rFont val="Calibri"/>
        <family val="2"/>
        <scheme val="minor"/>
      </rPr>
      <t>USA</t>
    </r>
  </si>
  <si>
    <r>
      <rPr>
        <b/>
        <sz val="11"/>
        <color theme="1"/>
        <rFont val="Calibri"/>
        <family val="2"/>
        <scheme val="minor"/>
      </rPr>
      <t xml:space="preserve">sdiinc_992_j_SE
</t>
    </r>
    <r>
      <rPr>
        <b/>
        <sz val="11"/>
        <color theme="1"/>
        <rFont val="Calibri"/>
        <family val="2"/>
        <scheme val="minor"/>
      </rPr>
      <t xml:space="preserve">Post-tax national income
</t>
    </r>
    <r>
      <rPr>
        <sz val="12"/>
        <color theme="1"/>
        <rFont val="Calibri"/>
        <family val="2"/>
        <scheme val="minor"/>
      </rPr>
      <t xml:space="preserve">Top 1% | share | adults | equal split
</t>
    </r>
    <r>
      <rPr>
        <b/>
        <sz val="11"/>
        <color theme="1"/>
        <rFont val="Calibri"/>
        <family val="2"/>
        <scheme val="minor"/>
      </rPr>
      <t>Sweden</t>
    </r>
  </si>
  <si>
    <r>
      <rPr>
        <b/>
        <sz val="11"/>
        <color theme="1"/>
        <rFont val="Calibri"/>
        <family val="2"/>
        <scheme val="minor"/>
      </rPr>
      <t xml:space="preserve">sdiinc_992_j_DK
</t>
    </r>
    <r>
      <rPr>
        <b/>
        <sz val="11"/>
        <color theme="1"/>
        <rFont val="Calibri"/>
        <family val="2"/>
        <scheme val="minor"/>
      </rPr>
      <t xml:space="preserve">Post-tax national income
</t>
    </r>
    <r>
      <rPr>
        <sz val="12"/>
        <color theme="1"/>
        <rFont val="Calibri"/>
        <family val="2"/>
        <scheme val="minor"/>
      </rPr>
      <t xml:space="preserve">Top 1% | share | adults | equal split
</t>
    </r>
    <r>
      <rPr>
        <b/>
        <sz val="11"/>
        <color theme="1"/>
        <rFont val="Calibri"/>
        <family val="2"/>
        <scheme val="minor"/>
      </rPr>
      <t>Denmark</t>
    </r>
  </si>
  <si>
    <r>
      <rPr>
        <b/>
        <sz val="11"/>
        <color theme="1"/>
        <rFont val="Calibri"/>
        <family val="2"/>
        <scheme val="minor"/>
      </rPr>
      <t xml:space="preserve">sdiinc_992_j_NO
</t>
    </r>
    <r>
      <rPr>
        <b/>
        <sz val="11"/>
        <color theme="1"/>
        <rFont val="Calibri"/>
        <family val="2"/>
        <scheme val="minor"/>
      </rPr>
      <t xml:space="preserve">Post-tax national income
</t>
    </r>
    <r>
      <rPr>
        <sz val="12"/>
        <color theme="1"/>
        <rFont val="Calibri"/>
        <family val="2"/>
        <scheme val="minor"/>
      </rPr>
      <t xml:space="preserve">Top 1% | share | adults | equal split
</t>
    </r>
    <r>
      <rPr>
        <b/>
        <sz val="11"/>
        <color theme="1"/>
        <rFont val="Calibri"/>
        <family val="2"/>
        <scheme val="minor"/>
      </rPr>
      <t>Norway</t>
    </r>
  </si>
  <si>
    <r>
      <rPr>
        <b/>
        <sz val="11"/>
        <color theme="1"/>
        <rFont val="Calibri"/>
        <family val="2"/>
        <scheme val="minor"/>
      </rPr>
      <t xml:space="preserve">sptinc_992_j_FR
</t>
    </r>
    <r>
      <rPr>
        <b/>
        <sz val="11"/>
        <color theme="1"/>
        <rFont val="Calibri"/>
        <family val="2"/>
        <scheme val="minor"/>
      </rPr>
      <t xml:space="preserve">Pre-tax national income 
</t>
    </r>
    <r>
      <rPr>
        <sz val="12"/>
        <color theme="1"/>
        <rFont val="Calibri"/>
        <family val="2"/>
        <scheme val="minor"/>
      </rPr>
      <t xml:space="preserve">Top 1% | share | adults | equal split
</t>
    </r>
    <r>
      <rPr>
        <b/>
        <sz val="11"/>
        <color theme="1"/>
        <rFont val="Calibri"/>
        <family val="2"/>
        <scheme val="minor"/>
      </rPr>
      <t>France</t>
    </r>
  </si>
  <si>
    <r>
      <rPr>
        <b/>
        <sz val="11"/>
        <color theme="1"/>
        <rFont val="Calibri"/>
        <family val="2"/>
        <scheme val="minor"/>
      </rPr>
      <t xml:space="preserve">sptinc_992_j_US
</t>
    </r>
    <r>
      <rPr>
        <b/>
        <sz val="11"/>
        <color theme="1"/>
        <rFont val="Calibri"/>
        <family val="2"/>
        <scheme val="minor"/>
      </rPr>
      <t xml:space="preserve">Pre-tax national income 
</t>
    </r>
    <r>
      <rPr>
        <sz val="12"/>
        <color theme="1"/>
        <rFont val="Calibri"/>
        <family val="2"/>
        <scheme val="minor"/>
      </rPr>
      <t xml:space="preserve">Top 1% | share | adults | equal split
</t>
    </r>
    <r>
      <rPr>
        <b/>
        <sz val="11"/>
        <color theme="1"/>
        <rFont val="Calibri"/>
        <family val="2"/>
        <scheme val="minor"/>
      </rPr>
      <t>USA</t>
    </r>
  </si>
  <si>
    <r>
      <rPr>
        <b/>
        <sz val="11"/>
        <color theme="1"/>
        <rFont val="Calibri"/>
        <family val="2"/>
        <scheme val="minor"/>
      </rPr>
      <t xml:space="preserve">sptinc_992_j_SE
</t>
    </r>
    <r>
      <rPr>
        <b/>
        <sz val="11"/>
        <color theme="1"/>
        <rFont val="Calibri"/>
        <family val="2"/>
        <scheme val="minor"/>
      </rPr>
      <t xml:space="preserve">Pre-tax national income 
</t>
    </r>
    <r>
      <rPr>
        <sz val="12"/>
        <color theme="1"/>
        <rFont val="Calibri"/>
        <family val="2"/>
        <scheme val="minor"/>
      </rPr>
      <t xml:space="preserve">Top 1% | share | adults | equal split
</t>
    </r>
    <r>
      <rPr>
        <b/>
        <sz val="11"/>
        <color theme="1"/>
        <rFont val="Calibri"/>
        <family val="2"/>
        <scheme val="minor"/>
      </rPr>
      <t>Sweden</t>
    </r>
  </si>
  <si>
    <r>
      <rPr>
        <b/>
        <sz val="11"/>
        <color theme="1"/>
        <rFont val="Calibri"/>
        <family val="2"/>
        <scheme val="minor"/>
      </rPr>
      <t xml:space="preserve">sptinc_992_j_DK
</t>
    </r>
    <r>
      <rPr>
        <b/>
        <sz val="11"/>
        <color theme="1"/>
        <rFont val="Calibri"/>
        <family val="2"/>
        <scheme val="minor"/>
      </rPr>
      <t xml:space="preserve">Pre-tax national income 
</t>
    </r>
    <r>
      <rPr>
        <sz val="12"/>
        <color theme="1"/>
        <rFont val="Calibri"/>
        <family val="2"/>
        <scheme val="minor"/>
      </rPr>
      <t xml:space="preserve">Top 1% | share | adults | equal split
</t>
    </r>
    <r>
      <rPr>
        <b/>
        <sz val="11"/>
        <color theme="1"/>
        <rFont val="Calibri"/>
        <family val="2"/>
        <scheme val="minor"/>
      </rPr>
      <t>Denmark</t>
    </r>
  </si>
  <si>
    <r>
      <rPr>
        <b/>
        <sz val="11"/>
        <color theme="1"/>
        <rFont val="Calibri"/>
        <family val="2"/>
        <scheme val="minor"/>
      </rPr>
      <t xml:space="preserve">aptinc_992_j_FR
</t>
    </r>
    <r>
      <rPr>
        <b/>
        <sz val="11"/>
        <color theme="1"/>
        <rFont val="Calibri"/>
        <family val="2"/>
        <scheme val="minor"/>
      </rPr>
      <t xml:space="preserve">Pre-tax national income 
</t>
    </r>
    <r>
      <rPr>
        <sz val="12"/>
        <color theme="1"/>
        <rFont val="Calibri"/>
        <family val="2"/>
        <scheme val="minor"/>
      </rPr>
      <t xml:space="preserve">P99.9-100 | average income or wealth | adults | equal split | Constant local | ppp | constant (2018)
</t>
    </r>
    <r>
      <rPr>
        <b/>
        <sz val="11"/>
        <color theme="1"/>
        <rFont val="Calibri"/>
        <family val="2"/>
        <scheme val="minor"/>
      </rPr>
      <t>France</t>
    </r>
  </si>
  <si>
    <r>
      <rPr>
        <b/>
        <sz val="11"/>
        <color theme="1"/>
        <rFont val="Calibri"/>
        <family val="2"/>
        <scheme val="minor"/>
      </rPr>
      <t xml:space="preserve">aptinc_992_j_US
</t>
    </r>
    <r>
      <rPr>
        <b/>
        <sz val="11"/>
        <color theme="1"/>
        <rFont val="Calibri"/>
        <family val="2"/>
        <scheme val="minor"/>
      </rPr>
      <t xml:space="preserve">Pre-tax national income 
</t>
    </r>
    <r>
      <rPr>
        <sz val="12"/>
        <color theme="1"/>
        <rFont val="Calibri"/>
        <family val="2"/>
        <scheme val="minor"/>
      </rPr>
      <t xml:space="preserve">P99.9-100 | average income or wealth | adults | equal split | Constant local | ppp | constant (2018)
</t>
    </r>
    <r>
      <rPr>
        <b/>
        <sz val="11"/>
        <color theme="1"/>
        <rFont val="Calibri"/>
        <family val="2"/>
        <scheme val="minor"/>
      </rPr>
      <t>USA</t>
    </r>
  </si>
  <si>
    <r>
      <rPr>
        <b/>
        <sz val="11"/>
        <color theme="1"/>
        <rFont val="Calibri"/>
        <family val="2"/>
        <scheme val="minor"/>
      </rPr>
      <t xml:space="preserve">aptinc_992_j_SE
</t>
    </r>
    <r>
      <rPr>
        <b/>
        <sz val="11"/>
        <color theme="1"/>
        <rFont val="Calibri"/>
        <family val="2"/>
        <scheme val="minor"/>
      </rPr>
      <t xml:space="preserve">Pre-tax national income 
</t>
    </r>
    <r>
      <rPr>
        <sz val="12"/>
        <color theme="1"/>
        <rFont val="Calibri"/>
        <family val="2"/>
        <scheme val="minor"/>
      </rPr>
      <t xml:space="preserve">P99.9-100 | average income or wealth | adults | equal split | Constant local | ppp | constant (2018)
</t>
    </r>
    <r>
      <rPr>
        <b/>
        <sz val="11"/>
        <color theme="1"/>
        <rFont val="Calibri"/>
        <family val="2"/>
        <scheme val="minor"/>
      </rPr>
      <t>Sweden</t>
    </r>
  </si>
  <si>
    <r>
      <rPr>
        <b/>
        <sz val="11"/>
        <color theme="1"/>
        <rFont val="Calibri"/>
        <family val="2"/>
        <scheme val="minor"/>
      </rPr>
      <t xml:space="preserve">aptinc_992_j_DK
</t>
    </r>
    <r>
      <rPr>
        <b/>
        <sz val="11"/>
        <color theme="1"/>
        <rFont val="Calibri"/>
        <family val="2"/>
        <scheme val="minor"/>
      </rPr>
      <t xml:space="preserve">Pre-tax national income 
</t>
    </r>
    <r>
      <rPr>
        <sz val="12"/>
        <color theme="1"/>
        <rFont val="Calibri"/>
        <family val="2"/>
        <scheme val="minor"/>
      </rPr>
      <t xml:space="preserve">P99.9-100 | average income or wealth | adults | equal split | Constant local | ppp | constant (2018)
</t>
    </r>
    <r>
      <rPr>
        <b/>
        <sz val="11"/>
        <color theme="1"/>
        <rFont val="Calibri"/>
        <family val="2"/>
        <scheme val="minor"/>
      </rPr>
      <t>Denmark</t>
    </r>
  </si>
  <si>
    <r>
      <rPr>
        <b/>
        <sz val="11"/>
        <color theme="1"/>
        <rFont val="Calibri"/>
        <family val="2"/>
        <scheme val="minor"/>
      </rPr>
      <t xml:space="preserve">aptinc_992_j_NO
</t>
    </r>
    <r>
      <rPr>
        <b/>
        <sz val="11"/>
        <color theme="1"/>
        <rFont val="Calibri"/>
        <family val="2"/>
        <scheme val="minor"/>
      </rPr>
      <t xml:space="preserve">Pre-tax national income 
</t>
    </r>
    <r>
      <rPr>
        <sz val="12"/>
        <color theme="1"/>
        <rFont val="Calibri"/>
        <family val="2"/>
        <scheme val="minor"/>
      </rPr>
      <t xml:space="preserve">P99.9-100 | average income or wealth | adults | equal split | Constant local | ppp | constant (2018)
</t>
    </r>
    <r>
      <rPr>
        <b/>
        <sz val="11"/>
        <color theme="1"/>
        <rFont val="Calibri"/>
        <family val="2"/>
        <scheme val="minor"/>
      </rPr>
      <t>Norway</t>
    </r>
  </si>
  <si>
    <r>
      <rPr>
        <b/>
        <sz val="11"/>
        <color theme="1"/>
        <rFont val="Calibri"/>
        <family val="2"/>
        <scheme val="minor"/>
      </rPr>
      <t>Year</t>
    </r>
  </si>
  <si>
    <t>[URL][URL_LINK]http://wid.world/document/t-piketty-e-saez-g-zucman-data-appendix-to-distributional-national-accounts-methods-and-estimates-for-the-united-states-2016/[/URL_LINK][URL_TEXT]Piketty, Thomas; Saez, Emmanuel and Zucman, Gabriel (2016). Distributional National Accounts: Methods and Estimates for the United States.[/URL_TEXT][/URL]</t>
  </si>
  <si>
    <t>WID.world computations using wid.world/gpinter.</t>
  </si>
  <si>
    <t>[Post-tax national income]=[Post-tax disposable income]+[Public spending]</t>
  </si>
  <si>
    <t>Post-tax national income share held by a given percentile group. Post-tax national income is the sum of primary incomes over all sectors (private and public), minus taxes. The population is comprised of individuals over age 20. The base unit is the individual (rather than the household) but resources are split equally within couples.</t>
  </si>
  <si>
    <t>Post-tax national income. Share Adults. equal-split adults</t>
  </si>
  <si>
    <t>share</t>
  </si>
  <si>
    <t>sdiinc992j</t>
  </si>
  <si>
    <t>USA</t>
  </si>
  <si>
    <t>Pre-tax national income =Pre-tax labor income [total pre-tax income ranking]+Pre-tax capital income [total pre-tax income ranking]</t>
  </si>
  <si>
    <t>Average Pre-tax national income within a given percentile group. Pre-tax national income  is the sum of all pre-tax personal income flows accruing to the owners of the production factors, labor and capital, before taking into account the operation of the tax/transfer system, but after taking into account the operation of pension system. The central difference between personal factor income and pre-tax income is the treatment of pensions, which are counted on a contribution basis by factor income and on a distribution basis by pre-tax income. The population is comprised of individuals over age 20. The base unit is the individual (rather than the household) but resources are split equally within couples.</t>
  </si>
  <si>
    <t>Pre-tax national income. Average Adults. equal-split adults</t>
  </si>
  <si>
    <t>USD; United States dollar</t>
  </si>
  <si>
    <t>aptinc992j</t>
  </si>
  <si>
    <t>Pre-tax national income share held by a given percentile group. Pre-tax national income  is the sum of all pre-tax personal income flows accruing to the owners of the production factors, labor and capital, before taking into account the operation of the tax/transfer system, but after taking into account the operation of pension system. The central difference between personal factor income and pre-tax income is the treatment of pensions, which are counted on a contribution basis by factor income and on a distribution basis by pre-tax income. The population is comprised of individuals over age 20. The base unit is the individual (rather than the household) but resources are split equally within couples.</t>
  </si>
  <si>
    <t>Pre-tax national income. Share Adults. equal-split adults</t>
  </si>
  <si>
    <t>sptinc992j</t>
  </si>
  <si>
    <t>[URL][URL_LINK]http://wid.world/document/bcg2019-full-paper/[/URL_LINK][URL_TEXT]Blanchet, Chancel &amp; Gethin (2019), How Unequal is Europe? Evidence from Distributional National Accounts, 1980-2017[/URL_TEXT][/URL]</t>
  </si>
  <si>
    <t>SE</t>
  </si>
  <si>
    <t>SEK; Swedish krona</t>
  </si>
  <si>
    <t>NOK; Norwegian krone</t>
  </si>
  <si>
    <t>NO</t>
  </si>
  <si>
    <t>Garbinti, Goupille and Piketty (2016)</t>
  </si>
  <si>
    <t>France</t>
  </si>
  <si>
    <t>FR</t>
  </si>
  <si>
    <t>Blanchet, Chancel and Gethin (2019)</t>
  </si>
  <si>
    <t>EUR; Euro</t>
  </si>
  <si>
    <t>Denmark</t>
  </si>
  <si>
    <t>DK</t>
  </si>
  <si>
    <t>DKK; Danish krone</t>
  </si>
  <si>
    <t>Sources</t>
  </si>
  <si>
    <t>Methodological Notes</t>
  </si>
  <si>
    <t>Intuitive description</t>
  </si>
  <si>
    <t>Variable name</t>
  </si>
  <si>
    <t>Unit</t>
  </si>
  <si>
    <t>Percentile group</t>
  </si>
  <si>
    <t>WID Variable code</t>
  </si>
  <si>
    <t>Country Name</t>
  </si>
  <si>
    <t>Country Code</t>
  </si>
  <si>
    <t>Found 232.957</t>
  </si>
  <si>
    <t xml:space="preserve">According to https://en.wikipedia.org/wiki/Working_time, Norway workers work 1424 hours per year </t>
  </si>
  <si>
    <t>According to https://www.arbeidstilsynet.no/en/working-conditions/pay-and-minimum-rates-of-pay/minimum-wage/, Norway hotel, restaurant and Catering worker has a minimum  hourly wage of 167.9 NOK in 2019</t>
  </si>
  <si>
    <t>According to https://en.wikipedia.org/wiki/Working_time, Sweeden workers work 1,621 hours per year in 2016</t>
  </si>
  <si>
    <t>According to https://ec.europa.eu/eurostat/en/web/products-datasets/-/EARN_MW_CUR. In 2019 The minumum wage per month was 1522 Euro</t>
  </si>
  <si>
    <t>According to https://www.glassdoor.com/Salary/McDonald-s-Sweden-Salaries-EI_IE432.0,10_IL.11,17_IN223.htm. The wage is around 107KR for McDonald Cahsier in Sweden</t>
  </si>
  <si>
    <t>About 17872.29 USD</t>
  </si>
  <si>
    <t>Around  25898.07 USD</t>
  </si>
  <si>
    <t>Around 20292.22 usd</t>
  </si>
  <si>
    <t>According to https://en.wikipedia.org/wiki/Working_time. Average working hours is 1457 hours in Denmark</t>
  </si>
  <si>
    <t>According to U.S. Department of State https://2009-2017.state.gov/j/drl/rls/hrrpt/humanrightsreport/index.htm#wrapper, it’s around 110DKK in 2015</t>
  </si>
  <si>
    <t>Around 24283 Using 6.6 exchange rate in 2015</t>
  </si>
  <si>
    <t>Value</t>
  </si>
  <si>
    <r>
      <rPr>
        <b/>
        <sz val="11"/>
        <color theme="1"/>
        <rFont val="Calibri"/>
        <family val="2"/>
        <scheme val="minor"/>
      </rPr>
      <t xml:space="preserve">adiinc_999_t_US
</t>
    </r>
    <r>
      <rPr>
        <b/>
        <sz val="11"/>
        <color theme="1"/>
        <rFont val="Calibri"/>
        <family val="2"/>
        <scheme val="minor"/>
      </rPr>
      <t xml:space="preserve">Post-tax national income
</t>
    </r>
    <r>
      <rPr>
        <sz val="12"/>
        <color theme="1"/>
        <rFont val="Calibri"/>
        <family val="2"/>
        <scheme val="minor"/>
      </rPr>
      <t xml:space="preserve">Total population | average income or wealth | all ages | tax unit | Constant local | ppp | constant (2018)
</t>
    </r>
    <r>
      <rPr>
        <b/>
        <sz val="11"/>
        <color theme="1"/>
        <rFont val="Calibri"/>
        <family val="2"/>
        <scheme val="minor"/>
      </rPr>
      <t>USA</t>
    </r>
  </si>
  <si>
    <t>pall</t>
  </si>
  <si>
    <r>
      <rPr>
        <b/>
        <sz val="11"/>
        <color theme="1"/>
        <rFont val="Calibri"/>
        <family val="2"/>
        <scheme val="minor"/>
      </rPr>
      <t xml:space="preserve">anninc_992_i_NO
</t>
    </r>
    <r>
      <rPr>
        <b/>
        <sz val="11"/>
        <color theme="1"/>
        <rFont val="Calibri"/>
        <family val="2"/>
        <scheme val="minor"/>
      </rPr>
      <t xml:space="preserve">National income
</t>
    </r>
    <r>
      <rPr>
        <sz val="12"/>
        <color theme="1"/>
        <rFont val="Calibri"/>
        <family val="2"/>
        <scheme val="minor"/>
      </rPr>
      <t xml:space="preserve">Total population | average income or wealth | adults | individual | Constant local | ppp | constant (2018)
</t>
    </r>
    <r>
      <rPr>
        <b/>
        <sz val="11"/>
        <color theme="1"/>
        <rFont val="Calibri"/>
        <family val="2"/>
        <scheme val="minor"/>
      </rPr>
      <t>Norway</t>
    </r>
  </si>
  <si>
    <r>
      <rPr>
        <b/>
        <sz val="11"/>
        <color theme="1"/>
        <rFont val="Calibri"/>
        <family val="2"/>
        <scheme val="minor"/>
      </rPr>
      <t xml:space="preserve">anninc_992_i_SE
</t>
    </r>
    <r>
      <rPr>
        <b/>
        <sz val="11"/>
        <color theme="1"/>
        <rFont val="Calibri"/>
        <family val="2"/>
        <scheme val="minor"/>
      </rPr>
      <t xml:space="preserve">National income
</t>
    </r>
    <r>
      <rPr>
        <sz val="12"/>
        <color theme="1"/>
        <rFont val="Calibri"/>
        <family val="2"/>
        <scheme val="minor"/>
      </rPr>
      <t xml:space="preserve">Total population | average income or wealth | adults | individual | Constant local | ppp | constant (2018)
</t>
    </r>
    <r>
      <rPr>
        <b/>
        <sz val="11"/>
        <color theme="1"/>
        <rFont val="Calibri"/>
        <family val="2"/>
        <scheme val="minor"/>
      </rPr>
      <t>Sweden</t>
    </r>
  </si>
  <si>
    <r>
      <rPr>
        <b/>
        <sz val="11"/>
        <color theme="1"/>
        <rFont val="Calibri"/>
        <family val="2"/>
        <scheme val="minor"/>
      </rPr>
      <t xml:space="preserve">anninc_992_i_FR
</t>
    </r>
    <r>
      <rPr>
        <b/>
        <sz val="11"/>
        <color theme="1"/>
        <rFont val="Calibri"/>
        <family val="2"/>
        <scheme val="minor"/>
      </rPr>
      <t xml:space="preserve">National income
</t>
    </r>
    <r>
      <rPr>
        <sz val="12"/>
        <color theme="1"/>
        <rFont val="Calibri"/>
        <family val="2"/>
        <scheme val="minor"/>
      </rPr>
      <t xml:space="preserve">Total population | average income or wealth | adults | individual | Constant local | ppp | constant (2018)
</t>
    </r>
    <r>
      <rPr>
        <b/>
        <sz val="11"/>
        <color theme="1"/>
        <rFont val="Calibri"/>
        <family val="2"/>
        <scheme val="minor"/>
      </rPr>
      <t>France</t>
    </r>
  </si>
  <si>
    <r>
      <rPr>
        <b/>
        <sz val="11"/>
        <color theme="1"/>
        <rFont val="Calibri"/>
        <family val="2"/>
        <scheme val="minor"/>
      </rPr>
      <t xml:space="preserve">anninc_992_i_DK
</t>
    </r>
    <r>
      <rPr>
        <b/>
        <sz val="11"/>
        <color theme="1"/>
        <rFont val="Calibri"/>
        <family val="2"/>
        <scheme val="minor"/>
      </rPr>
      <t xml:space="preserve">National income
</t>
    </r>
    <r>
      <rPr>
        <sz val="12"/>
        <color theme="1"/>
        <rFont val="Calibri"/>
        <family val="2"/>
        <scheme val="minor"/>
      </rPr>
      <t xml:space="preserve">Total population | average income or wealth | adults | individual | Constant local | ppp | constant (2018)
</t>
    </r>
    <r>
      <rPr>
        <b/>
        <sz val="11"/>
        <color theme="1"/>
        <rFont val="Calibri"/>
        <family val="2"/>
        <scheme val="minor"/>
      </rPr>
      <t>Denmark</t>
    </r>
  </si>
  <si>
    <t>Percentile</t>
  </si>
  <si>
    <r>
      <rPr>
        <b/>
        <sz val="11"/>
        <color theme="1"/>
        <rFont val="Calibri"/>
        <family val="2"/>
        <scheme val="minor"/>
      </rPr>
      <t xml:space="preserve">anninc_992_i_US
</t>
    </r>
    <r>
      <rPr>
        <b/>
        <sz val="11"/>
        <color theme="1"/>
        <rFont val="Calibri"/>
        <family val="2"/>
        <scheme val="minor"/>
      </rPr>
      <t xml:space="preserve">National income
</t>
    </r>
    <r>
      <rPr>
        <sz val="12"/>
        <color theme="1"/>
        <rFont val="Calibri"/>
        <family val="2"/>
        <scheme val="minor"/>
      </rPr>
      <t xml:space="preserve">Total population | average income or wealth | adults | individual | Constant local | ppp | constant (2018)
</t>
    </r>
    <r>
      <rPr>
        <b/>
        <sz val="11"/>
        <color theme="1"/>
        <rFont val="Calibri"/>
        <family val="2"/>
        <scheme val="minor"/>
      </rPr>
      <t>USA</t>
    </r>
  </si>
  <si>
    <t>WID.world computations using: Piketty T. and Zucman G. (2014), Capital is Back: Wealth-Income Ratios in Rich Countries 1700-2010, Quarterly Journal of Economics, 129(3): 1255-1310. Series updated by the same authors.</t>
  </si>
  <si>
    <t>[National income]=[Net domestic product]+[Net foreign income]</t>
  </si>
  <si>
    <t>Average National income within a given percentile group. National income aims to measure the total income available to the residents of a given country. It is equal to the gross domestic product (the total value of goods and services produced on the territory of a given country during a given year), minus fixed capital used in production processes (e.g. replacement of obsolete machines or maintenance of roads) plus the net foreign income earned by residents in the rest of the world.// National income has many limitations, however it is the only income concept that has an internationally agreed definition (established by the United Nations System of National Accounts, see SNA 2008). We thus use it as our reference concept (after corrections to include income hidden in tax havens). // The national economy - in the national accounts sense - includes all domestic sectors, i.e. all entities that are resident of a given country (in the sense of their economic activity), whether they belong to the private sector, the corporate sector, the governement sector. The population is comprised of individuals over age 20. The base unit is the individual (rather than the household). This is equivalent to assuming no sharing of resources within couples.</t>
  </si>
  <si>
    <t>National income. Average Adults. individuals</t>
  </si>
  <si>
    <t>p0p100</t>
  </si>
  <si>
    <t>anninc992i</t>
  </si>
  <si>
    <t>WID.world computations using: Waldenström, Daniel (2015). Swedish National Wealth Database, v. 1.2., http://www.uueconomics.se/danielw/SNWD.htm.</t>
  </si>
  <si>
    <t>WID.world computations using: [URL][URL_LINK]http://wid.world/document/revised-extended-national-wealth-series-australia-canada-france-germany-italy-japan-uk-usa-wid-world-technical-note-2017-23/[/URL_LINK][URL_TEXT]Piketty, Thomas; Zucman, Gabriel (2014).Capital is back: Wealth-Income ratios in Rich Countries 1700-2010. Series updated by Luis Bauluz.[/URL_TEXT][/URL]</t>
  </si>
  <si>
    <t>WID.world computations using: Jakobsen K., Kleven H. and Zucman G. (in progress), How does wealth taxation affect wealth inequality? Evidence from Denmark 1980-2014.</t>
  </si>
  <si>
    <t>adiinc999t</t>
  </si>
  <si>
    <t>Post-tax national income. Average All Ages. tax unit</t>
  </si>
  <si>
    <t>Average Post-tax national income within a given percentile group. Post-tax national income is the sum of primary incomes over all sectors (private and public), minus taxes. The population is comprised of individuals of all ages. The base unit is the tax unit defined by national fiscal administrations to measure personal income taxes.</t>
  </si>
  <si>
    <t>Notes:</t>
  </si>
  <si>
    <t>RawData</t>
  </si>
  <si>
    <t>Top 1% (Pre-tax)</t>
  </si>
  <si>
    <t>Top 10%</t>
  </si>
  <si>
    <t>Max wage (Pre-Tax)</t>
  </si>
  <si>
    <t>Top 10 - 1%(Pre-Tax)</t>
  </si>
  <si>
    <t>PSI(1%) Pre-Tax</t>
  </si>
  <si>
    <t>PSI(10% to 1%) Pre-Tax</t>
  </si>
  <si>
    <t>PSI(90%) Pre-Tax</t>
  </si>
  <si>
    <t>Bottom 90% (Pre-Tax)</t>
  </si>
  <si>
    <t>Top 1% (Post-tax)</t>
  </si>
  <si>
    <t>Top 10 - 1%(Post-tax)</t>
  </si>
  <si>
    <t>Bottom 90% (Post-tax)</t>
  </si>
  <si>
    <t>PSI(1%) Post-Tax</t>
  </si>
  <si>
    <t>PSI(10% to 1%) Post-Tax</t>
  </si>
  <si>
    <t>PSI(90%) Post-Tax</t>
  </si>
  <si>
    <t>Note:</t>
  </si>
  <si>
    <t>0% from 0 kronor to 18,800 kronor</t>
  </si>
  <si>
    <t>Circa 32% (ca. 11% county and 20% municipality tax which is the Swedish average): from 18,800 kronor to 468,700 kronor</t>
  </si>
  <si>
    <t>32% + 20%: from 468,700 kronor to 675,700 kronor</t>
  </si>
  <si>
    <t>32% + 25%: above 675,700 kronor[4]</t>
  </si>
  <si>
    <t>Sweden has a flat tax rate of 30% for capital gains</t>
  </si>
  <si>
    <t>Sweden's corporation tax rate is 22%</t>
  </si>
  <si>
    <t>Assumed for each percentile the income is at the cut off</t>
  </si>
  <si>
    <t>Top 1-10%</t>
  </si>
  <si>
    <t>Assuming savings rate of 50% 40% and 20% and 5% correspongindg to top 1%, top 10%, Middle 30%, bottom 50%</t>
  </si>
  <si>
    <t>Middle 40%</t>
  </si>
  <si>
    <t>Bottom 50%</t>
  </si>
  <si>
    <t>2016 (Initial)</t>
  </si>
  <si>
    <t>Next 9%</t>
  </si>
  <si>
    <t>Tax</t>
  </si>
  <si>
    <t>Current</t>
  </si>
  <si>
    <t>Next 40%</t>
  </si>
  <si>
    <t>Next 50%</t>
  </si>
  <si>
    <t>Savings Ratio</t>
  </si>
  <si>
    <t>Saving Rate</t>
  </si>
  <si>
    <t>Capitl Tax</t>
  </si>
  <si>
    <t>Top 1% Share</t>
  </si>
  <si>
    <t>Top 1-10% Share</t>
  </si>
  <si>
    <t>Bottom 50% Share</t>
  </si>
  <si>
    <t>ll income from employment or self-employment is taxed at 8% before income tax. This tax is termed a "labour market contribution" (Danish: arbejdsmarkedsbidrag) or colloquially a "gross tax" (Danish: bruttoskat). Income below DKK 46,200 (USD 7,000) (2019-level, adjusted annually) is income tax-free, but subject to the gross tax.[9]</t>
  </si>
  <si>
    <t>The state (i.e., national) income tax has two income brackets (bottom and top). In 2019 income above DKK 46,200 is taxed at 12.16% (bottom-bracket rate), and income above DKK 513,400 is taxed an additional 15% (top-bracket rate).[9][10] In 2016, around 10% of all tax payers had sufficiently high taxable incomes to be eligible for the top-bracket tax.[11]</t>
  </si>
  <si>
    <t>50% is around 293073</t>
  </si>
  <si>
    <t>Personal income from shares (dividends as well as realized capital gains) are taxed at 27% below ca. DKK 50,000 and at 42% above the threshold</t>
  </si>
  <si>
    <t>0..2016</t>
  </si>
  <si>
    <t>MaxWage Change to Top 1% Share Change</t>
  </si>
  <si>
    <t>MinWage Change to Bottom 90% Share Change</t>
  </si>
  <si>
    <r>
      <rPr>
        <b/>
        <sz val="11"/>
        <color theme="1"/>
        <rFont val="Calibri"/>
        <family val="2"/>
        <scheme val="minor"/>
      </rPr>
      <t xml:space="preserve">tptinc_992_j_US
</t>
    </r>
    <r>
      <rPr>
        <b/>
        <sz val="11"/>
        <color theme="1"/>
        <rFont val="Calibri"/>
        <family val="2"/>
        <scheme val="minor"/>
      </rPr>
      <t xml:space="preserve">Pre-tax national income 
</t>
    </r>
    <r>
      <rPr>
        <sz val="12"/>
        <color theme="1"/>
        <rFont val="Calibri"/>
        <family val="2"/>
        <scheme val="minor"/>
      </rPr>
      <t xml:space="preserve">P99.9-100 | threshold | adults | equal split | Constant local | ppp | constant (2018)
</t>
    </r>
    <r>
      <rPr>
        <b/>
        <sz val="11"/>
        <color theme="1"/>
        <rFont val="Calibri"/>
        <family val="2"/>
        <scheme val="minor"/>
      </rPr>
      <t>USA</t>
    </r>
  </si>
  <si>
    <r>
      <rPr>
        <b/>
        <sz val="11"/>
        <color theme="1"/>
        <rFont val="Calibri"/>
        <family val="2"/>
        <scheme val="minor"/>
      </rPr>
      <t xml:space="preserve">tptinc_992_j_FR
</t>
    </r>
    <r>
      <rPr>
        <b/>
        <sz val="11"/>
        <color theme="1"/>
        <rFont val="Calibri"/>
        <family val="2"/>
        <scheme val="minor"/>
      </rPr>
      <t xml:space="preserve">Pre-tax national income 
</t>
    </r>
    <r>
      <rPr>
        <sz val="12"/>
        <color theme="1"/>
        <rFont val="Calibri"/>
        <family val="2"/>
        <scheme val="minor"/>
      </rPr>
      <t xml:space="preserve">P99.9-100 | threshold | adults | equal split | Constant local | ppp | constant (2018)
</t>
    </r>
    <r>
      <rPr>
        <b/>
        <sz val="11"/>
        <color theme="1"/>
        <rFont val="Calibri"/>
        <family val="2"/>
        <scheme val="minor"/>
      </rPr>
      <t>France</t>
    </r>
  </si>
  <si>
    <r>
      <rPr>
        <b/>
        <sz val="11"/>
        <color theme="1"/>
        <rFont val="Calibri"/>
        <family val="2"/>
        <scheme val="minor"/>
      </rPr>
      <t xml:space="preserve">tptinc_992_j_NO
</t>
    </r>
    <r>
      <rPr>
        <b/>
        <sz val="11"/>
        <color theme="1"/>
        <rFont val="Calibri"/>
        <family val="2"/>
        <scheme val="minor"/>
      </rPr>
      <t xml:space="preserve">Pre-tax national income 
</t>
    </r>
    <r>
      <rPr>
        <sz val="12"/>
        <color theme="1"/>
        <rFont val="Calibri"/>
        <family val="2"/>
        <scheme val="minor"/>
      </rPr>
      <t xml:space="preserve">P99.9-100 | threshold | adults | equal split | Constant local | ppp | constant (2018)
</t>
    </r>
    <r>
      <rPr>
        <b/>
        <sz val="11"/>
        <color theme="1"/>
        <rFont val="Calibri"/>
        <family val="2"/>
        <scheme val="minor"/>
      </rPr>
      <t>Norway</t>
    </r>
  </si>
  <si>
    <r>
      <rPr>
        <b/>
        <sz val="11"/>
        <color theme="1"/>
        <rFont val="Calibri"/>
        <family val="2"/>
        <scheme val="minor"/>
      </rPr>
      <t xml:space="preserve">tptinc_992_j_SE
</t>
    </r>
    <r>
      <rPr>
        <b/>
        <sz val="11"/>
        <color theme="1"/>
        <rFont val="Calibri"/>
        <family val="2"/>
        <scheme val="minor"/>
      </rPr>
      <t xml:space="preserve">Pre-tax national income 
</t>
    </r>
    <r>
      <rPr>
        <sz val="12"/>
        <color theme="1"/>
        <rFont val="Calibri"/>
        <family val="2"/>
        <scheme val="minor"/>
      </rPr>
      <t xml:space="preserve">P99.9-100 | threshold | adults | equal split | Constant local | ppp | constant (2018)
</t>
    </r>
    <r>
      <rPr>
        <b/>
        <sz val="11"/>
        <color theme="1"/>
        <rFont val="Calibri"/>
        <family val="2"/>
        <scheme val="minor"/>
      </rPr>
      <t>Sweden</t>
    </r>
  </si>
  <si>
    <r>
      <rPr>
        <b/>
        <sz val="11"/>
        <color theme="1"/>
        <rFont val="Calibri"/>
        <family val="2"/>
        <scheme val="minor"/>
      </rPr>
      <t xml:space="preserve">tptinc_992_j_DK
</t>
    </r>
    <r>
      <rPr>
        <b/>
        <sz val="11"/>
        <color theme="1"/>
        <rFont val="Calibri"/>
        <family val="2"/>
        <scheme val="minor"/>
      </rPr>
      <t xml:space="preserve">Pre-tax national income 
</t>
    </r>
    <r>
      <rPr>
        <sz val="12"/>
        <color theme="1"/>
        <rFont val="Calibri"/>
        <family val="2"/>
        <scheme val="minor"/>
      </rPr>
      <t xml:space="preserve">P99.9-100 | threshold | adults | equal split | Constant local | ppp | constant (2018)
</t>
    </r>
    <r>
      <rPr>
        <b/>
        <sz val="11"/>
        <color theme="1"/>
        <rFont val="Calibri"/>
        <family val="2"/>
        <scheme val="minor"/>
      </rPr>
      <t>Denmark</t>
    </r>
  </si>
  <si>
    <r>
      <rPr>
        <b/>
        <sz val="11"/>
        <color theme="1"/>
        <rFont val="Calibri"/>
        <family val="2"/>
        <scheme val="minor"/>
      </rPr>
      <t xml:space="preserve">anninc_999_i_US
</t>
    </r>
    <r>
      <rPr>
        <b/>
        <sz val="11"/>
        <color theme="1"/>
        <rFont val="Calibri"/>
        <family val="2"/>
        <scheme val="minor"/>
      </rPr>
      <t xml:space="preserve">National income
</t>
    </r>
    <r>
      <rPr>
        <sz val="12"/>
        <color theme="1"/>
        <rFont val="Calibri"/>
        <family val="2"/>
        <scheme val="minor"/>
      </rPr>
      <t xml:space="preserve">Total population | average income or wealth | all ages | individual | Constant local | ppp | constant (2018)
</t>
    </r>
    <r>
      <rPr>
        <b/>
        <sz val="11"/>
        <color theme="1"/>
        <rFont val="Calibri"/>
        <family val="2"/>
        <scheme val="minor"/>
      </rPr>
      <t>USA</t>
    </r>
  </si>
  <si>
    <r>
      <rPr>
        <b/>
        <sz val="11"/>
        <color theme="1"/>
        <rFont val="Calibri"/>
        <family val="2"/>
        <scheme val="minor"/>
      </rPr>
      <t xml:space="preserve">anninc_999_i_FR
</t>
    </r>
    <r>
      <rPr>
        <b/>
        <sz val="11"/>
        <color theme="1"/>
        <rFont val="Calibri"/>
        <family val="2"/>
        <scheme val="minor"/>
      </rPr>
      <t xml:space="preserve">National income
</t>
    </r>
    <r>
      <rPr>
        <sz val="12"/>
        <color theme="1"/>
        <rFont val="Calibri"/>
        <family val="2"/>
        <scheme val="minor"/>
      </rPr>
      <t xml:space="preserve">Total population | average income or wealth | all ages | individual | Constant local | ppp | constant (2018)
</t>
    </r>
    <r>
      <rPr>
        <b/>
        <sz val="11"/>
        <color theme="1"/>
        <rFont val="Calibri"/>
        <family val="2"/>
        <scheme val="minor"/>
      </rPr>
      <t>France</t>
    </r>
  </si>
  <si>
    <r>
      <rPr>
        <b/>
        <sz val="11"/>
        <color theme="1"/>
        <rFont val="Calibri"/>
        <family val="2"/>
        <scheme val="minor"/>
      </rPr>
      <t xml:space="preserve">anninc_999_i_NO
</t>
    </r>
    <r>
      <rPr>
        <b/>
        <sz val="11"/>
        <color theme="1"/>
        <rFont val="Calibri"/>
        <family val="2"/>
        <scheme val="minor"/>
      </rPr>
      <t xml:space="preserve">National income
</t>
    </r>
    <r>
      <rPr>
        <sz val="12"/>
        <color theme="1"/>
        <rFont val="Calibri"/>
        <family val="2"/>
        <scheme val="minor"/>
      </rPr>
      <t xml:space="preserve">Total population | average income or wealth | all ages | individual | Constant local | ppp | constant (2018)
</t>
    </r>
    <r>
      <rPr>
        <b/>
        <sz val="11"/>
        <color theme="1"/>
        <rFont val="Calibri"/>
        <family val="2"/>
        <scheme val="minor"/>
      </rPr>
      <t>Norway</t>
    </r>
  </si>
  <si>
    <r>
      <rPr>
        <b/>
        <sz val="11"/>
        <color theme="1"/>
        <rFont val="Calibri"/>
        <family val="2"/>
        <scheme val="minor"/>
      </rPr>
      <t xml:space="preserve">anninc_999_i_SE
</t>
    </r>
    <r>
      <rPr>
        <b/>
        <sz val="11"/>
        <color theme="1"/>
        <rFont val="Calibri"/>
        <family val="2"/>
        <scheme val="minor"/>
      </rPr>
      <t xml:space="preserve">National income
</t>
    </r>
    <r>
      <rPr>
        <sz val="12"/>
        <color theme="1"/>
        <rFont val="Calibri"/>
        <family val="2"/>
        <scheme val="minor"/>
      </rPr>
      <t xml:space="preserve">Total population | average income or wealth | all ages | individual | Constant local | ppp | constant (2018)
</t>
    </r>
    <r>
      <rPr>
        <b/>
        <sz val="11"/>
        <color theme="1"/>
        <rFont val="Calibri"/>
        <family val="2"/>
        <scheme val="minor"/>
      </rPr>
      <t>Sweden</t>
    </r>
  </si>
  <si>
    <r>
      <rPr>
        <b/>
        <sz val="11"/>
        <color theme="1"/>
        <rFont val="Calibri"/>
        <family val="2"/>
        <scheme val="minor"/>
      </rPr>
      <t xml:space="preserve">anninc_999_i_DK
</t>
    </r>
    <r>
      <rPr>
        <b/>
        <sz val="11"/>
        <color theme="1"/>
        <rFont val="Calibri"/>
        <family val="2"/>
        <scheme val="minor"/>
      </rPr>
      <t xml:space="preserve">National income
</t>
    </r>
    <r>
      <rPr>
        <sz val="12"/>
        <color theme="1"/>
        <rFont val="Calibri"/>
        <family val="2"/>
        <scheme val="minor"/>
      </rPr>
      <t xml:space="preserve">Total population | average income or wealth | all ages | individual | Constant local | ppp | constant (2018)
</t>
    </r>
    <r>
      <rPr>
        <b/>
        <sz val="11"/>
        <color theme="1"/>
        <rFont val="Calibri"/>
        <family val="2"/>
        <scheme val="minor"/>
      </rPr>
      <t>Denmark</t>
    </r>
  </si>
  <si>
    <t>anninc999i</t>
  </si>
  <si>
    <t>National income. Average All Ages. individuals</t>
  </si>
  <si>
    <t>Average National income within a given percentile group. National income aims to measure the total income available to the residents of a given country. It is equal to the gross domestic product (the total value of goods and services produced on the territory of a given country during a given year), minus fixed capital used in production processes (e.g. replacement of obsolete machines or maintenance of roads) plus the net foreign income earned by residents in the rest of the world.// National income has many limitations, however it is the only income concept that has an internationally agreed definition (established by the United Nations System of National Accounts, see SNA 2008). We thus use it as our reference concept (after corrections to include income hidden in tax havens). // The national economy - in the national accounts sense - includes all domestic sectors, i.e. all entities that are resident of a given country (in the sense of their economic activity), whether they belong to the private sector, the corporate sector, the governement sector. The population is comprised of individuals of all ages. The base unit is the individual (rather than the household). This is equivalent to assuming no sharing of resources within couples.</t>
  </si>
  <si>
    <t>The Average was ploted for something between 1940 and onwards</t>
  </si>
  <si>
    <t>99.9% Average</t>
  </si>
  <si>
    <r>
      <rPr>
        <b/>
        <sz val="11"/>
        <color theme="1"/>
        <rFont val="Calibri"/>
        <family val="2"/>
        <scheme val="minor"/>
      </rPr>
      <t>Percentile</t>
    </r>
  </si>
  <si>
    <r>
      <rPr>
        <b/>
        <sz val="11"/>
        <color theme="1"/>
        <rFont val="Calibri"/>
        <family val="2"/>
        <scheme val="minor"/>
      </rPr>
      <t xml:space="preserve">spllin_z_US
</t>
    </r>
    <r>
      <rPr>
        <b/>
        <sz val="11"/>
        <color theme="1"/>
        <rFont val="Calibri"/>
        <family val="2"/>
        <scheme val="minor"/>
      </rPr>
      <t xml:space="preserve">Pre-tax labor income [pre-tax labor income ranking]
</t>
    </r>
    <r>
      <rPr>
        <sz val="12"/>
        <color theme="1"/>
        <rFont val="Calibri"/>
        <family val="2"/>
        <scheme val="minor"/>
      </rPr>
      <t xml:space="preserve">Top 1% | share | adults | equal split
</t>
    </r>
    <r>
      <rPr>
        <b/>
        <sz val="11"/>
        <color theme="1"/>
        <rFont val="Calibri"/>
        <family val="2"/>
        <scheme val="minor"/>
      </rPr>
      <t>USA</t>
    </r>
  </si>
  <si>
    <r>
      <rPr>
        <b/>
        <sz val="11"/>
        <color theme="1"/>
        <rFont val="Calibri"/>
        <family val="2"/>
        <scheme val="minor"/>
      </rPr>
      <t xml:space="preserve">spllin_z_FR
</t>
    </r>
    <r>
      <rPr>
        <b/>
        <sz val="11"/>
        <color theme="1"/>
        <rFont val="Calibri"/>
        <family val="2"/>
        <scheme val="minor"/>
      </rPr>
      <t xml:space="preserve">Pre-tax labor income [pre-tax labor income ranking]
</t>
    </r>
    <r>
      <rPr>
        <sz val="12"/>
        <color theme="1"/>
        <rFont val="Calibri"/>
        <family val="2"/>
        <scheme val="minor"/>
      </rPr>
      <t xml:space="preserve">Top 1% | share | adults | equal split
</t>
    </r>
    <r>
      <rPr>
        <b/>
        <sz val="11"/>
        <color theme="1"/>
        <rFont val="Calibri"/>
        <family val="2"/>
        <scheme val="minor"/>
      </rPr>
      <t>France</t>
    </r>
  </si>
  <si>
    <r>
      <rPr>
        <b/>
        <sz val="11"/>
        <color theme="1"/>
        <rFont val="Calibri"/>
        <family val="2"/>
        <scheme val="minor"/>
      </rPr>
      <t xml:space="preserve">spllin_z_DK
</t>
    </r>
    <r>
      <rPr>
        <b/>
        <sz val="11"/>
        <color theme="1"/>
        <rFont val="Calibri"/>
        <family val="2"/>
        <scheme val="minor"/>
      </rPr>
      <t xml:space="preserve">Pre-tax labor income [pre-tax labor income ranking]
</t>
    </r>
    <r>
      <rPr>
        <sz val="12"/>
        <color theme="1"/>
        <rFont val="Calibri"/>
        <family val="2"/>
        <scheme val="minor"/>
      </rPr>
      <t xml:space="preserve">Top 1% | share | adults | equal split
</t>
    </r>
    <r>
      <rPr>
        <b/>
        <sz val="11"/>
        <color theme="1"/>
        <rFont val="Calibri"/>
        <family val="2"/>
        <scheme val="minor"/>
      </rPr>
      <t>Denmark</t>
    </r>
  </si>
  <si>
    <r>
      <rPr>
        <b/>
        <sz val="11"/>
        <color theme="1"/>
        <rFont val="Calibri"/>
        <family val="2"/>
        <scheme val="minor"/>
      </rPr>
      <t xml:space="preserve">spllin_z_SE
</t>
    </r>
    <r>
      <rPr>
        <b/>
        <sz val="11"/>
        <color theme="1"/>
        <rFont val="Calibri"/>
        <family val="2"/>
        <scheme val="minor"/>
      </rPr>
      <t xml:space="preserve">Pre-tax labor income [pre-tax labor income ranking]
</t>
    </r>
    <r>
      <rPr>
        <sz val="12"/>
        <color theme="1"/>
        <rFont val="Calibri"/>
        <family val="2"/>
        <scheme val="minor"/>
      </rPr>
      <t xml:space="preserve">Top 1% | share | adults | equal split
</t>
    </r>
    <r>
      <rPr>
        <b/>
        <sz val="11"/>
        <color theme="1"/>
        <rFont val="Calibri"/>
        <family val="2"/>
        <scheme val="minor"/>
      </rPr>
      <t>Sweden</t>
    </r>
  </si>
  <si>
    <r>
      <rPr>
        <b/>
        <sz val="11"/>
        <color theme="1"/>
        <rFont val="Calibri"/>
        <family val="2"/>
        <scheme val="minor"/>
      </rPr>
      <t xml:space="preserve">spllin_z_NO
</t>
    </r>
    <r>
      <rPr>
        <b/>
        <sz val="11"/>
        <color theme="1"/>
        <rFont val="Calibri"/>
        <family val="2"/>
        <scheme val="minor"/>
      </rPr>
      <t xml:space="preserve">Pre-tax labor income [pre-tax labor income ranking]
</t>
    </r>
    <r>
      <rPr>
        <sz val="12"/>
        <color theme="1"/>
        <rFont val="Calibri"/>
        <family val="2"/>
        <scheme val="minor"/>
      </rPr>
      <t xml:space="preserve">Top 1% | share | adults | equal split
</t>
    </r>
    <r>
      <rPr>
        <b/>
        <sz val="11"/>
        <color theme="1"/>
        <rFont val="Calibri"/>
        <family val="2"/>
        <scheme val="minor"/>
      </rPr>
      <t>Norway</t>
    </r>
  </si>
  <si>
    <t>spllin992j</t>
  </si>
  <si>
    <t>Pre-tax labor income [pre-tax labor income ranking]. Share Adults. equal-split adults</t>
  </si>
  <si>
    <t>Pre-tax labor income [pre-tax labor income ranking] share held by a given percentile group. Pre-tax labor income [pre-tax labor income ranking] is the sum of all pretax personal income flows accruing to the individual owners of labor as a production factor, before taking into account the operation of the tax/transfer system, but after taking into account the operation of pension system. The central difference between personal factor income and pretax income is the treatment of pensions, which are counted on a contribution basis by factor income and on a distribution basis by pretax income. The population is comprised of individuals over age 20. The base unit is the individual (rather than the household) but resources are split equally within couples.</t>
  </si>
  <si>
    <t>Pre-tax labor income [pre-tax labor income ranking]=Compensation of employees [pre-tax labor income ranking]+Labor component of net mixed income [pre-tax labor income ranking]+Pensions and social insurance income (labor share) [pre-tax labor income ranking]</t>
  </si>
  <si>
    <t xml:space="preserve"> </t>
  </si>
  <si>
    <t>Thresholds are rounded to the nearest integer and are therefore not always strictly increasing. In 1985, in some rare cases, missing g-percentiles have been computed by linear interpolation of surrounding percentile groups.</t>
  </si>
  <si>
    <r>
      <rPr>
        <b/>
        <sz val="11"/>
        <color theme="1"/>
        <rFont val="Calibri"/>
        <family val="2"/>
        <scheme val="minor"/>
      </rPr>
      <t xml:space="preserve">spllin_z_US
</t>
    </r>
    <r>
      <rPr>
        <b/>
        <sz val="11"/>
        <color theme="1"/>
        <rFont val="Calibri"/>
        <family val="2"/>
        <scheme val="minor"/>
      </rPr>
      <t xml:space="preserve">Pre-tax labor income [pre-tax labor income ranking]
</t>
    </r>
    <r>
      <rPr>
        <sz val="12"/>
        <color theme="1"/>
        <rFont val="Calibri"/>
        <family val="2"/>
        <scheme val="minor"/>
      </rPr>
      <t xml:space="preserve">Top 10% | share | adults | equal split
</t>
    </r>
    <r>
      <rPr>
        <b/>
        <sz val="11"/>
        <color theme="1"/>
        <rFont val="Calibri"/>
        <family val="2"/>
        <scheme val="minor"/>
      </rPr>
      <t>USA</t>
    </r>
  </si>
  <si>
    <r>
      <rPr>
        <b/>
        <sz val="11"/>
        <color theme="1"/>
        <rFont val="Calibri"/>
        <family val="2"/>
        <scheme val="minor"/>
      </rPr>
      <t xml:space="preserve">spllin_z_FR
</t>
    </r>
    <r>
      <rPr>
        <b/>
        <sz val="11"/>
        <color theme="1"/>
        <rFont val="Calibri"/>
        <family val="2"/>
        <scheme val="minor"/>
      </rPr>
      <t xml:space="preserve">Pre-tax labor income [pre-tax labor income ranking]
</t>
    </r>
    <r>
      <rPr>
        <sz val="12"/>
        <color theme="1"/>
        <rFont val="Calibri"/>
        <family val="2"/>
        <scheme val="minor"/>
      </rPr>
      <t xml:space="preserve">Top 10% | share | adults | equal split
</t>
    </r>
    <r>
      <rPr>
        <b/>
        <sz val="11"/>
        <color theme="1"/>
        <rFont val="Calibri"/>
        <family val="2"/>
        <scheme val="minor"/>
      </rPr>
      <t>France</t>
    </r>
  </si>
  <si>
    <r>
      <rPr>
        <b/>
        <sz val="11"/>
        <color theme="1"/>
        <rFont val="Calibri"/>
        <family val="2"/>
        <scheme val="minor"/>
      </rPr>
      <t xml:space="preserve">spllin_z_US
</t>
    </r>
    <r>
      <rPr>
        <b/>
        <sz val="11"/>
        <color theme="1"/>
        <rFont val="Calibri"/>
        <family val="2"/>
        <scheme val="minor"/>
      </rPr>
      <t xml:space="preserve">Pre-tax labor income [pre-tax labor income ranking]
</t>
    </r>
    <r>
      <rPr>
        <sz val="12"/>
        <color theme="1"/>
        <rFont val="Calibri"/>
        <family val="2"/>
        <scheme val="minor"/>
      </rPr>
      <t xml:space="preserve">P0-90 | share | adults | equal split
</t>
    </r>
    <r>
      <rPr>
        <b/>
        <sz val="11"/>
        <color theme="1"/>
        <rFont val="Calibri"/>
        <family val="2"/>
        <scheme val="minor"/>
      </rPr>
      <t>USA</t>
    </r>
  </si>
  <si>
    <r>
      <rPr>
        <b/>
        <sz val="11"/>
        <color theme="1"/>
        <rFont val="Calibri"/>
        <family val="2"/>
        <scheme val="minor"/>
      </rPr>
      <t xml:space="preserve">spllin_z_FR
</t>
    </r>
    <r>
      <rPr>
        <b/>
        <sz val="11"/>
        <color theme="1"/>
        <rFont val="Calibri"/>
        <family val="2"/>
        <scheme val="minor"/>
      </rPr>
      <t xml:space="preserve">Pre-tax labor income [pre-tax labor income ranking]
</t>
    </r>
    <r>
      <rPr>
        <sz val="12"/>
        <color theme="1"/>
        <rFont val="Calibri"/>
        <family val="2"/>
        <scheme val="minor"/>
      </rPr>
      <t xml:space="preserve">P0-90 | share | adults | equal split
</t>
    </r>
    <r>
      <rPr>
        <b/>
        <sz val="11"/>
        <color theme="1"/>
        <rFont val="Calibri"/>
        <family val="2"/>
        <scheme val="minor"/>
      </rPr>
      <t>France</t>
    </r>
  </si>
  <si>
    <r>
      <rPr>
        <b/>
        <sz val="11"/>
        <color theme="1"/>
        <rFont val="Calibri"/>
        <family val="2"/>
        <scheme val="minor"/>
      </rPr>
      <t xml:space="preserve">spllin_z_DK
</t>
    </r>
    <r>
      <rPr>
        <b/>
        <sz val="11"/>
        <color theme="1"/>
        <rFont val="Calibri"/>
        <family val="2"/>
        <scheme val="minor"/>
      </rPr>
      <t xml:space="preserve">Pre-tax labor income [pre-tax labor income ranking]
</t>
    </r>
    <r>
      <rPr>
        <sz val="12"/>
        <color theme="1"/>
        <rFont val="Calibri"/>
        <family val="2"/>
        <scheme val="minor"/>
      </rPr>
      <t xml:space="preserve">P0-90 | share | adults | equal split
</t>
    </r>
    <r>
      <rPr>
        <b/>
        <sz val="11"/>
        <color theme="1"/>
        <rFont val="Calibri"/>
        <family val="2"/>
        <scheme val="minor"/>
      </rPr>
      <t>Denmark</t>
    </r>
  </si>
  <si>
    <r>
      <rPr>
        <b/>
        <sz val="11"/>
        <color theme="1"/>
        <rFont val="Calibri"/>
        <family val="2"/>
        <scheme val="minor"/>
      </rPr>
      <t xml:space="preserve">spllin_z_SE
</t>
    </r>
    <r>
      <rPr>
        <b/>
        <sz val="11"/>
        <color theme="1"/>
        <rFont val="Calibri"/>
        <family val="2"/>
        <scheme val="minor"/>
      </rPr>
      <t xml:space="preserve">Pre-tax labor income [pre-tax labor income ranking]
</t>
    </r>
    <r>
      <rPr>
        <sz val="12"/>
        <color theme="1"/>
        <rFont val="Calibri"/>
        <family val="2"/>
        <scheme val="minor"/>
      </rPr>
      <t xml:space="preserve">P0-90 | share | adults | equal split
</t>
    </r>
    <r>
      <rPr>
        <b/>
        <sz val="11"/>
        <color theme="1"/>
        <rFont val="Calibri"/>
        <family val="2"/>
        <scheme val="minor"/>
      </rPr>
      <t>Sweden</t>
    </r>
  </si>
  <si>
    <r>
      <rPr>
        <b/>
        <sz val="11"/>
        <color theme="1"/>
        <rFont val="Calibri"/>
        <family val="2"/>
        <scheme val="minor"/>
      </rPr>
      <t xml:space="preserve">spllin_z_NO
</t>
    </r>
    <r>
      <rPr>
        <b/>
        <sz val="11"/>
        <color theme="1"/>
        <rFont val="Calibri"/>
        <family val="2"/>
        <scheme val="minor"/>
      </rPr>
      <t xml:space="preserve">Pre-tax labor income [pre-tax labor income ranking]
</t>
    </r>
    <r>
      <rPr>
        <sz val="12"/>
        <color theme="1"/>
        <rFont val="Calibri"/>
        <family val="2"/>
        <scheme val="minor"/>
      </rPr>
      <t xml:space="preserve">P0-90 | share | adults | equal split
</t>
    </r>
    <r>
      <rPr>
        <b/>
        <sz val="11"/>
        <color theme="1"/>
        <rFont val="Calibri"/>
        <family val="2"/>
        <scheme val="minor"/>
      </rPr>
      <t>Norway</t>
    </r>
  </si>
  <si>
    <t>p0p90</t>
  </si>
  <si>
    <t>WO</t>
  </si>
  <si>
    <t>World</t>
  </si>
  <si>
    <r>
      <rPr>
        <b/>
        <sz val="11"/>
        <color theme="1"/>
        <rFont val="Calibri"/>
        <family val="2"/>
        <scheme val="minor"/>
      </rPr>
      <t xml:space="preserve">apllin_z_US
</t>
    </r>
    <r>
      <rPr>
        <b/>
        <sz val="11"/>
        <color theme="1"/>
        <rFont val="Calibri"/>
        <family val="2"/>
        <scheme val="minor"/>
      </rPr>
      <t xml:space="preserve">Pre-tax labor income [pre-tax labor income ranking]
</t>
    </r>
    <r>
      <rPr>
        <sz val="12"/>
        <color theme="1"/>
        <rFont val="Calibri"/>
        <family val="2"/>
        <scheme val="minor"/>
      </rPr>
      <t xml:space="preserve">P0-100 | average income or wealth | adults | equal split | Constant local | market exchange | constant (2018)
</t>
    </r>
    <r>
      <rPr>
        <b/>
        <sz val="11"/>
        <color theme="1"/>
        <rFont val="Calibri"/>
        <family val="2"/>
        <scheme val="minor"/>
      </rPr>
      <t>USA</t>
    </r>
  </si>
  <si>
    <r>
      <rPr>
        <b/>
        <sz val="11"/>
        <color theme="1"/>
        <rFont val="Calibri"/>
        <family val="2"/>
        <scheme val="minor"/>
      </rPr>
      <t xml:space="preserve">apllin_z_FR
</t>
    </r>
    <r>
      <rPr>
        <b/>
        <sz val="11"/>
        <color theme="1"/>
        <rFont val="Calibri"/>
        <family val="2"/>
        <scheme val="minor"/>
      </rPr>
      <t xml:space="preserve">Pre-tax labor income [pre-tax labor income ranking]
</t>
    </r>
    <r>
      <rPr>
        <sz val="12"/>
        <color theme="1"/>
        <rFont val="Calibri"/>
        <family val="2"/>
        <scheme val="minor"/>
      </rPr>
      <t xml:space="preserve">P0-100 | average income or wealth | adults | equal split | Constant local | market exchange | constant (2018)
</t>
    </r>
    <r>
      <rPr>
        <b/>
        <sz val="11"/>
        <color theme="1"/>
        <rFont val="Calibri"/>
        <family val="2"/>
        <scheme val="minor"/>
      </rPr>
      <t>France</t>
    </r>
  </si>
  <si>
    <r>
      <rPr>
        <b/>
        <sz val="11"/>
        <color theme="1"/>
        <rFont val="Calibri"/>
        <family val="2"/>
        <scheme val="minor"/>
      </rPr>
      <t xml:space="preserve">apllin_z_DK
</t>
    </r>
    <r>
      <rPr>
        <b/>
        <sz val="11"/>
        <color theme="1"/>
        <rFont val="Calibri"/>
        <family val="2"/>
        <scheme val="minor"/>
      </rPr>
      <t xml:space="preserve">Pre-tax labor income [pre-tax labor income ranking]
</t>
    </r>
    <r>
      <rPr>
        <sz val="12"/>
        <color theme="1"/>
        <rFont val="Calibri"/>
        <family val="2"/>
        <scheme val="minor"/>
      </rPr>
      <t xml:space="preserve">P0-100 | average income or wealth | adults | equal split | Constant local | market exchange | constant (2018)
</t>
    </r>
    <r>
      <rPr>
        <b/>
        <sz val="11"/>
        <color theme="1"/>
        <rFont val="Calibri"/>
        <family val="2"/>
        <scheme val="minor"/>
      </rPr>
      <t>Denmark</t>
    </r>
  </si>
  <si>
    <r>
      <rPr>
        <b/>
        <sz val="11"/>
        <color theme="1"/>
        <rFont val="Calibri"/>
        <family val="2"/>
        <scheme val="minor"/>
      </rPr>
      <t xml:space="preserve">apllin_z_SE
</t>
    </r>
    <r>
      <rPr>
        <b/>
        <sz val="11"/>
        <color theme="1"/>
        <rFont val="Calibri"/>
        <family val="2"/>
        <scheme val="minor"/>
      </rPr>
      <t xml:space="preserve">Pre-tax labor income [pre-tax labor income ranking]
</t>
    </r>
    <r>
      <rPr>
        <sz val="12"/>
        <color theme="1"/>
        <rFont val="Calibri"/>
        <family val="2"/>
        <scheme val="minor"/>
      </rPr>
      <t xml:space="preserve">P0-100 | average income or wealth | adults | equal split | Constant local | market exchange | constant (2018)
</t>
    </r>
    <r>
      <rPr>
        <b/>
        <sz val="11"/>
        <color theme="1"/>
        <rFont val="Calibri"/>
        <family val="2"/>
        <scheme val="minor"/>
      </rPr>
      <t>Sweden</t>
    </r>
  </si>
  <si>
    <r>
      <rPr>
        <b/>
        <sz val="11"/>
        <color theme="1"/>
        <rFont val="Calibri"/>
        <family val="2"/>
        <scheme val="minor"/>
      </rPr>
      <t xml:space="preserve">apllin_z_NO
</t>
    </r>
    <r>
      <rPr>
        <b/>
        <sz val="11"/>
        <color theme="1"/>
        <rFont val="Calibri"/>
        <family val="2"/>
        <scheme val="minor"/>
      </rPr>
      <t xml:space="preserve">Pre-tax labor income [pre-tax labor income ranking]
</t>
    </r>
    <r>
      <rPr>
        <sz val="12"/>
        <color theme="1"/>
        <rFont val="Calibri"/>
        <family val="2"/>
        <scheme val="minor"/>
      </rPr>
      <t xml:space="preserve">P0-100 | average income or wealth | adults | equal split | Constant local | market exchange | constant (2018)
</t>
    </r>
    <r>
      <rPr>
        <b/>
        <sz val="11"/>
        <color theme="1"/>
        <rFont val="Calibri"/>
        <family val="2"/>
        <scheme val="minor"/>
      </rPr>
      <t>Norway</t>
    </r>
  </si>
  <si>
    <t>apllin992j</t>
  </si>
  <si>
    <t>Pre-tax labor income [pre-tax labor income ranking]. Average Adults. equal-split adults</t>
  </si>
  <si>
    <t>Average Pre-tax labor income [pre-tax labor income ranking] within a given percentile group. Pre-tax labor income [pre-tax labor income ranking] is the sum of all pretax personal income flows accruing to the individual owners of labor as a production factor, before taking into account the operation of the tax/transfer system, but after taking into account the operation of pension system. The central difference between personal factor income and pretax income is the treatment of pensions, which are counted on a contribution basis by factor income and on a distribution basis by pretax income. The population is comprised of individuals over age 20. The base unit is the individual (rather than the household) but resources are split equally within couples.</t>
  </si>
  <si>
    <r>
      <rPr>
        <b/>
        <sz val="11"/>
        <color theme="1"/>
        <rFont val="Calibri"/>
        <family val="2"/>
        <scheme val="minor"/>
      </rPr>
      <t xml:space="preserve">tpllin_z_US
</t>
    </r>
    <r>
      <rPr>
        <b/>
        <sz val="11"/>
        <color theme="1"/>
        <rFont val="Calibri"/>
        <family val="2"/>
        <scheme val="minor"/>
      </rPr>
      <t xml:space="preserve">Pre-tax labor income [pre-tax labor income ranking]
</t>
    </r>
    <r>
      <rPr>
        <sz val="12"/>
        <color theme="1"/>
        <rFont val="Calibri"/>
        <family val="2"/>
        <scheme val="minor"/>
      </rPr>
      <t xml:space="preserve">P99.9-100 | threshold | adults | equal split | Constant local | market exchange | constant (2018)
</t>
    </r>
    <r>
      <rPr>
        <b/>
        <sz val="11"/>
        <color theme="1"/>
        <rFont val="Calibri"/>
        <family val="2"/>
        <scheme val="minor"/>
      </rPr>
      <t>USA</t>
    </r>
  </si>
  <si>
    <r>
      <rPr>
        <b/>
        <sz val="11"/>
        <color theme="1"/>
        <rFont val="Calibri"/>
        <family val="2"/>
        <scheme val="minor"/>
      </rPr>
      <t xml:space="preserve">tpllin_z_FR
</t>
    </r>
    <r>
      <rPr>
        <b/>
        <sz val="11"/>
        <color theme="1"/>
        <rFont val="Calibri"/>
        <family val="2"/>
        <scheme val="minor"/>
      </rPr>
      <t xml:space="preserve">Pre-tax labor income [pre-tax labor income ranking]
</t>
    </r>
    <r>
      <rPr>
        <sz val="12"/>
        <color theme="1"/>
        <rFont val="Calibri"/>
        <family val="2"/>
        <scheme val="minor"/>
      </rPr>
      <t xml:space="preserve">P99.9-100 | threshold | adults | equal split | Constant local | market exchange | constant (2018)
</t>
    </r>
    <r>
      <rPr>
        <b/>
        <sz val="11"/>
        <color theme="1"/>
        <rFont val="Calibri"/>
        <family val="2"/>
        <scheme val="minor"/>
      </rPr>
      <t>France</t>
    </r>
  </si>
  <si>
    <r>
      <rPr>
        <b/>
        <sz val="11"/>
        <color theme="1"/>
        <rFont val="Calibri"/>
        <family val="2"/>
        <scheme val="minor"/>
      </rPr>
      <t xml:space="preserve">tpllin_z_DK
</t>
    </r>
    <r>
      <rPr>
        <b/>
        <sz val="11"/>
        <color theme="1"/>
        <rFont val="Calibri"/>
        <family val="2"/>
        <scheme val="minor"/>
      </rPr>
      <t xml:space="preserve">Pre-tax labor income [pre-tax labor income ranking]
</t>
    </r>
    <r>
      <rPr>
        <sz val="12"/>
        <color theme="1"/>
        <rFont val="Calibri"/>
        <family val="2"/>
        <scheme val="minor"/>
      </rPr>
      <t xml:space="preserve">P99.9-100 | threshold | adults | equal split | Constant local | market exchange | constant (2018)
</t>
    </r>
    <r>
      <rPr>
        <b/>
        <sz val="11"/>
        <color theme="1"/>
        <rFont val="Calibri"/>
        <family val="2"/>
        <scheme val="minor"/>
      </rPr>
      <t>Denmark</t>
    </r>
  </si>
  <si>
    <r>
      <rPr>
        <b/>
        <sz val="11"/>
        <color theme="1"/>
        <rFont val="Calibri"/>
        <family val="2"/>
        <scheme val="minor"/>
      </rPr>
      <t xml:space="preserve">tpllin_z_SE
</t>
    </r>
    <r>
      <rPr>
        <b/>
        <sz val="11"/>
        <color theme="1"/>
        <rFont val="Calibri"/>
        <family val="2"/>
        <scheme val="minor"/>
      </rPr>
      <t xml:space="preserve">Pre-tax labor income [pre-tax labor income ranking]
</t>
    </r>
    <r>
      <rPr>
        <sz val="12"/>
        <color theme="1"/>
        <rFont val="Calibri"/>
        <family val="2"/>
        <scheme val="minor"/>
      </rPr>
      <t xml:space="preserve">P99.9-100 | threshold | adults | equal split | Constant local | market exchange | constant (2018)
</t>
    </r>
    <r>
      <rPr>
        <b/>
        <sz val="11"/>
        <color theme="1"/>
        <rFont val="Calibri"/>
        <family val="2"/>
        <scheme val="minor"/>
      </rPr>
      <t>Sweden</t>
    </r>
  </si>
  <si>
    <r>
      <rPr>
        <b/>
        <sz val="11"/>
        <color theme="1"/>
        <rFont val="Calibri"/>
        <family val="2"/>
        <scheme val="minor"/>
      </rPr>
      <t xml:space="preserve">tpllin_z_NO
</t>
    </r>
    <r>
      <rPr>
        <b/>
        <sz val="11"/>
        <color theme="1"/>
        <rFont val="Calibri"/>
        <family val="2"/>
        <scheme val="minor"/>
      </rPr>
      <t xml:space="preserve">Pre-tax labor income [pre-tax labor income ranking]
</t>
    </r>
    <r>
      <rPr>
        <sz val="12"/>
        <color theme="1"/>
        <rFont val="Calibri"/>
        <family val="2"/>
        <scheme val="minor"/>
      </rPr>
      <t xml:space="preserve">P99.9-100 | threshold | adults | equal split | Constant local | market exchange | constant (2018)
</t>
    </r>
    <r>
      <rPr>
        <b/>
        <sz val="11"/>
        <color theme="1"/>
        <rFont val="Calibri"/>
        <family val="2"/>
        <scheme val="minor"/>
      </rPr>
      <t>Norway</t>
    </r>
  </si>
  <si>
    <t>tpllin992j</t>
  </si>
  <si>
    <t>Pre-tax labor income [pre-tax labor income ranking]. Threshold Adults. equal-split adults</t>
  </si>
  <si>
    <t>Pre-tax labor income [pre-tax labor income ranking] threshold value at a given percentile.  Pre-tax labor income [pre-tax labor income ranking] is the sum of all pretax personal income flows accruing to the individual owners of labor as a production factor, before taking into account the operation of the tax/transfer system, but after taking into account the operation of pension system. The central difference between personal factor income and pretax income is the treatment of pensions, which are counted on a contribution basis by factor income and on a distribution basis by pretax income. The population is comprised of individuals over age 20. The base unit is the individual (rather than the household) but resources are split equally within couples.</t>
  </si>
  <si>
    <r>
      <rPr>
        <b/>
        <sz val="11"/>
        <color theme="1"/>
        <rFont val="Calibri"/>
        <family val="2"/>
        <scheme val="minor"/>
      </rPr>
      <t xml:space="preserve">apllin_z_FR
</t>
    </r>
    <r>
      <rPr>
        <b/>
        <sz val="11"/>
        <color theme="1"/>
        <rFont val="Calibri"/>
        <family val="2"/>
        <scheme val="minor"/>
      </rPr>
      <t xml:space="preserve">Pre-tax labor income [pre-tax labor income ranking]
</t>
    </r>
    <r>
      <rPr>
        <sz val="12"/>
        <color theme="1"/>
        <rFont val="Calibri"/>
        <family val="2"/>
        <scheme val="minor"/>
      </rPr>
      <t xml:space="preserve">P99.9-100 | average income or wealth | adults | equal split | Constant local | market exchange | constant (2018)
</t>
    </r>
    <r>
      <rPr>
        <b/>
        <sz val="11"/>
        <color theme="1"/>
        <rFont val="Calibri"/>
        <family val="2"/>
        <scheme val="minor"/>
      </rPr>
      <t>France</t>
    </r>
  </si>
  <si>
    <r>
      <rPr>
        <b/>
        <sz val="11"/>
        <color theme="1"/>
        <rFont val="Calibri"/>
        <family val="2"/>
        <scheme val="minor"/>
      </rPr>
      <t xml:space="preserve">apllin_z_US
</t>
    </r>
    <r>
      <rPr>
        <b/>
        <sz val="11"/>
        <color theme="1"/>
        <rFont val="Calibri"/>
        <family val="2"/>
        <scheme val="minor"/>
      </rPr>
      <t xml:space="preserve">Pre-tax labor income [pre-tax labor income ranking]
</t>
    </r>
    <r>
      <rPr>
        <sz val="12"/>
        <color theme="1"/>
        <rFont val="Calibri"/>
        <family val="2"/>
        <scheme val="minor"/>
      </rPr>
      <t xml:space="preserve">P99.9-100 | average income or wealth | adults | equal split | Constant local | market exchange | constant (2018)
</t>
    </r>
    <r>
      <rPr>
        <b/>
        <sz val="11"/>
        <color theme="1"/>
        <rFont val="Calibri"/>
        <family val="2"/>
        <scheme val="minor"/>
      </rPr>
      <t>USA</t>
    </r>
  </si>
  <si>
    <t>2014 (Initial)</t>
  </si>
  <si>
    <t>Formula: Last Wealth + (1 - tax rate) * income * savings ratio + last wealth * (0.09) * (1 - capital gain tax)</t>
  </si>
  <si>
    <t>Max wage (99.9% Threshold)</t>
  </si>
  <si>
    <t>According to https://en.wikipedia.org/wiki/Working_time. Average working hours is about 1790 hours in USA</t>
  </si>
  <si>
    <t>Historical data for minimum wage is from https://www.dol.gov/agencies/whd/minimum-wage/history/chart</t>
  </si>
  <si>
    <t>Max Wage (99.9% Average)</t>
  </si>
  <si>
    <t>Min wage (Years before 1980 are deflated by 2% infaltion rate)</t>
  </si>
  <si>
    <t>LOCATION</t>
  </si>
  <si>
    <t>INDICATOR</t>
  </si>
  <si>
    <t>SUBJECT</t>
  </si>
  <si>
    <t>MEASURE</t>
  </si>
  <si>
    <t>FREQUENCY</t>
  </si>
  <si>
    <t>TIME</t>
  </si>
  <si>
    <t>DNK</t>
  </si>
  <si>
    <t>PPP</t>
  </si>
  <si>
    <t>TOT</t>
  </si>
  <si>
    <t>NATUSD</t>
  </si>
  <si>
    <t>A</t>
  </si>
  <si>
    <t>30626.6949</t>
  </si>
  <si>
    <t>30419.8458</t>
  </si>
  <si>
    <t>31725.9557</t>
  </si>
  <si>
    <t>34644.2691</t>
  </si>
  <si>
    <t>35619.0509</t>
  </si>
  <si>
    <t>38053.3923</t>
  </si>
  <si>
    <t>38513.7402</t>
  </si>
  <si>
    <t>37860.9027</t>
  </si>
  <si>
    <t>Max wage (95% Threshold)</t>
  </si>
  <si>
    <t>59641.5703</t>
  </si>
  <si>
    <t>61000.8477</t>
  </si>
  <si>
    <t>64342.1992</t>
  </si>
  <si>
    <t>69682.5117</t>
  </si>
  <si>
    <t>71551.6172</t>
  </si>
  <si>
    <t>75627.9687</t>
  </si>
  <si>
    <t>77951.6406</t>
  </si>
  <si>
    <t>78750.8359</t>
  </si>
  <si>
    <t>Top 5% (Pre-tax)</t>
  </si>
  <si>
    <t>datasets  : DK87 Denmark 1987</t>
  </si>
  <si>
    <t xml:space="preserve">          : DK92 Denmark 1992</t>
  </si>
  <si>
    <t xml:space="preserve">          : DK95 Denmark 1995</t>
  </si>
  <si>
    <t xml:space="preserve">          : DK00 Denmark 2000</t>
  </si>
  <si>
    <t xml:space="preserve">          : DK04 Denmark 2004</t>
  </si>
  <si>
    <t xml:space="preserve">          : DK07 Denmark 2007</t>
  </si>
  <si>
    <t xml:space="preserve">          : DK10 Denmark 2010</t>
  </si>
  <si>
    <t xml:space="preserve">          : DK13 Denmark 2013</t>
  </si>
  <si>
    <t xml:space="preserve">          : NO79 Norway 1979</t>
  </si>
  <si>
    <t xml:space="preserve">          : NO86 Norway 1986</t>
  </si>
  <si>
    <t xml:space="preserve">          : NO91 Norway 1991</t>
  </si>
  <si>
    <t xml:space="preserve">          : NO95 Norway 1995</t>
  </si>
  <si>
    <t xml:space="preserve">          : NO00 Norway 2000</t>
  </si>
  <si>
    <t xml:space="preserve">          : NO04 Norway 2004</t>
  </si>
  <si>
    <t xml:space="preserve">          : NO07 Norway 2007</t>
  </si>
  <si>
    <t xml:space="preserve">          : NO10 Norway 2010</t>
  </si>
  <si>
    <t xml:space="preserve">          : NO13 Norway 2013</t>
  </si>
  <si>
    <t xml:space="preserve">          : SE81 Sweden 1981</t>
  </si>
  <si>
    <t xml:space="preserve">          : SE87 Sweden 1987</t>
  </si>
  <si>
    <t xml:space="preserve">          : SE92 Sweden 1992</t>
  </si>
  <si>
    <t xml:space="preserve">          : SE95 Sweden 1995</t>
  </si>
  <si>
    <t xml:space="preserve">          : SE00 Sweden 2000</t>
  </si>
  <si>
    <t xml:space="preserve">          : SE05 Sweden 2005</t>
  </si>
  <si>
    <t>continous variables : EHILG Equivalized household gross labour income</t>
  </si>
  <si>
    <t>variable</t>
  </si>
  <si>
    <t>dataset</t>
  </si>
  <si>
    <t>weight</t>
  </si>
  <si>
    <t>mean</t>
  </si>
  <si>
    <t>std</t>
  </si>
  <si>
    <t>p5</t>
  </si>
  <si>
    <t>p10</t>
  </si>
  <si>
    <t>p25</t>
  </si>
  <si>
    <t>median</t>
  </si>
  <si>
    <t>p75</t>
  </si>
  <si>
    <t>p90</t>
  </si>
  <si>
    <t>p95</t>
  </si>
  <si>
    <t>gini</t>
  </si>
  <si>
    <t>EHILG</t>
  </si>
  <si>
    <t>DK87</t>
  </si>
  <si>
    <t>Sample Unit</t>
  </si>
  <si>
    <t>17970.8292</t>
  </si>
  <si>
    <t>2342.8662</t>
  </si>
  <si>
    <t>6987.1655</t>
  </si>
  <si>
    <t>18445.3594</t>
  </si>
  <si>
    <t>30568.3242</t>
  </si>
  <si>
    <t>40870.5469</t>
  </si>
  <si>
    <t>51967.7305</t>
  </si>
  <si>
    <t>0.3208</t>
  </si>
  <si>
    <t>DK92</t>
  </si>
  <si>
    <t>18749.0456</t>
  </si>
  <si>
    <t>1779.4908</t>
  </si>
  <si>
    <t>5580.1758</t>
  </si>
  <si>
    <t>17177.1445</t>
  </si>
  <si>
    <t>30288.4668</t>
  </si>
  <si>
    <t>41259.8242</t>
  </si>
  <si>
    <t>53138.6992</t>
  </si>
  <si>
    <t>0.3363</t>
  </si>
  <si>
    <t>DK95</t>
  </si>
  <si>
    <t>19984.5406</t>
  </si>
  <si>
    <t>1781.3260</t>
  </si>
  <si>
    <t>5849.5940</t>
  </si>
  <si>
    <t>18107.3691</t>
  </si>
  <si>
    <t>31020.1914</t>
  </si>
  <si>
    <t>42878.0430</t>
  </si>
  <si>
    <t>55387.6387</t>
  </si>
  <si>
    <t>0.3392</t>
  </si>
  <si>
    <t>DK00</t>
  </si>
  <si>
    <t>21742.0516</t>
  </si>
  <si>
    <t>2234.7935</t>
  </si>
  <si>
    <t>7338.7764</t>
  </si>
  <si>
    <t>20153.2207</t>
  </si>
  <si>
    <t>33678.1758</t>
  </si>
  <si>
    <t>46205.5957</t>
  </si>
  <si>
    <t>59487.5332</t>
  </si>
  <si>
    <t>0.3331</t>
  </si>
  <si>
    <t>DK04</t>
  </si>
  <si>
    <t>22729.1722</t>
  </si>
  <si>
    <t>2300.4614</t>
  </si>
  <si>
    <t>7544.8818</t>
  </si>
  <si>
    <t>20547.7227</t>
  </si>
  <si>
    <t>34418.9316</t>
  </si>
  <si>
    <t>47776.6328</t>
  </si>
  <si>
    <t>61417.0352</t>
  </si>
  <si>
    <t>0.3362</t>
  </si>
  <si>
    <t>DK07</t>
  </si>
  <si>
    <t>24554.1095</t>
  </si>
  <si>
    <t>2941.8267</t>
  </si>
  <si>
    <t>9229.9961</t>
  </si>
  <si>
    <t>22477.8555</t>
  </si>
  <si>
    <t>36792.2109</t>
  </si>
  <si>
    <t>50151.6641</t>
  </si>
  <si>
    <t>64577.5215</t>
  </si>
  <si>
    <t>0.3278</t>
  </si>
  <si>
    <t>DK10</t>
  </si>
  <si>
    <t>29376.0547</t>
  </si>
  <si>
    <t>2644.3630</t>
  </si>
  <si>
    <t>8388.4233</t>
  </si>
  <si>
    <t>21891.3906</t>
  </si>
  <si>
    <t>36466.3555</t>
  </si>
  <si>
    <t>50776.7539</t>
  </si>
  <si>
    <t>65890.3281</t>
  </si>
  <si>
    <t>0.3460</t>
  </si>
  <si>
    <t>DK13</t>
  </si>
  <si>
    <t>28899.1514</t>
  </si>
  <si>
    <t>1675.7531</t>
  </si>
  <si>
    <t>6799.4331</t>
  </si>
  <si>
    <t>20913.6797</t>
  </si>
  <si>
    <t>35752.0312</t>
  </si>
  <si>
    <t>50481.9453</t>
  </si>
  <si>
    <t>66309.7539</t>
  </si>
  <si>
    <t>0.3567</t>
  </si>
  <si>
    <t>NO79</t>
  </si>
  <si>
    <t>23189.8598</t>
  </si>
  <si>
    <t>26309.1983</t>
  </si>
  <si>
    <t>661.9575</t>
  </si>
  <si>
    <t>1783.5128</t>
  </si>
  <si>
    <t>10740.9814</t>
  </si>
  <si>
    <t>19314.2412</t>
  </si>
  <si>
    <t>28022.8672</t>
  </si>
  <si>
    <t>39825.3496</t>
  </si>
  <si>
    <t>55284.8125</t>
  </si>
  <si>
    <t>0.4465</t>
  </si>
  <si>
    <t>NO86</t>
  </si>
  <si>
    <t>24714.6731</t>
  </si>
  <si>
    <t>14198.0948</t>
  </si>
  <si>
    <t>2038.6370</t>
  </si>
  <si>
    <t>5593.4775</t>
  </si>
  <si>
    <t>15343.7227</t>
  </si>
  <si>
    <t>23996.7168</t>
  </si>
  <si>
    <t>33489.6641</t>
  </si>
  <si>
    <t>42526.1445</t>
  </si>
  <si>
    <t>48108.8691</t>
  </si>
  <si>
    <t>0.3181</t>
  </si>
  <si>
    <t>NO91</t>
  </si>
  <si>
    <t>19738.2522</t>
  </si>
  <si>
    <t>14511.8587</t>
  </si>
  <si>
    <t>703.9919</t>
  </si>
  <si>
    <t>2152.5203</t>
  </si>
  <si>
    <t>8482.7227</t>
  </si>
  <si>
    <t>17749.6973</t>
  </si>
  <si>
    <t>28228.4189</t>
  </si>
  <si>
    <t>38951.9141</t>
  </si>
  <si>
    <t>45603.3437</t>
  </si>
  <si>
    <t>0.4025</t>
  </si>
  <si>
    <t>NO95</t>
  </si>
  <si>
    <t>23488.0599</t>
  </si>
  <si>
    <t>15974.2943</t>
  </si>
  <si>
    <t>935.8208</t>
  </si>
  <si>
    <t>3189.7034</t>
  </si>
  <si>
    <t>11650.8740</t>
  </si>
  <si>
    <t>22571.3603</t>
  </si>
  <si>
    <t>32837.8086</t>
  </si>
  <si>
    <t>43110.8516</t>
  </si>
  <si>
    <t>50684.6992</t>
  </si>
  <si>
    <t>0.3710</t>
  </si>
  <si>
    <t>NO00</t>
  </si>
  <si>
    <t>28949.3359</t>
  </si>
  <si>
    <t>18911.3299</t>
  </si>
  <si>
    <t>2054.2920</t>
  </si>
  <si>
    <t>5806.2532</t>
  </si>
  <si>
    <t>15911.3213</t>
  </si>
  <si>
    <t>27287.3848</t>
  </si>
  <si>
    <t>39027.8477</t>
  </si>
  <si>
    <t>51687.0000</t>
  </si>
  <si>
    <t>60953.8398</t>
  </si>
  <si>
    <t>0.3512</t>
  </si>
  <si>
    <t>NO04</t>
  </si>
  <si>
    <t>32113.4150</t>
  </si>
  <si>
    <t>21235.5199</t>
  </si>
  <si>
    <t>2165.8904</t>
  </si>
  <si>
    <t>6107.7788</t>
  </si>
  <si>
    <t>18041.2676</t>
  </si>
  <si>
    <t>30407.3262</t>
  </si>
  <si>
    <t>43251.9492</t>
  </si>
  <si>
    <t>56765.9453</t>
  </si>
  <si>
    <t>67156.6953</t>
  </si>
  <si>
    <t>0.3501</t>
  </si>
  <si>
    <t>NO07</t>
  </si>
  <si>
    <t>35975.5388</t>
  </si>
  <si>
    <t>26719.3492</t>
  </si>
  <si>
    <t>2313.6357</t>
  </si>
  <si>
    <t>6559.2036</t>
  </si>
  <si>
    <t>19211.6387</t>
  </si>
  <si>
    <t>33616.0312</t>
  </si>
  <si>
    <t>48060.1445</t>
  </si>
  <si>
    <t>64268.8750</t>
  </si>
  <si>
    <t>76425.6484</t>
  </si>
  <si>
    <t>0.3627</t>
  </si>
  <si>
    <t>NO10</t>
  </si>
  <si>
    <t>38078.1195</t>
  </si>
  <si>
    <t>27710.2479</t>
  </si>
  <si>
    <t>2312.4939</t>
  </si>
  <si>
    <t>6729.2109</t>
  </si>
  <si>
    <t>20182.7168</t>
  </si>
  <si>
    <t>35368.4023</t>
  </si>
  <si>
    <t>50895.1328</t>
  </si>
  <si>
    <t>68266.3750</t>
  </si>
  <si>
    <t>81726.1562</t>
  </si>
  <si>
    <t>0.3664</t>
  </si>
  <si>
    <t>NO13</t>
  </si>
  <si>
    <t>41947.3434</t>
  </si>
  <si>
    <t>32919.5122</t>
  </si>
  <si>
    <t>2473.0532</t>
  </si>
  <si>
    <t>7508.1123</t>
  </si>
  <si>
    <t>22419.5625</t>
  </si>
  <si>
    <t>38552.4590</t>
  </si>
  <si>
    <t>55515.8086</t>
  </si>
  <si>
    <t>74781.2812</t>
  </si>
  <si>
    <t>89958.4219</t>
  </si>
  <si>
    <t>0.3689</t>
  </si>
  <si>
    <t>SE81</t>
  </si>
  <si>
    <t>17271.7715</t>
  </si>
  <si>
    <t>14064.6496</t>
  </si>
  <si>
    <t>289.8445</t>
  </si>
  <si>
    <t>1077.9126</t>
  </si>
  <si>
    <t>6178.2642</t>
  </si>
  <si>
    <t>14886.0122</t>
  </si>
  <si>
    <t>25185.9609</t>
  </si>
  <si>
    <t>36004.9102</t>
  </si>
  <si>
    <t>43285.3184</t>
  </si>
  <si>
    <t>0.4417</t>
  </si>
  <si>
    <t>SE87</t>
  </si>
  <si>
    <t>19227.5503</t>
  </si>
  <si>
    <t>12787.7018</t>
  </si>
  <si>
    <t>626.6328</t>
  </si>
  <si>
    <t>2795.3137</t>
  </si>
  <si>
    <t>10290.4404</t>
  </si>
  <si>
    <t>18538.8730</t>
  </si>
  <si>
    <t>26426.8711</t>
  </si>
  <si>
    <t>34333.2109</t>
  </si>
  <si>
    <t>40455.5273</t>
  </si>
  <si>
    <t>0.3587</t>
  </si>
  <si>
    <t>SE92</t>
  </si>
  <si>
    <t>21697.9264</t>
  </si>
  <si>
    <t>14803.0441</t>
  </si>
  <si>
    <t>1022.1054</t>
  </si>
  <si>
    <t>3664.3599</t>
  </si>
  <si>
    <t>11256.9053</t>
  </si>
  <si>
    <t>20347.8984</t>
  </si>
  <si>
    <t>29482.2539</t>
  </si>
  <si>
    <t>39649.2812</t>
  </si>
  <si>
    <t>47769.4961</t>
  </si>
  <si>
    <t>0.3660</t>
  </si>
  <si>
    <t>SE95</t>
  </si>
  <si>
    <t>21583.4307</t>
  </si>
  <si>
    <t>16018.2303</t>
  </si>
  <si>
    <t>673.9601</t>
  </si>
  <si>
    <t>2906.6856</t>
  </si>
  <si>
    <t>10954.2920</t>
  </si>
  <si>
    <t>19876.4687</t>
  </si>
  <si>
    <t>29125.9932</t>
  </si>
  <si>
    <t>39547.8496</t>
  </si>
  <si>
    <t>47767.2930</t>
  </si>
  <si>
    <t>0.3809</t>
  </si>
  <si>
    <t>SE00</t>
  </si>
  <si>
    <t>27478.0368</t>
  </si>
  <si>
    <t>21897.3450</t>
  </si>
  <si>
    <t>1212.0327</t>
  </si>
  <si>
    <t>4955.7949</t>
  </si>
  <si>
    <t>14728.8398</t>
  </si>
  <si>
    <t>25085.5215</t>
  </si>
  <si>
    <t>36145.1055</t>
  </si>
  <si>
    <t>49122.6797</t>
  </si>
  <si>
    <t>59854.3281</t>
  </si>
  <si>
    <t>0.3706</t>
  </si>
  <si>
    <t>SE05</t>
  </si>
  <si>
    <t>30028.2852</t>
  </si>
  <si>
    <t>27995.1745</t>
  </si>
  <si>
    <t>1398.8445</t>
  </si>
  <si>
    <t>5359.4170</t>
  </si>
  <si>
    <t>16285.6338</t>
  </si>
  <si>
    <t>27224.5625</t>
  </si>
  <si>
    <t>39112.1445</t>
  </si>
  <si>
    <t>52722.6484</t>
  </si>
  <si>
    <t>64393.4961</t>
  </si>
  <si>
    <t>0.3745</t>
  </si>
  <si>
    <t>Share Percentage (Top 5% )</t>
  </si>
  <si>
    <t>Share Percentage (Top 5% - Top 10% )</t>
  </si>
  <si>
    <t>Share Percentage (Bottom 90% )</t>
  </si>
  <si>
    <t>Top 5-10 %(Pre-Tax)</t>
  </si>
  <si>
    <t>z(95)</t>
  </si>
  <si>
    <t>PSI(5%) Pre-Tax</t>
  </si>
  <si>
    <t>Top 5%</t>
  </si>
  <si>
    <t>Top 5% to 10%</t>
  </si>
  <si>
    <t>Phi(95)</t>
  </si>
  <si>
    <t>PSI(10% to 5%) Pre-Tax</t>
  </si>
  <si>
    <t xml:space="preserve">Mean wage </t>
  </si>
  <si>
    <t>Difference</t>
  </si>
  <si>
    <t>1980 (Initial)</t>
  </si>
  <si>
    <t>INDEX</t>
  </si>
  <si>
    <t>Back to Index</t>
  </si>
  <si>
    <t>Data</t>
  </si>
  <si>
    <t>Metadata</t>
  </si>
  <si>
    <t>Minimum Deflation Total</t>
  </si>
  <si>
    <t>Norway Model Year by Year</t>
  </si>
  <si>
    <t>Wealth Growth Norway</t>
  </si>
  <si>
    <t>Sweden Model Year by Year</t>
  </si>
  <si>
    <t>Wealth Growth Sweden</t>
  </si>
  <si>
    <t>Denmark Labor Year by Year Thre</t>
  </si>
  <si>
    <t>Denmark Model Year by Year</t>
  </si>
  <si>
    <t>Wealth Growth Denmark</t>
  </si>
  <si>
    <t>France Labor Year by Year Thre</t>
  </si>
  <si>
    <t>France Cpital Year by Year Thre</t>
  </si>
  <si>
    <t>France Model Year by Year</t>
  </si>
  <si>
    <t>Wealth Growth USA from real</t>
  </si>
  <si>
    <t>Wealth Growth USA</t>
  </si>
  <si>
    <t>USA Labor Year by Year Thres</t>
  </si>
  <si>
    <t>USA Labor Year by Year Max Avg</t>
  </si>
  <si>
    <t>USA Cpital Year by Year Thres</t>
  </si>
  <si>
    <t>USA Capital Year by Year Avg</t>
  </si>
  <si>
    <t>Top 1% Labor Share</t>
  </si>
  <si>
    <t>Top 1% Labor Share MetaData</t>
  </si>
  <si>
    <t>Top 10% Labor Share</t>
  </si>
  <si>
    <t>Top 10% Labor Share MetaData</t>
  </si>
  <si>
    <t>Bottom 90% Labor Share</t>
  </si>
  <si>
    <t>Bottom 90% Labor Share Meta</t>
  </si>
  <si>
    <t>Average Labor Income</t>
  </si>
  <si>
    <t>Average Labor Income meta</t>
  </si>
  <si>
    <t>99.9% Threshold Labor</t>
  </si>
  <si>
    <t>99.9% Threshold Labor Meta</t>
  </si>
  <si>
    <t>99.9% Average Labor</t>
  </si>
  <si>
    <t>99.9% Average Labor meta</t>
  </si>
  <si>
    <t>DNK to PPP</t>
  </si>
  <si>
    <t>Lissy webtabulator</t>
  </si>
  <si>
    <t>CPI data for USA, used to deflate income</t>
  </si>
  <si>
    <t>Most of the data from WID are in this sheet</t>
  </si>
  <si>
    <t>Metadata for the data in the data sheet</t>
  </si>
  <si>
    <t>All minimum wage calculation, assumptions are in this sheet</t>
  </si>
  <si>
    <t>Norway income distribution with no deflation, income includes capital gains</t>
  </si>
  <si>
    <t>Wealth Growth model for Norway</t>
  </si>
  <si>
    <t>Sweden income distribution with no deflation, income includes capital gains</t>
  </si>
  <si>
    <t>Wealth Growth model for Sweden</t>
  </si>
  <si>
    <t>Sweden income distribution with no deflation, income includes capital gains.</t>
  </si>
  <si>
    <t>Wealth Growth model for Denmark</t>
  </si>
  <si>
    <t>Franch income distribution with deflation, labour income. Data from WID</t>
  </si>
  <si>
    <t>Denmark income distribution with no deflation, but the original data was in 2011 ppp, so translated to 2018 DNK. labour income, top 5% income cut off for maximum. Data from LIS</t>
  </si>
  <si>
    <t>Franch income distribution with deflation, include capital income. Data from WID</t>
  </si>
  <si>
    <t>Wealth simulation for U.S.. Starting from 1980 actual distribution.</t>
  </si>
  <si>
    <t>Wealth simulation for U.S.. Starting from 2014 ideal distribution.</t>
  </si>
  <si>
    <t>USA income distribution with deflation, labour income. Data from WID. Max use 99.9% threshold</t>
  </si>
  <si>
    <t>USA income distribution with deflation, labour income. Data from WID. Max use 99.9% average</t>
  </si>
  <si>
    <t>USA income distribution with deflation, with captial income. Data from WID. Max use 99.9% average</t>
  </si>
  <si>
    <t>USA income distribution with deflation, with captial income. Data from WID. Max use 99.9% threshold</t>
  </si>
  <si>
    <t>Data for top 1% labor share data from WID</t>
  </si>
  <si>
    <t>Danish Krone to PPP</t>
  </si>
  <si>
    <t>Data for Scandinivian labour income data, in 2011 PPP. From LIS.</t>
  </si>
  <si>
    <t>Data for top 10% labor share data from WID</t>
  </si>
  <si>
    <t>Data for Bottom 90% labor share data from WID</t>
  </si>
  <si>
    <t>Data for average labor income data from WID</t>
  </si>
  <si>
    <t>Data for top .1% labor income threshold data from WID</t>
  </si>
  <si>
    <t>Data for top .1% labor average income data from WID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</si>
</sst>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00_-;\-* #,##0.00_-;_-* &quot;-&quot;??_-;_-@_-"/>
    <numFmt numFmtId="165" formatCode="_-* #,##0_-;\-* #,##0_-;_-* &quot;-&quot;??_-;_-@_-"/>
    <numFmt numFmtId="166" formatCode="0.0"/>
    <numFmt numFmtId="167" formatCode="\$#,##0\ ;\(\$#,##0\)"/>
    <numFmt numFmtId="169" formatCode="0.0000000000"/>
    <numFmt numFmtId="170" formatCode="0.0000000000000000"/>
    <numFmt numFmtId="171" formatCode="0.00000000000000000"/>
    <numFmt numFmtId="173" formatCode="0.000000000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2"/>
      <color theme="1"/>
      <name val="Calibri"/>
      <family val="2"/>
      <scheme val="minor"/>
    </font>
    <font>
      <sz val="11"/>
      <color indexed="8"/>
      <name val="Calibri"/>
      <family val="2"/>
      <scheme val="minor"/>
    </font>
    <font>
      <u/>
      <sz val="12"/>
      <color theme="10"/>
      <name val="Calibri"/>
      <family val="2"/>
      <scheme val="minor"/>
    </font>
    <font>
      <u/>
      <sz val="12"/>
      <color theme="11"/>
      <name val="Calibri"/>
      <family val="2"/>
      <scheme val="minor"/>
    </font>
    <font>
      <b/>
      <sz val="12"/>
      <color theme="0"/>
      <name val="Calibri"/>
      <family val="2"/>
      <scheme val="minor"/>
    </font>
    <font>
      <b/>
      <sz val="12"/>
      <color theme="1"/>
      <name val="Calibri"/>
      <family val="2"/>
      <scheme val="minor"/>
    </font>
    <font>
      <sz val="9"/>
      <color theme="1"/>
      <name val="Calibri"/>
      <family val="2"/>
      <scheme val="minor"/>
    </font>
    <font>
      <b/>
      <sz val="9"/>
      <color theme="1"/>
      <name val="Calibri"/>
      <family val="2"/>
      <scheme val="minor"/>
    </font>
    <font>
      <sz val="9"/>
      <color rgb="FF000000"/>
      <name val="Calibri"/>
      <family val="2"/>
      <scheme val="minor"/>
    </font>
    <font>
      <sz val="12"/>
      <color indexed="24"/>
      <name val="Arial"/>
      <family val="2"/>
    </font>
    <font>
      <b/>
      <sz val="8"/>
      <color indexed="24"/>
      <name val="Times New Roman"/>
      <family val="1"/>
    </font>
    <font>
      <sz val="8"/>
      <color indexed="24"/>
      <name val="Times New Roman"/>
      <family val="1"/>
    </font>
    <font>
      <u/>
      <sz val="12"/>
      <color indexed="12"/>
      <name val="Calibri"/>
      <family val="2"/>
    </font>
    <font>
      <sz val="10"/>
      <name val="Arial"/>
      <family val="2"/>
    </font>
    <font>
      <sz val="12"/>
      <color theme="1"/>
      <name val="Arial"/>
      <family val="2"/>
    </font>
    <font>
      <sz val="12"/>
      <color indexed="8"/>
      <name val="Calibri"/>
      <family val="2"/>
    </font>
    <font>
      <sz val="7"/>
      <name val="Helvetica"/>
    </font>
    <font>
      <sz val="12"/>
      <name val="Calibri"/>
      <family val="2"/>
      <scheme val="minor"/>
    </font>
    <font>
      <b/>
      <sz val="11"/>
      <color theme="1"/>
      <name val="Calibri"/>
      <family val="2"/>
      <scheme val="minor"/>
    </font>
    <font>
      <sz val="9"/>
      <color rgb="FFFF0000"/>
      <name val="Calibri"/>
      <family val="2"/>
      <scheme val="minor"/>
    </font>
    <font>
      <sz val="8"/>
      <color rgb="FF000000"/>
      <name val="Arial"/>
      <family val="2"/>
    </font>
    <font>
      <sz val="8"/>
      <name val="Calibri"/>
      <family val="2"/>
      <scheme val="minor"/>
    </font>
    <font>
      <sz val="11"/>
      <color rgb="FFFF0000"/>
      <name val="Calibri"/>
      <family val="2"/>
      <scheme val="minor"/>
    </font>
    <font>
      <sz val="11"/>
      <name val="Courier New"/>
    </font>
    <font>
      <sz val="10"/>
      <name val="Arial"/>
    </font>
  </fonts>
  <fills count="4">
    <fill>
      <patternFill patternType="none"/>
    </fill>
    <fill>
      <patternFill patternType="gray125"/>
    </fill>
    <fill>
      <patternFill patternType="solid">
        <fgColor theme="1"/>
        <bgColor indexed="64"/>
      </patternFill>
    </fill>
    <fill>
      <patternFill patternType="solid">
        <fgColor theme="2"/>
        <bgColor indexed="64"/>
      </patternFill>
    </fill>
  </fills>
  <borders count="4">
    <border>
      <left/>
      <right/>
      <top/>
      <bottom/>
      <diagonal/>
    </border>
    <border>
      <left style="thin">
        <color auto="1"/>
      </left>
      <right/>
      <top/>
      <bottom/>
      <diagonal/>
    </border>
    <border>
      <left style="thin">
        <color auto="1"/>
      </left>
      <right style="thin">
        <color auto="1"/>
      </right>
      <top style="thin">
        <color auto="1"/>
      </top>
      <bottom style="thin">
        <color auto="1"/>
      </bottom>
      <diagonal/>
    </border>
    <border>
      <left/>
      <right style="thin">
        <color rgb="FFFF0000"/>
      </right>
      <top/>
      <bottom/>
      <diagonal/>
    </border>
  </borders>
  <cellStyleXfs count="67">
    <xf numFmtId="0" fontId="0" fillId="0" borderId="0"/>
    <xf numFmtId="164" fontId="10" fillId="0" borderId="0" applyFont="0" applyFill="0" applyBorder="0" applyAlignment="0" applyProtection="0"/>
    <xf numFmtId="9" fontId="10" fillId="0" borderId="0" applyFont="0" applyFill="0" applyBorder="0" applyAlignment="0" applyProtection="0"/>
    <xf numFmtId="0" fontId="11" fillId="0" borderId="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9" fillId="0" borderId="0" applyFon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3" fontId="19" fillId="0" borderId="0" applyFon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167" fontId="19" fillId="0" borderId="0" applyFont="0" applyFill="0" applyBorder="0" applyAlignment="0" applyProtection="0"/>
    <xf numFmtId="0" fontId="23" fillId="0" borderId="0"/>
    <xf numFmtId="0" fontId="23" fillId="0" borderId="0"/>
    <xf numFmtId="0" fontId="23" fillId="0" borderId="0"/>
    <xf numFmtId="0" fontId="24" fillId="0" borderId="0"/>
    <xf numFmtId="0" fontId="23" fillId="0" borderId="0"/>
    <xf numFmtId="0" fontId="24" fillId="0" borderId="0"/>
    <xf numFmtId="0" fontId="9" fillId="0" borderId="0"/>
    <xf numFmtId="9" fontId="24" fillId="0" borderId="0" applyFont="0" applyFill="0" applyBorder="0" applyAlignment="0" applyProtection="0"/>
    <xf numFmtId="9" fontId="24" fillId="0" borderId="0" applyFont="0" applyFill="0" applyBorder="0" applyAlignment="0" applyProtection="0"/>
    <xf numFmtId="9" fontId="25" fillId="0" borderId="0" applyFont="0" applyFill="0" applyBorder="0" applyAlignment="0" applyProtection="0"/>
    <xf numFmtId="9" fontId="23" fillId="0" borderId="0" applyFont="0" applyFill="0" applyBorder="0" applyAlignment="0" applyProtection="0"/>
    <xf numFmtId="9" fontId="25"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0" fontId="23" fillId="0" borderId="0"/>
    <xf numFmtId="0" fontId="26" fillId="0" borderId="1">
      <alignment horizontal="center"/>
    </xf>
    <xf numFmtId="2" fontId="19" fillId="0" borderId="0" applyFon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8" fillId="0" borderId="0"/>
    <xf numFmtId="164" fontId="9" fillId="0" borderId="0" applyFont="0" applyFill="0" applyBorder="0" applyAlignment="0" applyProtection="0"/>
    <xf numFmtId="9" fontId="9" fillId="0" borderId="0" applyFont="0" applyFill="0" applyBorder="0" applyAlignment="0" applyProtection="0"/>
    <xf numFmtId="0" fontId="4" fillId="0" borderId="0"/>
    <xf numFmtId="0" fontId="2" fillId="0" borderId="0"/>
    <xf numFmtId="0" fontId="1" fillId="0" borderId="0"/>
    <xf numFmtId="0" fontId="34" fillId="0" borderId="0" applyNumberFormat="0" applyFont="0" applyFill="0" applyBorder="0" applyAlignment="0" applyProtection="0"/>
  </cellStyleXfs>
  <cellXfs count="114">
    <xf numFmtId="0" fontId="0" fillId="0" borderId="0" xfId="0"/>
    <xf numFmtId="0" fontId="0" fillId="0" borderId="0" xfId="0" applyAlignment="1">
      <alignment horizontal="right"/>
    </xf>
    <xf numFmtId="165" fontId="15" fillId="0" borderId="0" xfId="1" applyNumberFormat="1" applyFont="1" applyAlignment="1">
      <alignment horizontal="right"/>
    </xf>
    <xf numFmtId="2" fontId="0" fillId="0" borderId="0" xfId="0" applyNumberFormat="1" applyAlignment="1">
      <alignment horizontal="right"/>
    </xf>
    <xf numFmtId="0" fontId="16" fillId="0" borderId="0" xfId="0" applyFont="1"/>
    <xf numFmtId="0" fontId="12" fillId="0" borderId="0" xfId="12"/>
    <xf numFmtId="0" fontId="17" fillId="0" borderId="0" xfId="0" applyFont="1"/>
    <xf numFmtId="166" fontId="18" fillId="0" borderId="0" xfId="0" applyNumberFormat="1" applyFont="1"/>
    <xf numFmtId="2" fontId="15" fillId="0" borderId="0" xfId="0" applyNumberFormat="1" applyFont="1" applyBorder="1" applyAlignment="1">
      <alignment horizontal="right"/>
    </xf>
    <xf numFmtId="0" fontId="15" fillId="0" borderId="0" xfId="0" applyFont="1" applyBorder="1" applyAlignment="1">
      <alignment horizontal="right"/>
    </xf>
    <xf numFmtId="0" fontId="0" fillId="0" borderId="0" xfId="0" applyBorder="1" applyAlignment="1">
      <alignment horizontal="right"/>
    </xf>
    <xf numFmtId="2" fontId="0" fillId="0" borderId="0" xfId="0" applyNumberFormat="1" applyBorder="1" applyAlignment="1">
      <alignment horizontal="right"/>
    </xf>
    <xf numFmtId="165" fontId="0" fillId="0" borderId="0" xfId="1" applyNumberFormat="1" applyFont="1" applyBorder="1" applyAlignment="1">
      <alignment horizontal="right"/>
    </xf>
    <xf numFmtId="165" fontId="15" fillId="0" borderId="0" xfId="1" applyNumberFormat="1" applyFont="1" applyBorder="1" applyAlignment="1">
      <alignment horizontal="right"/>
    </xf>
    <xf numFmtId="9" fontId="15" fillId="0" borderId="0" xfId="2" applyFont="1" applyBorder="1" applyAlignment="1">
      <alignment horizontal="right"/>
    </xf>
    <xf numFmtId="2" fontId="15" fillId="0" borderId="0" xfId="2" applyNumberFormat="1" applyFont="1" applyBorder="1" applyAlignment="1">
      <alignment horizontal="right"/>
    </xf>
    <xf numFmtId="10" fontId="15" fillId="0" borderId="0" xfId="2" applyNumberFormat="1" applyFont="1" applyBorder="1" applyAlignment="1">
      <alignment horizontal="right"/>
    </xf>
    <xf numFmtId="2" fontId="0" fillId="0" borderId="0" xfId="2" applyNumberFormat="1" applyFont="1" applyBorder="1" applyAlignment="1">
      <alignment horizontal="right"/>
    </xf>
    <xf numFmtId="10" fontId="0" fillId="0" borderId="0" xfId="2" applyNumberFormat="1" applyFont="1" applyBorder="1" applyAlignment="1">
      <alignment horizontal="right"/>
    </xf>
    <xf numFmtId="10" fontId="27" fillId="0" borderId="0" xfId="2" applyNumberFormat="1" applyFont="1" applyBorder="1" applyAlignment="1">
      <alignment horizontal="right"/>
    </xf>
    <xf numFmtId="0" fontId="8" fillId="0" borderId="0" xfId="60"/>
    <xf numFmtId="0" fontId="8" fillId="0" borderId="0" xfId="60" applyAlignment="1">
      <alignment horizontal="center" vertical="center" wrapText="1"/>
    </xf>
    <xf numFmtId="0" fontId="28" fillId="0" borderId="2" xfId="60" applyFont="1" applyBorder="1" applyAlignment="1">
      <alignment horizontal="center" vertical="top"/>
    </xf>
    <xf numFmtId="166" fontId="29" fillId="0" borderId="0" xfId="0" applyNumberFormat="1" applyFont="1"/>
    <xf numFmtId="0" fontId="30" fillId="0" borderId="0" xfId="0" applyFont="1"/>
    <xf numFmtId="0" fontId="7" fillId="0" borderId="0" xfId="60" applyFont="1"/>
    <xf numFmtId="0" fontId="7" fillId="0" borderId="0" xfId="60" applyFont="1" applyAlignment="1">
      <alignment horizontal="center" vertical="center" wrapText="1"/>
    </xf>
    <xf numFmtId="0" fontId="0" fillId="0" borderId="0" xfId="0" applyAlignment="1">
      <alignment horizontal="center" vertical="center" wrapText="1"/>
    </xf>
    <xf numFmtId="0" fontId="28" fillId="0" borderId="0" xfId="60" applyFont="1" applyAlignment="1">
      <alignment horizontal="center" vertical="center" wrapText="1"/>
    </xf>
    <xf numFmtId="10" fontId="15" fillId="0" borderId="0" xfId="2" applyNumberFormat="1" applyFont="1" applyFill="1" applyBorder="1" applyAlignment="1">
      <alignment horizontal="right"/>
    </xf>
    <xf numFmtId="10" fontId="0" fillId="0" borderId="0" xfId="0" applyNumberFormat="1"/>
    <xf numFmtId="9" fontId="0" fillId="0" borderId="0" xfId="0" applyNumberFormat="1"/>
    <xf numFmtId="0" fontId="0" fillId="0" borderId="3" xfId="0" applyBorder="1"/>
    <xf numFmtId="9" fontId="0" fillId="0" borderId="3" xfId="0" applyNumberFormat="1" applyBorder="1"/>
    <xf numFmtId="169" fontId="0" fillId="0" borderId="0" xfId="0" applyNumberFormat="1" applyBorder="1" applyAlignment="1">
      <alignment horizontal="right"/>
    </xf>
    <xf numFmtId="165" fontId="9" fillId="0" borderId="0" xfId="1" applyNumberFormat="1" applyFont="1" applyBorder="1" applyAlignment="1">
      <alignment horizontal="right"/>
    </xf>
    <xf numFmtId="0" fontId="32" fillId="0" borderId="0" xfId="60" applyFont="1"/>
    <xf numFmtId="165" fontId="14" fillId="2" borderId="0" xfId="1" applyNumberFormat="1" applyFont="1" applyFill="1" applyBorder="1" applyAlignment="1">
      <alignment horizontal="center"/>
    </xf>
    <xf numFmtId="0" fontId="5" fillId="0" borderId="0" xfId="60" applyFont="1" applyAlignment="1">
      <alignment horizontal="center" vertical="center" wrapText="1"/>
    </xf>
    <xf numFmtId="2" fontId="0" fillId="0" borderId="0" xfId="0" applyNumberFormat="1" applyBorder="1" applyAlignment="1">
      <alignment horizontal="right"/>
    </xf>
    <xf numFmtId="0" fontId="3" fillId="0" borderId="0" xfId="60" applyFont="1" applyAlignment="1">
      <alignment horizontal="center" vertical="center" wrapText="1"/>
    </xf>
    <xf numFmtId="0" fontId="2" fillId="0" borderId="0" xfId="64" applyAlignment="1">
      <alignment horizontal="center" vertical="center" wrapText="1"/>
    </xf>
    <xf numFmtId="0" fontId="2" fillId="0" borderId="0" xfId="64"/>
    <xf numFmtId="0" fontId="28" fillId="0" borderId="2" xfId="64" applyFont="1" applyBorder="1" applyAlignment="1">
      <alignment horizontal="center" vertical="top"/>
    </xf>
    <xf numFmtId="0" fontId="28" fillId="0" borderId="0" xfId="64" applyFont="1" applyAlignment="1">
      <alignment horizontal="center" vertical="center" wrapText="1"/>
    </xf>
    <xf numFmtId="10" fontId="15" fillId="3" borderId="0" xfId="2" applyNumberFormat="1" applyFont="1" applyFill="1" applyBorder="1" applyAlignment="1">
      <alignment horizontal="right"/>
    </xf>
    <xf numFmtId="0" fontId="15" fillId="3" borderId="0" xfId="0" applyFont="1" applyFill="1" applyBorder="1" applyAlignment="1">
      <alignment horizontal="right"/>
    </xf>
    <xf numFmtId="10" fontId="27" fillId="3" borderId="0" xfId="2" applyNumberFormat="1" applyFont="1" applyFill="1" applyBorder="1" applyAlignment="1">
      <alignment horizontal="right"/>
    </xf>
    <xf numFmtId="10" fontId="0" fillId="3" borderId="0" xfId="0" applyNumberFormat="1" applyFill="1"/>
    <xf numFmtId="2" fontId="0" fillId="3" borderId="0" xfId="0" applyNumberFormat="1" applyFill="1" applyBorder="1" applyAlignment="1">
      <alignment horizontal="right"/>
    </xf>
    <xf numFmtId="2" fontId="0" fillId="0" borderId="0" xfId="0" applyNumberFormat="1"/>
    <xf numFmtId="2" fontId="0" fillId="0" borderId="3" xfId="0" applyNumberFormat="1" applyBorder="1"/>
    <xf numFmtId="0" fontId="0" fillId="0" borderId="0" xfId="0" applyNumberFormat="1"/>
    <xf numFmtId="2" fontId="0" fillId="3" borderId="0" xfId="0" applyNumberFormat="1" applyFill="1"/>
    <xf numFmtId="0" fontId="0" fillId="3" borderId="0" xfId="0" applyFill="1"/>
    <xf numFmtId="0" fontId="0" fillId="3" borderId="3" xfId="0" applyFill="1" applyBorder="1"/>
    <xf numFmtId="9" fontId="0" fillId="3" borderId="0" xfId="0" applyNumberFormat="1" applyFill="1"/>
    <xf numFmtId="9" fontId="0" fillId="3" borderId="3" xfId="0" applyNumberFormat="1" applyFill="1" applyBorder="1"/>
    <xf numFmtId="0" fontId="0" fillId="0" borderId="0" xfId="0" applyFill="1" applyAlignment="1">
      <alignment wrapText="1"/>
    </xf>
    <xf numFmtId="0" fontId="0" fillId="0" borderId="0" xfId="0" applyAlignment="1">
      <alignment wrapText="1"/>
    </xf>
    <xf numFmtId="0" fontId="7" fillId="0" borderId="0" xfId="60" applyFont="1" applyAlignment="1">
      <alignment wrapText="1"/>
    </xf>
    <xf numFmtId="0" fontId="6" fillId="0" borderId="0" xfId="60" applyFont="1" applyAlignment="1">
      <alignment wrapText="1"/>
    </xf>
    <xf numFmtId="165" fontId="15" fillId="0" borderId="0" xfId="1" applyNumberFormat="1" applyFont="1" applyBorder="1" applyAlignment="1">
      <alignment horizontal="right" wrapText="1"/>
    </xf>
    <xf numFmtId="2" fontId="15" fillId="0" borderId="0" xfId="0" applyNumberFormat="1" applyFont="1" applyBorder="1" applyAlignment="1">
      <alignment horizontal="right" wrapText="1"/>
    </xf>
    <xf numFmtId="9" fontId="15" fillId="0" borderId="0" xfId="2" applyFont="1" applyBorder="1" applyAlignment="1">
      <alignment horizontal="right" wrapText="1"/>
    </xf>
    <xf numFmtId="2" fontId="15" fillId="0" borderId="0" xfId="2" applyNumberFormat="1" applyFont="1" applyBorder="1" applyAlignment="1">
      <alignment horizontal="right" wrapText="1"/>
    </xf>
    <xf numFmtId="10" fontId="15" fillId="0" borderId="0" xfId="2" applyNumberFormat="1" applyFont="1" applyBorder="1" applyAlignment="1">
      <alignment horizontal="right" wrapText="1"/>
    </xf>
    <xf numFmtId="10" fontId="15" fillId="0" borderId="0" xfId="2" applyNumberFormat="1" applyFont="1" applyFill="1" applyBorder="1" applyAlignment="1">
      <alignment horizontal="right" wrapText="1"/>
    </xf>
    <xf numFmtId="10" fontId="15" fillId="3" borderId="0" xfId="2" applyNumberFormat="1" applyFont="1" applyFill="1" applyBorder="1" applyAlignment="1">
      <alignment horizontal="right" wrapText="1"/>
    </xf>
    <xf numFmtId="0" fontId="15" fillId="3" borderId="0" xfId="0" applyFont="1" applyFill="1" applyBorder="1" applyAlignment="1">
      <alignment horizontal="right" wrapText="1"/>
    </xf>
    <xf numFmtId="165" fontId="14" fillId="2" borderId="0" xfId="61" applyNumberFormat="1" applyFont="1" applyFill="1" applyBorder="1" applyAlignment="1">
      <alignment horizontal="center"/>
    </xf>
    <xf numFmtId="165" fontId="15" fillId="0" borderId="0" xfId="61" applyNumberFormat="1" applyFont="1" applyBorder="1" applyAlignment="1">
      <alignment horizontal="right"/>
    </xf>
    <xf numFmtId="10" fontId="15" fillId="0" borderId="0" xfId="62" applyNumberFormat="1" applyFont="1" applyFill="1" applyBorder="1" applyAlignment="1">
      <alignment horizontal="right"/>
    </xf>
    <xf numFmtId="165" fontId="0" fillId="0" borderId="0" xfId="61" applyNumberFormat="1" applyFont="1" applyBorder="1" applyAlignment="1">
      <alignment horizontal="right"/>
    </xf>
    <xf numFmtId="165" fontId="9" fillId="0" borderId="0" xfId="61" applyNumberFormat="1" applyFont="1" applyBorder="1" applyAlignment="1">
      <alignment horizontal="right"/>
    </xf>
    <xf numFmtId="2" fontId="0" fillId="0" borderId="0" xfId="62" applyNumberFormat="1" applyFont="1" applyBorder="1" applyAlignment="1">
      <alignment horizontal="right"/>
    </xf>
    <xf numFmtId="10" fontId="0" fillId="0" borderId="0" xfId="62" applyNumberFormat="1" applyFont="1" applyBorder="1" applyAlignment="1">
      <alignment horizontal="right"/>
    </xf>
    <xf numFmtId="10" fontId="27" fillId="0" borderId="0" xfId="62" applyNumberFormat="1" applyFont="1" applyBorder="1" applyAlignment="1">
      <alignment horizontal="right"/>
    </xf>
    <xf numFmtId="165" fontId="15" fillId="0" borderId="0" xfId="61" applyNumberFormat="1" applyFont="1" applyBorder="1" applyAlignment="1">
      <alignment horizontal="right" wrapText="1"/>
    </xf>
    <xf numFmtId="2" fontId="15" fillId="0" borderId="0" xfId="0" applyNumberFormat="1" applyFont="1" applyAlignment="1">
      <alignment horizontal="right" wrapText="1"/>
    </xf>
    <xf numFmtId="9" fontId="15" fillId="0" borderId="0" xfId="62" applyFont="1" applyBorder="1" applyAlignment="1">
      <alignment horizontal="right" wrapText="1"/>
    </xf>
    <xf numFmtId="2" fontId="15" fillId="0" borderId="0" xfId="62" applyNumberFormat="1" applyFont="1" applyBorder="1" applyAlignment="1">
      <alignment horizontal="right" wrapText="1"/>
    </xf>
    <xf numFmtId="10" fontId="15" fillId="0" borderId="0" xfId="62" applyNumberFormat="1" applyFont="1" applyBorder="1" applyAlignment="1">
      <alignment horizontal="right" wrapText="1"/>
    </xf>
    <xf numFmtId="10" fontId="15" fillId="0" borderId="0" xfId="62" applyNumberFormat="1" applyFont="1" applyFill="1" applyBorder="1" applyAlignment="1">
      <alignment horizontal="right" wrapText="1"/>
    </xf>
    <xf numFmtId="0" fontId="15" fillId="0" borderId="0" xfId="0" applyFont="1" applyAlignment="1">
      <alignment horizontal="right" wrapText="1"/>
    </xf>
    <xf numFmtId="10" fontId="14" fillId="2" borderId="0" xfId="2" applyNumberFormat="1" applyFont="1" applyFill="1" applyBorder="1" applyAlignment="1">
      <alignment horizontal="center"/>
    </xf>
    <xf numFmtId="165" fontId="14" fillId="2" borderId="0" xfId="1" applyNumberFormat="1" applyFont="1" applyFill="1" applyBorder="1" applyAlignment="1">
      <alignment horizontal="center"/>
    </xf>
    <xf numFmtId="2" fontId="14" fillId="2" borderId="0" xfId="2" applyNumberFormat="1" applyFont="1" applyFill="1" applyBorder="1" applyAlignment="1">
      <alignment horizontal="center"/>
    </xf>
    <xf numFmtId="0" fontId="14" fillId="2" borderId="0" xfId="0" applyFont="1" applyFill="1" applyAlignment="1">
      <alignment horizontal="center"/>
    </xf>
    <xf numFmtId="170" fontId="0" fillId="0" borderId="0" xfId="0" applyNumberFormat="1" applyAlignment="1">
      <alignment horizontal="right"/>
    </xf>
    <xf numFmtId="171" fontId="0" fillId="0" borderId="0" xfId="0" applyNumberFormat="1" applyAlignment="1">
      <alignment horizontal="right"/>
    </xf>
    <xf numFmtId="0" fontId="1" fillId="0" borderId="0" xfId="65"/>
    <xf numFmtId="0" fontId="33" fillId="0" borderId="0" xfId="0" applyFont="1" applyAlignment="1">
      <alignment horizontal="left" vertical="center"/>
    </xf>
    <xf numFmtId="0" fontId="33" fillId="0" borderId="0" xfId="66" applyNumberFormat="1" applyFont="1" applyFill="1" applyBorder="1" applyAlignment="1">
      <alignment horizontal="left" vertical="center"/>
    </xf>
    <xf numFmtId="0" fontId="34" fillId="0" borderId="0" xfId="66" applyNumberFormat="1" applyFont="1" applyFill="1" applyBorder="1" applyAlignment="1"/>
    <xf numFmtId="10" fontId="34" fillId="0" borderId="0" xfId="66" applyNumberFormat="1" applyFont="1" applyFill="1" applyBorder="1" applyAlignment="1"/>
    <xf numFmtId="0" fontId="23" fillId="0" borderId="0" xfId="66" applyNumberFormat="1" applyFont="1" applyFill="1" applyBorder="1" applyAlignment="1"/>
    <xf numFmtId="173" fontId="0" fillId="0" borderId="0" xfId="0" applyNumberFormat="1" applyBorder="1" applyAlignment="1">
      <alignment horizontal="right"/>
    </xf>
    <xf numFmtId="0" fontId="12" fillId="0" borderId="0" xfId="12" applyAlignment="1">
      <alignment horizontal="center" vertical="center" wrapText="1"/>
    </xf>
    <xf numFmtId="0" fontId="12" fillId="0" borderId="2" xfId="12" applyBorder="1" applyAlignment="1">
      <alignment horizontal="center" vertical="top"/>
    </xf>
    <xf numFmtId="2" fontId="12" fillId="3" borderId="0" xfId="12" applyNumberFormat="1" applyFill="1"/>
    <xf numFmtId="0" fontId="12" fillId="0" borderId="0" xfId="12" applyNumberFormat="1" applyFill="1" applyBorder="1" applyAlignment="1"/>
    <xf numFmtId="0" fontId="15" fillId="0" borderId="0" xfId="0" applyFont="1" applyAlignment="1">
      <alignment horizontal="center" vertical="center"/>
    </xf>
    <xf numFmtId="10" fontId="14" fillId="2" borderId="0" xfId="2" applyNumberFormat="1" applyFont="1" applyFill="1" applyBorder="1" applyAlignment="1">
      <alignment horizontal="center"/>
    </xf>
    <xf numFmtId="0" fontId="14" fillId="2" borderId="0" xfId="0" applyFont="1" applyFill="1" applyAlignment="1">
      <alignment horizontal="center"/>
    </xf>
    <xf numFmtId="0" fontId="15" fillId="0" borderId="0" xfId="0" applyFont="1" applyBorder="1" applyAlignment="1">
      <alignment horizontal="center" vertical="center"/>
    </xf>
    <xf numFmtId="165" fontId="14" fillId="2" borderId="0" xfId="1" applyNumberFormat="1" applyFont="1" applyFill="1" applyBorder="1" applyAlignment="1">
      <alignment horizontal="center"/>
    </xf>
    <xf numFmtId="2" fontId="14" fillId="2" borderId="0" xfId="0" applyNumberFormat="1" applyFont="1" applyFill="1" applyBorder="1" applyAlignment="1">
      <alignment horizontal="center"/>
    </xf>
    <xf numFmtId="165" fontId="12" fillId="2" borderId="0" xfId="12" applyNumberFormat="1" applyFill="1" applyBorder="1" applyAlignment="1">
      <alignment horizontal="center"/>
    </xf>
    <xf numFmtId="2" fontId="14" fillId="2" borderId="0" xfId="2" applyNumberFormat="1" applyFont="1" applyFill="1" applyBorder="1" applyAlignment="1">
      <alignment horizontal="center"/>
    </xf>
    <xf numFmtId="10" fontId="14" fillId="2" borderId="0" xfId="62" applyNumberFormat="1" applyFont="1" applyFill="1" applyBorder="1" applyAlignment="1">
      <alignment horizontal="center"/>
    </xf>
    <xf numFmtId="165" fontId="14" fillId="2" borderId="0" xfId="61" applyNumberFormat="1" applyFont="1" applyFill="1" applyBorder="1" applyAlignment="1">
      <alignment horizontal="center"/>
    </xf>
    <xf numFmtId="2" fontId="14" fillId="2" borderId="0" xfId="0" applyNumberFormat="1" applyFont="1" applyFill="1" applyAlignment="1">
      <alignment horizontal="center"/>
    </xf>
    <xf numFmtId="2" fontId="14" fillId="2" borderId="0" xfId="62" applyNumberFormat="1" applyFont="1" applyFill="1" applyBorder="1" applyAlignment="1">
      <alignment horizontal="center"/>
    </xf>
  </cellXfs>
  <cellStyles count="67">
    <cellStyle name="Comma" xfId="1" builtinId="3"/>
    <cellStyle name="Comma 2" xfId="61" xr:uid="{1CAC9B10-B904-428F-99F0-92215771ABEB}"/>
    <cellStyle name="Date" xfId="13" xr:uid="{00000000-0005-0000-0000-000001000000}"/>
    <cellStyle name="En-tête 1" xfId="14" xr:uid="{00000000-0005-0000-0000-000002000000}"/>
    <cellStyle name="En-tête 2" xfId="15" xr:uid="{00000000-0005-0000-0000-000003000000}"/>
    <cellStyle name="Financier0" xfId="16" xr:uid="{00000000-0005-0000-0000-000004000000}"/>
    <cellStyle name="Followed Hyperlink" xfId="5" builtinId="9" hidden="1"/>
    <cellStyle name="Followed Hyperlink" xfId="7" builtinId="9" hidden="1"/>
    <cellStyle name="Followed Hyperlink" xfId="9" builtinId="9" hidden="1"/>
    <cellStyle name="Followed Hyperlink" xfId="11"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Hyperlink" xfId="4" builtinId="8" hidden="1"/>
    <cellStyle name="Hyperlink" xfId="6" builtinId="8" hidden="1"/>
    <cellStyle name="Hyperlink" xfId="8" builtinId="8" hidden="1"/>
    <cellStyle name="Hyperlink" xfId="10" builtinId="8" hidden="1"/>
    <cellStyle name="Hyperlink" xfId="12" builtinId="8"/>
    <cellStyle name="Hyperlink 2" xfId="17" xr:uid="{00000000-0005-0000-0000-000025000000}"/>
    <cellStyle name="Lien hypertexte 2" xfId="18" xr:uid="{00000000-0005-0000-0000-000026000000}"/>
    <cellStyle name="Monétaire0" xfId="19" xr:uid="{00000000-0005-0000-0000-000027000000}"/>
    <cellStyle name="Motif" xfId="20" xr:uid="{00000000-0005-0000-0000-000028000000}"/>
    <cellStyle name="Normal" xfId="0" builtinId="0"/>
    <cellStyle name="Normal 2" xfId="3" xr:uid="{00000000-0005-0000-0000-00002A000000}"/>
    <cellStyle name="Normal 2 2" xfId="21" xr:uid="{00000000-0005-0000-0000-00002B000000}"/>
    <cellStyle name="Normal 2 3" xfId="22" xr:uid="{00000000-0005-0000-0000-00002C000000}"/>
    <cellStyle name="Normal 2 4" xfId="23" xr:uid="{00000000-0005-0000-0000-00002D000000}"/>
    <cellStyle name="Normal 2_AccumulationEquation" xfId="24" xr:uid="{00000000-0005-0000-0000-00002E000000}"/>
    <cellStyle name="Normal 3" xfId="25" xr:uid="{00000000-0005-0000-0000-00002F000000}"/>
    <cellStyle name="Normal 4" xfId="26" xr:uid="{00000000-0005-0000-0000-000030000000}"/>
    <cellStyle name="Normal 5" xfId="60" xr:uid="{B47F3EE0-F009-4BEF-B372-E788AEF09BD6}"/>
    <cellStyle name="Normal 5 2" xfId="63" xr:uid="{791E4246-51E7-4992-999B-F0A0D99EBEF5}"/>
    <cellStyle name="Normal 6" xfId="64" xr:uid="{A6A15E30-3803-405B-ADA1-FCD62B374076}"/>
    <cellStyle name="Normal 7" xfId="65" xr:uid="{EEA5EAB2-5269-4216-A677-484E217E0877}"/>
    <cellStyle name="Normal 8" xfId="66" xr:uid="{3D841A0A-4BD2-4843-8E48-1282508A77ED}"/>
    <cellStyle name="Percent" xfId="2" builtinId="5"/>
    <cellStyle name="Percent 2" xfId="27" xr:uid="{00000000-0005-0000-0000-000032000000}"/>
    <cellStyle name="Percent 3" xfId="62" xr:uid="{186B3506-06CE-4390-B6F3-142CB35F783D}"/>
    <cellStyle name="Pourcentage 2" xfId="28" xr:uid="{00000000-0005-0000-0000-000033000000}"/>
    <cellStyle name="Pourcentage 2 2" xfId="29" xr:uid="{00000000-0005-0000-0000-000034000000}"/>
    <cellStyle name="Pourcentage 3" xfId="30" xr:uid="{00000000-0005-0000-0000-000035000000}"/>
    <cellStyle name="Pourcentage 4" xfId="31" xr:uid="{00000000-0005-0000-0000-000036000000}"/>
    <cellStyle name="Pourcentage 5" xfId="32" xr:uid="{00000000-0005-0000-0000-000037000000}"/>
    <cellStyle name="Pourcentage 6" xfId="33" xr:uid="{00000000-0005-0000-0000-000038000000}"/>
    <cellStyle name="Standard_2 + 3" xfId="34" xr:uid="{00000000-0005-0000-0000-000039000000}"/>
    <cellStyle name="style_col_headings" xfId="35" xr:uid="{00000000-0005-0000-0000-00003A000000}"/>
    <cellStyle name="Virgule fixe" xfId="36" xr:uid="{00000000-0005-0000-0000-00003B00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800">
                <a:effectLst/>
              </a:rPr>
              <a:t>Pre and Post Tax PSI -Norway</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US"/>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lineChart>
        <c:grouping val="standard"/>
        <c:varyColors val="0"/>
        <c:ser>
          <c:idx val="0"/>
          <c:order val="0"/>
          <c:tx>
            <c:strRef>
              <c:f>'Norway Model Year by Year'!$X$2</c:f>
              <c:strCache>
                <c:ptCount val="1"/>
                <c:pt idx="0">
                  <c:v>PSI(1%) Pre-Tax</c:v>
                </c:pt>
              </c:strCache>
            </c:strRef>
          </c:tx>
          <c:spPr>
            <a:ln w="28575" cap="rnd">
              <a:solidFill>
                <a:srgbClr val="FF0000"/>
              </a:solidFill>
              <a:prstDash val="dash"/>
              <a:round/>
            </a:ln>
            <a:effectLst/>
          </c:spPr>
          <c:marker>
            <c:symbol val="none"/>
          </c:marker>
          <c:cat>
            <c:numRef>
              <c:f>'Norway Model Year by Year'!$A$3:$A$41</c:f>
              <c:numCache>
                <c:formatCode>General</c:formatCode>
                <c:ptCount val="39"/>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numCache>
            </c:numRef>
          </c:cat>
          <c:val>
            <c:numRef>
              <c:f>'Norway Model Year by Year'!$X$3:$X$39</c:f>
              <c:numCache>
                <c:formatCode>0.00%</c:formatCode>
                <c:ptCount val="37"/>
                <c:pt idx="0">
                  <c:v>0.42555024447141521</c:v>
                </c:pt>
                <c:pt idx="1">
                  <c:v>0.40836097305944752</c:v>
                </c:pt>
                <c:pt idx="2">
                  <c:v>0.40584258181431054</c:v>
                </c:pt>
                <c:pt idx="3">
                  <c:v>0.37214217143168593</c:v>
                </c:pt>
                <c:pt idx="4">
                  <c:v>0.41361672965599716</c:v>
                </c:pt>
                <c:pt idx="5">
                  <c:v>0.40366971306225685</c:v>
                </c:pt>
                <c:pt idx="6">
                  <c:v>0.228695045030743</c:v>
                </c:pt>
                <c:pt idx="7">
                  <c:v>0.2230609809783386</c:v>
                </c:pt>
                <c:pt idx="8">
                  <c:v>0.19715754531632679</c:v>
                </c:pt>
                <c:pt idx="9">
                  <c:v>0.2501734482689979</c:v>
                </c:pt>
                <c:pt idx="10">
                  <c:v>0.27340803947113601</c:v>
                </c:pt>
                <c:pt idx="11">
                  <c:v>0.28492545117487156</c:v>
                </c:pt>
                <c:pt idx="12">
                  <c:v>0.39063205272752399</c:v>
                </c:pt>
                <c:pt idx="13">
                  <c:v>0.55734208678064578</c:v>
                </c:pt>
                <c:pt idx="14">
                  <c:v>0.59340996703615079</c:v>
                </c:pt>
                <c:pt idx="15">
                  <c:v>0.57329075698243037</c:v>
                </c:pt>
                <c:pt idx="16">
                  <c:v>0.67423802952478007</c:v>
                </c:pt>
                <c:pt idx="17">
                  <c:v>0.73740051696914577</c:v>
                </c:pt>
                <c:pt idx="18">
                  <c:v>0.60365762244788246</c:v>
                </c:pt>
                <c:pt idx="19">
                  <c:v>0.68803545538441191</c:v>
                </c:pt>
                <c:pt idx="20">
                  <c:v>0.91595424765579092</c:v>
                </c:pt>
                <c:pt idx="21">
                  <c:v>0.64013744088724689</c:v>
                </c:pt>
                <c:pt idx="22">
                  <c:v>0.8270627040492029</c:v>
                </c:pt>
                <c:pt idx="23">
                  <c:v>0.90543014138863698</c:v>
                </c:pt>
                <c:pt idx="24">
                  <c:v>1.0289164677117535</c:v>
                </c:pt>
                <c:pt idx="25">
                  <c:v>1.4903456911115938</c:v>
                </c:pt>
                <c:pt idx="26">
                  <c:v>0.73931274366726685</c:v>
                </c:pt>
                <c:pt idx="27">
                  <c:v>0.77650995493498187</c:v>
                </c:pt>
                <c:pt idx="28">
                  <c:v>0.81764292182973475</c:v>
                </c:pt>
                <c:pt idx="29">
                  <c:v>0.70335635031222377</c:v>
                </c:pt>
                <c:pt idx="30">
                  <c:v>0.80792492193154231</c:v>
                </c:pt>
                <c:pt idx="31">
                  <c:v>0.82196889351407521</c:v>
                </c:pt>
                <c:pt idx="32">
                  <c:v>0.75864750880964005</c:v>
                </c:pt>
                <c:pt idx="33">
                  <c:v>0.76492185753695208</c:v>
                </c:pt>
                <c:pt idx="34">
                  <c:v>0.8654764510422488</c:v>
                </c:pt>
                <c:pt idx="35">
                  <c:v>0.76541122242122506</c:v>
                </c:pt>
                <c:pt idx="36">
                  <c:v>0.87427275574165098</c:v>
                </c:pt>
              </c:numCache>
            </c:numRef>
          </c:val>
          <c:smooth val="0"/>
          <c:extLst>
            <c:ext xmlns:c16="http://schemas.microsoft.com/office/drawing/2014/chart" uri="{C3380CC4-5D6E-409C-BE32-E72D297353CC}">
              <c16:uniqueId val="{00000000-B03A-42A3-B135-4741D0974FA0}"/>
            </c:ext>
          </c:extLst>
        </c:ser>
        <c:ser>
          <c:idx val="1"/>
          <c:order val="1"/>
          <c:tx>
            <c:strRef>
              <c:f>'Norway Model Year by Year'!$Y$2</c:f>
              <c:strCache>
                <c:ptCount val="1"/>
                <c:pt idx="0">
                  <c:v>PSI(10% to 1%) Pre-Tax</c:v>
                </c:pt>
              </c:strCache>
            </c:strRef>
          </c:tx>
          <c:spPr>
            <a:ln w="28575" cap="rnd">
              <a:solidFill>
                <a:srgbClr val="00B050"/>
              </a:solidFill>
              <a:prstDash val="dash"/>
              <a:round/>
            </a:ln>
            <a:effectLst/>
          </c:spPr>
          <c:marker>
            <c:symbol val="none"/>
          </c:marker>
          <c:cat>
            <c:numRef>
              <c:f>'Norway Model Year by Year'!$A$3:$A$41</c:f>
              <c:numCache>
                <c:formatCode>General</c:formatCode>
                <c:ptCount val="39"/>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numCache>
            </c:numRef>
          </c:cat>
          <c:val>
            <c:numRef>
              <c:f>'Norway Model Year by Year'!$Y$3:$Y$39</c:f>
              <c:numCache>
                <c:formatCode>0.00%</c:formatCode>
                <c:ptCount val="37"/>
                <c:pt idx="0">
                  <c:v>-6.720139249423196E-2</c:v>
                </c:pt>
                <c:pt idx="1">
                  <c:v>-7.8068662352471674E-2</c:v>
                </c:pt>
                <c:pt idx="2">
                  <c:v>-7.8105952801483025E-2</c:v>
                </c:pt>
                <c:pt idx="3">
                  <c:v>-8.9231784401331171E-2</c:v>
                </c:pt>
                <c:pt idx="4">
                  <c:v>-0.11970200056210623</c:v>
                </c:pt>
                <c:pt idx="5">
                  <c:v>-0.12675123062922999</c:v>
                </c:pt>
                <c:pt idx="6">
                  <c:v>-0.11389112179433747</c:v>
                </c:pt>
                <c:pt idx="7">
                  <c:v>-0.10974896022315783</c:v>
                </c:pt>
                <c:pt idx="8">
                  <c:v>-9.9632695328238929E-2</c:v>
                </c:pt>
                <c:pt idx="9">
                  <c:v>-0.13180012312203682</c:v>
                </c:pt>
                <c:pt idx="10">
                  <c:v>-0.12766245485011807</c:v>
                </c:pt>
                <c:pt idx="11">
                  <c:v>-0.13308582485427978</c:v>
                </c:pt>
                <c:pt idx="12">
                  <c:v>-0.16335593808168913</c:v>
                </c:pt>
                <c:pt idx="13">
                  <c:v>-0.16710595657503413</c:v>
                </c:pt>
                <c:pt idx="14">
                  <c:v>-0.14892543212533138</c:v>
                </c:pt>
                <c:pt idx="15">
                  <c:v>-0.15191473185957849</c:v>
                </c:pt>
                <c:pt idx="16">
                  <c:v>-0.15495831707842256</c:v>
                </c:pt>
                <c:pt idx="17">
                  <c:v>-0.14795437139314305</c:v>
                </c:pt>
                <c:pt idx="18">
                  <c:v>-0.15425792031659979</c:v>
                </c:pt>
                <c:pt idx="19">
                  <c:v>-0.162611493136816</c:v>
                </c:pt>
                <c:pt idx="20">
                  <c:v>-0.17800075740039667</c:v>
                </c:pt>
                <c:pt idx="21">
                  <c:v>-0.16934614483840993</c:v>
                </c:pt>
                <c:pt idx="22">
                  <c:v>-0.20029327875680691</c:v>
                </c:pt>
                <c:pt idx="23">
                  <c:v>-0.20246351562232401</c:v>
                </c:pt>
                <c:pt idx="24">
                  <c:v>-0.19298880507201877</c:v>
                </c:pt>
                <c:pt idx="25">
                  <c:v>-0.21843177097148092</c:v>
                </c:pt>
                <c:pt idx="26">
                  <c:v>-0.1507233641170338</c:v>
                </c:pt>
                <c:pt idx="27">
                  <c:v>-0.1477481124634501</c:v>
                </c:pt>
                <c:pt idx="28">
                  <c:v>-0.15444583998296779</c:v>
                </c:pt>
                <c:pt idx="29">
                  <c:v>-0.12078233320195664</c:v>
                </c:pt>
                <c:pt idx="30">
                  <c:v>-0.12718758934906005</c:v>
                </c:pt>
                <c:pt idx="31">
                  <c:v>-0.11259198106619328</c:v>
                </c:pt>
                <c:pt idx="32">
                  <c:v>-0.103041467329684</c:v>
                </c:pt>
                <c:pt idx="33">
                  <c:v>-0.10299779683092503</c:v>
                </c:pt>
                <c:pt idx="34">
                  <c:v>-0.12261821729234268</c:v>
                </c:pt>
                <c:pt idx="35">
                  <c:v>-0.10621989070476701</c:v>
                </c:pt>
                <c:pt idx="36">
                  <c:v>-9.5952693484878226E-2</c:v>
                </c:pt>
              </c:numCache>
            </c:numRef>
          </c:val>
          <c:smooth val="0"/>
          <c:extLst>
            <c:ext xmlns:c16="http://schemas.microsoft.com/office/drawing/2014/chart" uri="{C3380CC4-5D6E-409C-BE32-E72D297353CC}">
              <c16:uniqueId val="{00000001-B03A-42A3-B135-4741D0974FA0}"/>
            </c:ext>
          </c:extLst>
        </c:ser>
        <c:ser>
          <c:idx val="2"/>
          <c:order val="2"/>
          <c:tx>
            <c:strRef>
              <c:f>'Norway Model Year by Year'!$Z$2</c:f>
              <c:strCache>
                <c:ptCount val="1"/>
                <c:pt idx="0">
                  <c:v>PSI(90%) Pre-Tax</c:v>
                </c:pt>
              </c:strCache>
            </c:strRef>
          </c:tx>
          <c:spPr>
            <a:ln w="28575" cap="rnd">
              <a:solidFill>
                <a:srgbClr val="0070C0"/>
              </a:solidFill>
              <a:prstDash val="dash"/>
              <a:round/>
            </a:ln>
            <a:effectLst/>
          </c:spPr>
          <c:marker>
            <c:symbol val="none"/>
          </c:marker>
          <c:cat>
            <c:numRef>
              <c:f>'Norway Model Year by Year'!$A$3:$A$41</c:f>
              <c:numCache>
                <c:formatCode>General</c:formatCode>
                <c:ptCount val="39"/>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numCache>
            </c:numRef>
          </c:cat>
          <c:val>
            <c:numRef>
              <c:f>'Norway Model Year by Year'!$Z$3:$Z$39</c:f>
              <c:numCache>
                <c:formatCode>0.00%</c:formatCode>
                <c:ptCount val="37"/>
                <c:pt idx="0">
                  <c:v>-4.6475670117065437E-3</c:v>
                </c:pt>
                <c:pt idx="1">
                  <c:v>-7.5513029992613223E-4</c:v>
                </c:pt>
                <c:pt idx="2">
                  <c:v>-3.9163537091480016E-4</c:v>
                </c:pt>
                <c:pt idx="3">
                  <c:v>4.1984958455176802E-3</c:v>
                </c:pt>
                <c:pt idx="4">
                  <c:v>9.7558346636765769E-3</c:v>
                </c:pt>
                <c:pt idx="5">
                  <c:v>1.2105209001501915E-2</c:v>
                </c:pt>
                <c:pt idx="6">
                  <c:v>1.7378327473333011E-2</c:v>
                </c:pt>
                <c:pt idx="7">
                  <c:v>1.6513251122950434E-2</c:v>
                </c:pt>
                <c:pt idx="8">
                  <c:v>1.4880286248678765E-2</c:v>
                </c:pt>
                <c:pt idx="9">
                  <c:v>2.0420661789225969E-2</c:v>
                </c:pt>
                <c:pt idx="10">
                  <c:v>1.8441106584014655E-2</c:v>
                </c:pt>
                <c:pt idx="11">
                  <c:v>1.9307950301283849E-2</c:v>
                </c:pt>
                <c:pt idx="12">
                  <c:v>2.2262750614166382E-2</c:v>
                </c:pt>
                <c:pt idx="13">
                  <c:v>1.4519487848624113E-2</c:v>
                </c:pt>
                <c:pt idx="14">
                  <c:v>7.2429441403716321E-3</c:v>
                </c:pt>
                <c:pt idx="15">
                  <c:v>9.1609990727374857E-3</c:v>
                </c:pt>
                <c:pt idx="16">
                  <c:v>3.2451210529680363E-3</c:v>
                </c:pt>
                <c:pt idx="17">
                  <c:v>-3.6895845041730047E-3</c:v>
                </c:pt>
                <c:pt idx="18">
                  <c:v>7.519721886491082E-3</c:v>
                </c:pt>
                <c:pt idx="19">
                  <c:v>4.2458928733577483E-3</c:v>
                </c:pt>
                <c:pt idx="20">
                  <c:v>-8.3045187447069457E-3</c:v>
                </c:pt>
                <c:pt idx="21">
                  <c:v>9.2318266767115187E-3</c:v>
                </c:pt>
                <c:pt idx="22">
                  <c:v>5.4598980616886728E-3</c:v>
                </c:pt>
                <c:pt idx="23">
                  <c:v>3.6258440218350785E-4</c:v>
                </c:pt>
                <c:pt idx="24">
                  <c:v>-1.272633901293907E-2</c:v>
                </c:pt>
                <c:pt idx="25">
                  <c:v>-4.5778996984782383E-2</c:v>
                </c:pt>
                <c:pt idx="26">
                  <c:v>-3.498370914793103E-3</c:v>
                </c:pt>
                <c:pt idx="27">
                  <c:v>-7.041715229460177E-3</c:v>
                </c:pt>
                <c:pt idx="28">
                  <c:v>-7.6811511687031597E-3</c:v>
                </c:pt>
                <c:pt idx="29">
                  <c:v>-8.1589529586864051E-3</c:v>
                </c:pt>
                <c:pt idx="30">
                  <c:v>-1.3502626640628179E-2</c:v>
                </c:pt>
                <c:pt idx="31">
                  <c:v>-1.8352022361541431E-2</c:v>
                </c:pt>
                <c:pt idx="32">
                  <c:v>-1.6280634758840673E-2</c:v>
                </c:pt>
                <c:pt idx="33">
                  <c:v>-1.6244167202849269E-2</c:v>
                </c:pt>
                <c:pt idx="34">
                  <c:v>-1.7957560281765872E-2</c:v>
                </c:pt>
                <c:pt idx="35">
                  <c:v>-1.5183075241292032E-2</c:v>
                </c:pt>
                <c:pt idx="36">
                  <c:v>-2.5174230577757584E-2</c:v>
                </c:pt>
              </c:numCache>
            </c:numRef>
          </c:val>
          <c:smooth val="0"/>
          <c:extLst>
            <c:ext xmlns:c16="http://schemas.microsoft.com/office/drawing/2014/chart" uri="{C3380CC4-5D6E-409C-BE32-E72D297353CC}">
              <c16:uniqueId val="{00000002-B03A-42A3-B135-4741D0974FA0}"/>
            </c:ext>
          </c:extLst>
        </c:ser>
        <c:ser>
          <c:idx val="3"/>
          <c:order val="3"/>
          <c:tx>
            <c:strRef>
              <c:f>'Norway Model Year by Year'!$AA$2</c:f>
              <c:strCache>
                <c:ptCount val="1"/>
                <c:pt idx="0">
                  <c:v>PSI(1%) Post-Tax</c:v>
                </c:pt>
              </c:strCache>
            </c:strRef>
          </c:tx>
          <c:spPr>
            <a:ln w="28575" cap="rnd">
              <a:solidFill>
                <a:srgbClr val="FF0000"/>
              </a:solidFill>
              <a:prstDash val="solid"/>
              <a:round/>
            </a:ln>
            <a:effectLst/>
          </c:spPr>
          <c:marker>
            <c:symbol val="none"/>
          </c:marker>
          <c:cat>
            <c:numRef>
              <c:f>'Norway Model Year by Year'!$A$3:$A$41</c:f>
              <c:numCache>
                <c:formatCode>General</c:formatCode>
                <c:ptCount val="39"/>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numCache>
            </c:numRef>
          </c:cat>
          <c:val>
            <c:numRef>
              <c:f>'Norway Model Year by Year'!$AA$3:$AA$39</c:f>
              <c:numCache>
                <c:formatCode>0.00%</c:formatCode>
                <c:ptCount val="37"/>
                <c:pt idx="0">
                  <c:v>0.36782547355883599</c:v>
                </c:pt>
                <c:pt idx="1">
                  <c:v>0.36768636344777228</c:v>
                </c:pt>
                <c:pt idx="2">
                  <c:v>0.3772579816557089</c:v>
                </c:pt>
                <c:pt idx="3">
                  <c:v>0.36166782989675261</c:v>
                </c:pt>
                <c:pt idx="4">
                  <c:v>0.42362461086402448</c:v>
                </c:pt>
                <c:pt idx="5">
                  <c:v>0.44054367264501959</c:v>
                </c:pt>
                <c:pt idx="6">
                  <c:v>0.30735325558134807</c:v>
                </c:pt>
                <c:pt idx="7">
                  <c:v>0.22857026480052212</c:v>
                </c:pt>
                <c:pt idx="8">
                  <c:v>0.16220409774898004</c:v>
                </c:pt>
                <c:pt idx="9">
                  <c:v>0.19360451267834344</c:v>
                </c:pt>
                <c:pt idx="10">
                  <c:v>0.19504449407608804</c:v>
                </c:pt>
                <c:pt idx="11">
                  <c:v>0.18800222076302187</c:v>
                </c:pt>
                <c:pt idx="12">
                  <c:v>0.27711106883139958</c:v>
                </c:pt>
                <c:pt idx="13">
                  <c:v>0.49235251658513079</c:v>
                </c:pt>
                <c:pt idx="14">
                  <c:v>0.59806235216030035</c:v>
                </c:pt>
                <c:pt idx="15">
                  <c:v>0.60794480873946455</c:v>
                </c:pt>
                <c:pt idx="16">
                  <c:v>0.71582045627191149</c:v>
                </c:pt>
                <c:pt idx="17">
                  <c:v>0.82574300241173004</c:v>
                </c:pt>
                <c:pt idx="18">
                  <c:v>0.65887992610004287</c:v>
                </c:pt>
                <c:pt idx="19">
                  <c:v>0.7287885784092456</c:v>
                </c:pt>
                <c:pt idx="20">
                  <c:v>1.0373179546686284</c:v>
                </c:pt>
                <c:pt idx="21">
                  <c:v>0.65512557780903213</c:v>
                </c:pt>
                <c:pt idx="22">
                  <c:v>0.95391366394862853</c:v>
                </c:pt>
                <c:pt idx="23">
                  <c:v>1.158950918817844</c:v>
                </c:pt>
                <c:pt idx="24">
                  <c:v>1.3309307510734265</c:v>
                </c:pt>
                <c:pt idx="25">
                  <c:v>1.6105327081418195</c:v>
                </c:pt>
                <c:pt idx="26">
                  <c:v>0.55155780297386636</c:v>
                </c:pt>
                <c:pt idx="27">
                  <c:v>0.6924027713218408</c:v>
                </c:pt>
                <c:pt idx="28">
                  <c:v>0.56679178764548066</c:v>
                </c:pt>
                <c:pt idx="29">
                  <c:v>0.64805261694770588</c:v>
                </c:pt>
                <c:pt idx="30">
                  <c:v>0.6783244842530658</c:v>
                </c:pt>
                <c:pt idx="31">
                  <c:v>0.74578144752670461</c:v>
                </c:pt>
                <c:pt idx="32">
                  <c:v>0.74300522169570704</c:v>
                </c:pt>
                <c:pt idx="33">
                  <c:v>0.7015656220349451</c:v>
                </c:pt>
                <c:pt idx="34">
                  <c:v>0.62272390027701552</c:v>
                </c:pt>
                <c:pt idx="35">
                  <c:v>0.55383486016895844</c:v>
                </c:pt>
                <c:pt idx="36">
                  <c:v>0.66378091055616517</c:v>
                </c:pt>
              </c:numCache>
            </c:numRef>
          </c:val>
          <c:smooth val="0"/>
          <c:extLst>
            <c:ext xmlns:c16="http://schemas.microsoft.com/office/drawing/2014/chart" uri="{C3380CC4-5D6E-409C-BE32-E72D297353CC}">
              <c16:uniqueId val="{00000003-B03A-42A3-B135-4741D0974FA0}"/>
            </c:ext>
          </c:extLst>
        </c:ser>
        <c:ser>
          <c:idx val="4"/>
          <c:order val="4"/>
          <c:tx>
            <c:strRef>
              <c:f>'Norway Model Year by Year'!$AB$2</c:f>
              <c:strCache>
                <c:ptCount val="1"/>
                <c:pt idx="0">
                  <c:v>PSI(10% to 1%) Post-Tax</c:v>
                </c:pt>
              </c:strCache>
            </c:strRef>
          </c:tx>
          <c:spPr>
            <a:ln w="28575" cap="rnd">
              <a:solidFill>
                <a:srgbClr val="00B050"/>
              </a:solidFill>
              <a:round/>
            </a:ln>
            <a:effectLst/>
          </c:spPr>
          <c:marker>
            <c:symbol val="none"/>
          </c:marker>
          <c:cat>
            <c:numRef>
              <c:f>'Norway Model Year by Year'!$A$3:$A$41</c:f>
              <c:numCache>
                <c:formatCode>General</c:formatCode>
                <c:ptCount val="39"/>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numCache>
            </c:numRef>
          </c:cat>
          <c:val>
            <c:numRef>
              <c:f>'Norway Model Year by Year'!$AB$3:$AB$39</c:f>
              <c:numCache>
                <c:formatCode>0.00%</c:formatCode>
                <c:ptCount val="37"/>
                <c:pt idx="0">
                  <c:v>-0.12227806318540135</c:v>
                </c:pt>
                <c:pt idx="1">
                  <c:v>-0.12645873101742633</c:v>
                </c:pt>
                <c:pt idx="2">
                  <c:v>-0.12042741601733598</c:v>
                </c:pt>
                <c:pt idx="3">
                  <c:v>-0.12558055616819075</c:v>
                </c:pt>
                <c:pt idx="4">
                  <c:v>-0.14869534234205195</c:v>
                </c:pt>
                <c:pt idx="5">
                  <c:v>-0.15102189509439912</c:v>
                </c:pt>
                <c:pt idx="6">
                  <c:v>-0.13318848050755949</c:v>
                </c:pt>
                <c:pt idx="7">
                  <c:v>-0.1349894437919632</c:v>
                </c:pt>
                <c:pt idx="8">
                  <c:v>-0.12942830695489715</c:v>
                </c:pt>
                <c:pt idx="9">
                  <c:v>-0.16273107677658993</c:v>
                </c:pt>
                <c:pt idx="10">
                  <c:v>-0.16319226652935581</c:v>
                </c:pt>
                <c:pt idx="11">
                  <c:v>-0.174216897353626</c:v>
                </c:pt>
                <c:pt idx="12">
                  <c:v>-0.20450236735635996</c:v>
                </c:pt>
                <c:pt idx="13">
                  <c:v>-0.21267010891420601</c:v>
                </c:pt>
                <c:pt idx="14">
                  <c:v>-0.20283963139653205</c:v>
                </c:pt>
                <c:pt idx="15">
                  <c:v>-0.20803808338732011</c:v>
                </c:pt>
                <c:pt idx="16">
                  <c:v>-0.21421856230937075</c:v>
                </c:pt>
                <c:pt idx="17">
                  <c:v>-0.21335567913818421</c:v>
                </c:pt>
                <c:pt idx="18">
                  <c:v>-0.21848550423728386</c:v>
                </c:pt>
                <c:pt idx="19">
                  <c:v>-0.22588902438014391</c:v>
                </c:pt>
                <c:pt idx="20">
                  <c:v>-0.24650065795797327</c:v>
                </c:pt>
                <c:pt idx="21">
                  <c:v>-0.23026070427606793</c:v>
                </c:pt>
                <c:pt idx="22">
                  <c:v>-0.26343993526873821</c:v>
                </c:pt>
                <c:pt idx="23">
                  <c:v>-0.27090046167885196</c:v>
                </c:pt>
                <c:pt idx="24">
                  <c:v>-0.27943870075340083</c:v>
                </c:pt>
                <c:pt idx="25">
                  <c:v>-0.31035627847137082</c:v>
                </c:pt>
                <c:pt idx="26">
                  <c:v>-0.23225397395735969</c:v>
                </c:pt>
                <c:pt idx="27">
                  <c:v>-0.22723744644820909</c:v>
                </c:pt>
                <c:pt idx="28">
                  <c:v>-0.23041011377617115</c:v>
                </c:pt>
                <c:pt idx="29">
                  <c:v>-0.21180060206073315</c:v>
                </c:pt>
                <c:pt idx="30">
                  <c:v>-0.21062161950139757</c:v>
                </c:pt>
                <c:pt idx="31">
                  <c:v>-0.19961097453451537</c:v>
                </c:pt>
                <c:pt idx="32">
                  <c:v>-0.18415454040924173</c:v>
                </c:pt>
                <c:pt idx="33">
                  <c:v>-0.18510424375712453</c:v>
                </c:pt>
                <c:pt idx="34">
                  <c:v>-0.2112426252764652</c:v>
                </c:pt>
                <c:pt idx="35">
                  <c:v>-0.20092817334530644</c:v>
                </c:pt>
                <c:pt idx="36">
                  <c:v>-0.19697947010646633</c:v>
                </c:pt>
              </c:numCache>
            </c:numRef>
          </c:val>
          <c:smooth val="0"/>
          <c:extLst>
            <c:ext xmlns:c16="http://schemas.microsoft.com/office/drawing/2014/chart" uri="{C3380CC4-5D6E-409C-BE32-E72D297353CC}">
              <c16:uniqueId val="{00000004-B03A-42A3-B135-4741D0974FA0}"/>
            </c:ext>
          </c:extLst>
        </c:ser>
        <c:ser>
          <c:idx val="5"/>
          <c:order val="5"/>
          <c:tx>
            <c:strRef>
              <c:f>'Norway Model Year by Year'!$AC$2</c:f>
              <c:strCache>
                <c:ptCount val="1"/>
                <c:pt idx="0">
                  <c:v>PSI(90%) Post-Tax</c:v>
                </c:pt>
              </c:strCache>
            </c:strRef>
          </c:tx>
          <c:spPr>
            <a:ln w="28575" cap="rnd">
              <a:solidFill>
                <a:srgbClr val="0070C0"/>
              </a:solidFill>
              <a:round/>
            </a:ln>
            <a:effectLst/>
          </c:spPr>
          <c:marker>
            <c:symbol val="none"/>
          </c:marker>
          <c:cat>
            <c:numRef>
              <c:f>'Norway Model Year by Year'!$A$3:$A$41</c:f>
              <c:numCache>
                <c:formatCode>General</c:formatCode>
                <c:ptCount val="39"/>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numCache>
            </c:numRef>
          </c:cat>
          <c:val>
            <c:numRef>
              <c:f>'Norway Model Year by Year'!$AC$3:$AC$39</c:f>
              <c:numCache>
                <c:formatCode>0.00%</c:formatCode>
                <c:ptCount val="37"/>
                <c:pt idx="0">
                  <c:v>1.2842441389329773E-2</c:v>
                </c:pt>
                <c:pt idx="1">
                  <c:v>1.3937717987642317E-2</c:v>
                </c:pt>
                <c:pt idx="2">
                  <c:v>1.1889528695891327E-2</c:v>
                </c:pt>
                <c:pt idx="3">
                  <c:v>1.3983449176694585E-2</c:v>
                </c:pt>
                <c:pt idx="4">
                  <c:v>1.6861231467408366E-2</c:v>
                </c:pt>
                <c:pt idx="5">
                  <c:v>1.6594065915935818E-2</c:v>
                </c:pt>
                <c:pt idx="6">
                  <c:v>1.8415436316243872E-2</c:v>
                </c:pt>
                <c:pt idx="7">
                  <c:v>2.2460054022986231E-2</c:v>
                </c:pt>
                <c:pt idx="8">
                  <c:v>2.3458194855274117E-2</c:v>
                </c:pt>
                <c:pt idx="9">
                  <c:v>3.0457586331415154E-2</c:v>
                </c:pt>
                <c:pt idx="10">
                  <c:v>3.0688170135491299E-2</c:v>
                </c:pt>
                <c:pt idx="11">
                  <c:v>3.3902730294329109E-2</c:v>
                </c:pt>
                <c:pt idx="12">
                  <c:v>3.8615814835662343E-2</c:v>
                </c:pt>
                <c:pt idx="13">
                  <c:v>3.0427267216075915E-2</c:v>
                </c:pt>
                <c:pt idx="14">
                  <c:v>2.1923826830587245E-2</c:v>
                </c:pt>
                <c:pt idx="15">
                  <c:v>2.2792905154252363E-2</c:v>
                </c:pt>
                <c:pt idx="16">
                  <c:v>1.7839743161425003E-2</c:v>
                </c:pt>
                <c:pt idx="17">
                  <c:v>1.0074258058062391E-2</c:v>
                </c:pt>
                <c:pt idx="18">
                  <c:v>2.2625760251780314E-2</c:v>
                </c:pt>
                <c:pt idx="19">
                  <c:v>2.0259529810263688E-2</c:v>
                </c:pt>
                <c:pt idx="20">
                  <c:v>4.5244672877307046E-3</c:v>
                </c:pt>
                <c:pt idx="21">
                  <c:v>2.6201678131435813E-2</c:v>
                </c:pt>
                <c:pt idx="22">
                  <c:v>1.6153376881452575E-2</c:v>
                </c:pt>
                <c:pt idx="23">
                  <c:v>4.0778237115175475E-3</c:v>
                </c:pt>
                <c:pt idx="24">
                  <c:v>-7.0355730739147804E-3</c:v>
                </c:pt>
                <c:pt idx="25">
                  <c:v>-2.4366101517909522E-2</c:v>
                </c:pt>
                <c:pt idx="26">
                  <c:v>3.3586502037794341E-2</c:v>
                </c:pt>
                <c:pt idx="27">
                  <c:v>2.2690856565104056E-2</c:v>
                </c:pt>
                <c:pt idx="28">
                  <c:v>3.20335285669342E-2</c:v>
                </c:pt>
                <c:pt idx="29">
                  <c:v>2.1369757244537935E-2</c:v>
                </c:pt>
                <c:pt idx="30">
                  <c:v>1.901927878631926E-2</c:v>
                </c:pt>
                <c:pt idx="31">
                  <c:v>1.1681846556724995E-2</c:v>
                </c:pt>
                <c:pt idx="32">
                  <c:v>7.8044378072306131E-3</c:v>
                </c:pt>
                <c:pt idx="33">
                  <c:v>1.0731920511127813E-2</c:v>
                </c:pt>
                <c:pt idx="34">
                  <c:v>2.2724352520791191E-2</c:v>
                </c:pt>
                <c:pt idx="35">
                  <c:v>2.3962914363016674E-2</c:v>
                </c:pt>
                <c:pt idx="36">
                  <c:v>1.6250512260222338E-2</c:v>
                </c:pt>
              </c:numCache>
            </c:numRef>
          </c:val>
          <c:smooth val="0"/>
          <c:extLst>
            <c:ext xmlns:c16="http://schemas.microsoft.com/office/drawing/2014/chart" uri="{C3380CC4-5D6E-409C-BE32-E72D297353CC}">
              <c16:uniqueId val="{00000005-B03A-42A3-B135-4741D0974FA0}"/>
            </c:ext>
          </c:extLst>
        </c:ser>
        <c:dLbls>
          <c:showLegendKey val="0"/>
          <c:showVal val="0"/>
          <c:showCatName val="0"/>
          <c:showSerName val="0"/>
          <c:showPercent val="0"/>
          <c:showBubbleSize val="0"/>
        </c:dLbls>
        <c:smooth val="0"/>
        <c:axId val="733288016"/>
        <c:axId val="700209104"/>
      </c:lineChart>
      <c:catAx>
        <c:axId val="733288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0209104"/>
        <c:crosses val="autoZero"/>
        <c:auto val="1"/>
        <c:lblAlgn val="ctr"/>
        <c:lblOffset val="100"/>
        <c:noMultiLvlLbl val="0"/>
      </c:catAx>
      <c:valAx>
        <c:axId val="700209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3288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a:t>
            </a:r>
            <a:r>
              <a:rPr lang="en-US" baseline="0"/>
              <a:t> and Post Tax PSI- Sweden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'Sweden Model Year by Year'!$X$2</c:f>
              <c:strCache>
                <c:ptCount val="1"/>
                <c:pt idx="0">
                  <c:v>PSI(1%) Pre-Tax</c:v>
                </c:pt>
              </c:strCache>
            </c:strRef>
          </c:tx>
          <c:spPr>
            <a:ln w="28575" cap="rnd">
              <a:solidFill>
                <a:srgbClr val="FF0000"/>
              </a:solidFill>
              <a:prstDash val="dash"/>
              <a:round/>
            </a:ln>
            <a:effectLst/>
          </c:spPr>
          <c:marker>
            <c:symbol val="none"/>
          </c:marker>
          <c:cat>
            <c:numRef>
              <c:f>'Sweden Model Year by Year'!$A$3:$A$42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'Sweden Model Year by Year'!$X$3:$X$39</c:f>
              <c:numCache>
                <c:formatCode>0.00%</c:formatCode>
                <c:ptCount val="37"/>
                <c:pt idx="0">
                  <c:v>0.3748495074178666</c:v>
                </c:pt>
                <c:pt idx="1">
                  <c:v>0.3930034075462896</c:v>
                </c:pt>
                <c:pt idx="2">
                  <c:v>0.49297767669508596</c:v>
                </c:pt>
                <c:pt idx="3">
                  <c:v>0.52158863701439784</c:v>
                </c:pt>
                <c:pt idx="4">
                  <c:v>0.60623249401328794</c:v>
                </c:pt>
                <c:pt idx="5">
                  <c:v>0.58782996140682719</c:v>
                </c:pt>
                <c:pt idx="6">
                  <c:v>0.53765892622007971</c:v>
                </c:pt>
                <c:pt idx="7">
                  <c:v>0.54791104219496489</c:v>
                </c:pt>
                <c:pt idx="8">
                  <c:v>0.59602725129931255</c:v>
                </c:pt>
                <c:pt idx="9">
                  <c:v>0.54802855896165426</c:v>
                </c:pt>
                <c:pt idx="10">
                  <c:v>0.45579067225201619</c:v>
                </c:pt>
                <c:pt idx="11">
                  <c:v>0.52681053361310615</c:v>
                </c:pt>
                <c:pt idx="12">
                  <c:v>0.55118583012661948</c:v>
                </c:pt>
                <c:pt idx="13">
                  <c:v>0.67944681914857341</c:v>
                </c:pt>
                <c:pt idx="14">
                  <c:v>0.8539848013275797</c:v>
                </c:pt>
                <c:pt idx="15">
                  <c:v>0.88144250669566171</c:v>
                </c:pt>
                <c:pt idx="16">
                  <c:v>0.80178115415534057</c:v>
                </c:pt>
                <c:pt idx="17">
                  <c:v>0.84318926452769638</c:v>
                </c:pt>
                <c:pt idx="18">
                  <c:v>0.79043743848976677</c:v>
                </c:pt>
                <c:pt idx="19">
                  <c:v>0.79753305377407502</c:v>
                </c:pt>
                <c:pt idx="20">
                  <c:v>0.64461314842274708</c:v>
                </c:pt>
                <c:pt idx="21">
                  <c:v>0.6034372495598721</c:v>
                </c:pt>
                <c:pt idx="22">
                  <c:v>0.61756256737037241</c:v>
                </c:pt>
                <c:pt idx="23">
                  <c:v>0.66837928590709272</c:v>
                </c:pt>
                <c:pt idx="24">
                  <c:v>0.69570608000994105</c:v>
                </c:pt>
                <c:pt idx="25">
                  <c:v>0.77204422038244913</c:v>
                </c:pt>
                <c:pt idx="26">
                  <c:v>0.84647850118790968</c:v>
                </c:pt>
                <c:pt idx="27">
                  <c:v>0.83184886565166605</c:v>
                </c:pt>
                <c:pt idx="28">
                  <c:v>0.79208639902058442</c:v>
                </c:pt>
                <c:pt idx="29">
                  <c:v>0.71921752503373204</c:v>
                </c:pt>
                <c:pt idx="30">
                  <c:v>0.81954149061164894</c:v>
                </c:pt>
                <c:pt idx="31">
                  <c:v>0.77781169474560241</c:v>
                </c:pt>
                <c:pt idx="32">
                  <c:v>0.78573852845132763</c:v>
                </c:pt>
                <c:pt idx="33">
                  <c:v>0.80030983999457739</c:v>
                </c:pt>
                <c:pt idx="34">
                  <c:v>0.99247875411345832</c:v>
                </c:pt>
                <c:pt idx="35">
                  <c:v>0.94522665608072076</c:v>
                </c:pt>
                <c:pt idx="36">
                  <c:v>0.38609917876799749</c:v>
                </c:pt>
              </c:numCache>
            </c:numRef>
          </c:val>
          <c:smooth val="0"/>
          <c:extLst>
            <c:ext xmlns:c16="http://schemas.microsoft.com/office/drawing/2014/chart" uri="{C3380CC4-5D6E-409C-BE32-E72D297353CC}">
              <c16:uniqueId val="{00000000-AECF-4144-81CF-99C2EADD2BF7}"/>
            </c:ext>
          </c:extLst>
        </c:ser>
        <c:ser>
          <c:idx val="1"/>
          <c:order val="1"/>
          <c:tx>
            <c:strRef>
              <c:f>'Sweden Model Year by Year'!$Y$2</c:f>
              <c:strCache>
                <c:ptCount val="1"/>
                <c:pt idx="0">
                  <c:v>PSI(10% to 1%) Pre-Tax</c:v>
                </c:pt>
              </c:strCache>
            </c:strRef>
          </c:tx>
          <c:spPr>
            <a:ln w="28575" cap="rnd">
              <a:solidFill>
                <a:srgbClr val="00B050"/>
              </a:solidFill>
              <a:prstDash val="dash"/>
              <a:round/>
            </a:ln>
            <a:effectLst/>
          </c:spPr>
          <c:marker>
            <c:symbol val="none"/>
          </c:marker>
          <c:cat>
            <c:numRef>
              <c:f>'Sweden Model Year by Year'!$A$3:$A$42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'Sweden Model Year by Year'!$Y$3:$Y$39</c:f>
              <c:numCache>
                <c:formatCode>0.00%</c:formatCode>
                <c:ptCount val="37"/>
                <c:pt idx="0">
                  <c:v>-9.7555948648320512E-2</c:v>
                </c:pt>
                <c:pt idx="1">
                  <c:v>-0.10522031722394232</c:v>
                </c:pt>
                <c:pt idx="2">
                  <c:v>-0.11411763802786912</c:v>
                </c:pt>
                <c:pt idx="3">
                  <c:v>-0.11727100351355479</c:v>
                </c:pt>
                <c:pt idx="4">
                  <c:v>-0.13283871556155991</c:v>
                </c:pt>
                <c:pt idx="5">
                  <c:v>-0.12960388266414424</c:v>
                </c:pt>
                <c:pt idx="6">
                  <c:v>-0.13060265847367125</c:v>
                </c:pt>
                <c:pt idx="7">
                  <c:v>-0.135817327639559</c:v>
                </c:pt>
                <c:pt idx="8">
                  <c:v>-0.14662688422476</c:v>
                </c:pt>
                <c:pt idx="9">
                  <c:v>-0.1472358440464665</c:v>
                </c:pt>
                <c:pt idx="10">
                  <c:v>-0.11863948132521862</c:v>
                </c:pt>
                <c:pt idx="11">
                  <c:v>-9.0010510487399831E-2</c:v>
                </c:pt>
                <c:pt idx="12">
                  <c:v>-7.702173908877108E-2</c:v>
                </c:pt>
                <c:pt idx="13">
                  <c:v>-6.9934202333590489E-2</c:v>
                </c:pt>
                <c:pt idx="14">
                  <c:v>-7.8587098548776546E-2</c:v>
                </c:pt>
                <c:pt idx="15">
                  <c:v>-8.8551471283789152E-2</c:v>
                </c:pt>
                <c:pt idx="16">
                  <c:v>-7.0154751147385452E-2</c:v>
                </c:pt>
                <c:pt idx="17">
                  <c:v>-7.0675136162505314E-2</c:v>
                </c:pt>
                <c:pt idx="18">
                  <c:v>-8.2596880305377818E-2</c:v>
                </c:pt>
                <c:pt idx="19">
                  <c:v>-8.7441790103968464E-2</c:v>
                </c:pt>
                <c:pt idx="20">
                  <c:v>-1.8281772706310817E-2</c:v>
                </c:pt>
                <c:pt idx="21">
                  <c:v>-1.009959298473162E-2</c:v>
                </c:pt>
                <c:pt idx="22">
                  <c:v>-9.8930216748830402E-3</c:v>
                </c:pt>
                <c:pt idx="23">
                  <c:v>-2.6653436763866556E-2</c:v>
                </c:pt>
                <c:pt idx="24">
                  <c:v>-4.3206546836537685E-2</c:v>
                </c:pt>
                <c:pt idx="25">
                  <c:v>-7.140732904090652E-2</c:v>
                </c:pt>
                <c:pt idx="26">
                  <c:v>-8.3617267480910584E-2</c:v>
                </c:pt>
                <c:pt idx="27">
                  <c:v>-9.3548417612724921E-2</c:v>
                </c:pt>
                <c:pt idx="28">
                  <c:v>-9.8069518796173316E-2</c:v>
                </c:pt>
                <c:pt idx="29">
                  <c:v>-5.3910675253697415E-2</c:v>
                </c:pt>
                <c:pt idx="30">
                  <c:v>-6.3182804164386597E-2</c:v>
                </c:pt>
                <c:pt idx="31">
                  <c:v>-5.6304861868287204E-2</c:v>
                </c:pt>
                <c:pt idx="32">
                  <c:v>-5.8529939213148863E-2</c:v>
                </c:pt>
                <c:pt idx="33">
                  <c:v>-5.8536977830933812E-2</c:v>
                </c:pt>
                <c:pt idx="34">
                  <c:v>-8.4128808184241843E-2</c:v>
                </c:pt>
                <c:pt idx="35">
                  <c:v>-7.1217391632118598E-2</c:v>
                </c:pt>
                <c:pt idx="36">
                  <c:v>-0.20441903370897441</c:v>
                </c:pt>
              </c:numCache>
            </c:numRef>
          </c:val>
          <c:smooth val="0"/>
          <c:extLst>
            <c:ext xmlns:c16="http://schemas.microsoft.com/office/drawing/2014/chart" uri="{C3380CC4-5D6E-409C-BE32-E72D297353CC}">
              <c16:uniqueId val="{00000001-AECF-4144-81CF-99C2EADD2BF7}"/>
            </c:ext>
          </c:extLst>
        </c:ser>
        <c:ser>
          <c:idx val="2"/>
          <c:order val="2"/>
          <c:tx>
            <c:strRef>
              <c:f>'Sweden Model Year by Year'!$Z$2</c:f>
              <c:strCache>
                <c:ptCount val="1"/>
                <c:pt idx="0">
                  <c:v>PSI(90%) Pre-Tax</c:v>
                </c:pt>
              </c:strCache>
            </c:strRef>
          </c:tx>
          <c:spPr>
            <a:ln w="28575" cap="rnd">
              <a:solidFill>
                <a:srgbClr val="0070C0"/>
              </a:solidFill>
              <a:prstDash val="dash"/>
              <a:round/>
            </a:ln>
            <a:effectLst/>
          </c:spPr>
          <c:marker>
            <c:symbol val="none"/>
          </c:marker>
          <c:cat>
            <c:numRef>
              <c:f>'Sweden Model Year by Year'!$A$3:$A$42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'Sweden Model Year by Year'!$Z$3:$Z$39</c:f>
              <c:numCache>
                <c:formatCode>0.00%</c:formatCode>
                <c:ptCount val="37"/>
                <c:pt idx="0">
                  <c:v>6.3927891506225798E-3</c:v>
                </c:pt>
                <c:pt idx="1">
                  <c:v>7.4488290339602692E-3</c:v>
                </c:pt>
                <c:pt idx="2">
                  <c:v>4.7392310283957961E-3</c:v>
                </c:pt>
                <c:pt idx="3">
                  <c:v>4.0454883507621275E-3</c:v>
                </c:pt>
                <c:pt idx="4">
                  <c:v>3.2649942449098912E-3</c:v>
                </c:pt>
                <c:pt idx="5">
                  <c:v>3.4459403095730146E-3</c:v>
                </c:pt>
                <c:pt idx="6">
                  <c:v>6.2719219650311242E-3</c:v>
                </c:pt>
                <c:pt idx="7">
                  <c:v>7.0296856401086405E-3</c:v>
                </c:pt>
                <c:pt idx="8">
                  <c:v>7.1393799215941911E-3</c:v>
                </c:pt>
                <c:pt idx="9">
                  <c:v>9.9639577145593794E-3</c:v>
                </c:pt>
                <c:pt idx="10">
                  <c:v>7.6661105886641767E-3</c:v>
                </c:pt>
                <c:pt idx="11">
                  <c:v>-3.0058442733925661E-3</c:v>
                </c:pt>
                <c:pt idx="12">
                  <c:v>-7.0193647290524019E-3</c:v>
                </c:pt>
                <c:pt idx="13">
                  <c:v>-1.5083251254356722E-2</c:v>
                </c:pt>
                <c:pt idx="14">
                  <c:v>-2.4539730975397744E-2</c:v>
                </c:pt>
                <c:pt idx="15">
                  <c:v>-2.4655849776425209E-2</c:v>
                </c:pt>
                <c:pt idx="16">
                  <c:v>-2.4312379600185619E-2</c:v>
                </c:pt>
                <c:pt idx="17">
                  <c:v>-2.7110015679832178E-2</c:v>
                </c:pt>
                <c:pt idx="18">
                  <c:v>-2.1240456690119314E-2</c:v>
                </c:pt>
                <c:pt idx="19">
                  <c:v>-2.0801274141336368E-2</c:v>
                </c:pt>
                <c:pt idx="20">
                  <c:v>-2.8734028387038091E-2</c:v>
                </c:pt>
                <c:pt idx="21">
                  <c:v>-2.7638754558699019E-2</c:v>
                </c:pt>
                <c:pt idx="22">
                  <c:v>-2.8487840123449959E-2</c:v>
                </c:pt>
                <c:pt idx="23">
                  <c:v>-2.842122118432644E-2</c:v>
                </c:pt>
                <c:pt idx="24">
                  <c:v>-2.6333817641559065E-2</c:v>
                </c:pt>
                <c:pt idx="25">
                  <c:v>-2.4457582615093343E-2</c:v>
                </c:pt>
                <c:pt idx="26">
                  <c:v>-2.7417806831579683E-2</c:v>
                </c:pt>
                <c:pt idx="27">
                  <c:v>-2.3560377344613137E-2</c:v>
                </c:pt>
                <c:pt idx="28">
                  <c:v>-1.8971160546973675E-2</c:v>
                </c:pt>
                <c:pt idx="29">
                  <c:v>-2.3931939826758009E-2</c:v>
                </c:pt>
                <c:pt idx="30">
                  <c:v>-2.8932077999914596E-2</c:v>
                </c:pt>
                <c:pt idx="31">
                  <c:v>-2.7515702038505285E-2</c:v>
                </c:pt>
                <c:pt idx="32">
                  <c:v>-2.7008452809031747E-2</c:v>
                </c:pt>
                <c:pt idx="33">
                  <c:v>-2.7799477791604188E-2</c:v>
                </c:pt>
                <c:pt idx="34">
                  <c:v>-3.4981283465385093E-2</c:v>
                </c:pt>
                <c:pt idx="35">
                  <c:v>-3.5821554497324382E-2</c:v>
                </c:pt>
                <c:pt idx="36">
                  <c:v>3.8653914604638073E-2</c:v>
                </c:pt>
              </c:numCache>
            </c:numRef>
          </c:val>
          <c:smooth val="0"/>
          <c:extLst>
            <c:ext xmlns:c16="http://schemas.microsoft.com/office/drawing/2014/chart" uri="{C3380CC4-5D6E-409C-BE32-E72D297353CC}">
              <c16:uniqueId val="{00000002-AECF-4144-81CF-99C2EADD2BF7}"/>
            </c:ext>
          </c:extLst>
        </c:ser>
        <c:ser>
          <c:idx val="3"/>
          <c:order val="3"/>
          <c:tx>
            <c:strRef>
              <c:f>'Sweden Model Year by Year'!$AA$2</c:f>
              <c:strCache>
                <c:ptCount val="1"/>
                <c:pt idx="0">
                  <c:v>PSI(1%) Post-Tax</c:v>
                </c:pt>
              </c:strCache>
            </c:strRef>
          </c:tx>
          <c:spPr>
            <a:ln w="28575" cap="rnd">
              <a:solidFill>
                <a:srgbClr val="FF0000"/>
              </a:solidFill>
              <a:round/>
            </a:ln>
            <a:effectLst/>
          </c:spPr>
          <c:marker>
            <c:symbol val="none"/>
          </c:marker>
          <c:cat>
            <c:numRef>
              <c:f>'Sweden Model Year by Year'!$A$3:$A$42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'Sweden Model Year by Year'!$AA$3:$AA$39</c:f>
              <c:numCache>
                <c:formatCode>0.00%</c:formatCode>
                <c:ptCount val="37"/>
                <c:pt idx="0">
                  <c:v>0.14341188279667993</c:v>
                </c:pt>
                <c:pt idx="1">
                  <c:v>0.15991120389312541</c:v>
                </c:pt>
                <c:pt idx="2">
                  <c:v>0.29391390935431283</c:v>
                </c:pt>
                <c:pt idx="3">
                  <c:v>0.31941954401228623</c:v>
                </c:pt>
                <c:pt idx="4">
                  <c:v>0.43875801331878295</c:v>
                </c:pt>
                <c:pt idx="5">
                  <c:v>0.42700476317759484</c:v>
                </c:pt>
                <c:pt idx="6">
                  <c:v>0.38465801253882925</c:v>
                </c:pt>
                <c:pt idx="7">
                  <c:v>0.37592095168818851</c:v>
                </c:pt>
                <c:pt idx="8">
                  <c:v>0.40301934514266358</c:v>
                </c:pt>
                <c:pt idx="9">
                  <c:v>0.31682948846738124</c:v>
                </c:pt>
                <c:pt idx="10">
                  <c:v>0.18938904708202364</c:v>
                </c:pt>
                <c:pt idx="11">
                  <c:v>0.14978725346058841</c:v>
                </c:pt>
                <c:pt idx="12">
                  <c:v>0.17298154520864717</c:v>
                </c:pt>
                <c:pt idx="13">
                  <c:v>0.29417787237095738</c:v>
                </c:pt>
                <c:pt idx="14">
                  <c:v>0.50403592801215491</c:v>
                </c:pt>
                <c:pt idx="15">
                  <c:v>0.59069605591668428</c:v>
                </c:pt>
                <c:pt idx="16">
                  <c:v>0.50394567908768839</c:v>
                </c:pt>
                <c:pt idx="17">
                  <c:v>0.58678758748332416</c:v>
                </c:pt>
                <c:pt idx="18">
                  <c:v>0.55251344752398901</c:v>
                </c:pt>
                <c:pt idx="19">
                  <c:v>0.58884848311651949</c:v>
                </c:pt>
                <c:pt idx="20">
                  <c:v>0.51829879782651145</c:v>
                </c:pt>
                <c:pt idx="21">
                  <c:v>0.45482589282787944</c:v>
                </c:pt>
                <c:pt idx="22">
                  <c:v>0.47453050525511342</c:v>
                </c:pt>
                <c:pt idx="23">
                  <c:v>0.54424394350490735</c:v>
                </c:pt>
                <c:pt idx="24">
                  <c:v>0.47252301621488346</c:v>
                </c:pt>
                <c:pt idx="25">
                  <c:v>0.48795833038687308</c:v>
                </c:pt>
                <c:pt idx="26">
                  <c:v>0.50026371563542305</c:v>
                </c:pt>
                <c:pt idx="27">
                  <c:v>0.435653053936645</c:v>
                </c:pt>
                <c:pt idx="28">
                  <c:v>0.39536503570171577</c:v>
                </c:pt>
                <c:pt idx="29">
                  <c:v>0.31980327060847347</c:v>
                </c:pt>
                <c:pt idx="30">
                  <c:v>0.40472366329976417</c:v>
                </c:pt>
                <c:pt idx="31">
                  <c:v>0.38944298061337945</c:v>
                </c:pt>
                <c:pt idx="32">
                  <c:v>0.35755053176032825</c:v>
                </c:pt>
                <c:pt idx="33">
                  <c:v>0.34779948631878743</c:v>
                </c:pt>
                <c:pt idx="34">
                  <c:v>0.38725486377990181</c:v>
                </c:pt>
                <c:pt idx="35">
                  <c:v>0.37390136717620437</c:v>
                </c:pt>
                <c:pt idx="36">
                  <c:v>-4.7371888579855193E-2</c:v>
                </c:pt>
              </c:numCache>
            </c:numRef>
          </c:val>
          <c:smooth val="0"/>
          <c:extLst>
            <c:ext xmlns:c16="http://schemas.microsoft.com/office/drawing/2014/chart" uri="{C3380CC4-5D6E-409C-BE32-E72D297353CC}">
              <c16:uniqueId val="{00000003-AECF-4144-81CF-99C2EADD2BF7}"/>
            </c:ext>
          </c:extLst>
        </c:ser>
        <c:ser>
          <c:idx val="4"/>
          <c:order val="4"/>
          <c:tx>
            <c:strRef>
              <c:f>'Sweden Model Year by Year'!$AB$2</c:f>
              <c:strCache>
                <c:ptCount val="1"/>
                <c:pt idx="0">
                  <c:v>PSI(10% to 1%) Post-Tax</c:v>
                </c:pt>
              </c:strCache>
            </c:strRef>
          </c:tx>
          <c:spPr>
            <a:ln w="28575" cap="rnd">
              <a:solidFill>
                <a:srgbClr val="00B050"/>
              </a:solidFill>
              <a:round/>
            </a:ln>
            <a:effectLst/>
          </c:spPr>
          <c:marker>
            <c:symbol val="none"/>
          </c:marker>
          <c:cat>
            <c:numRef>
              <c:f>'Sweden Model Year by Year'!$A$3:$A$42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'Sweden Model Year by Year'!$AB$3:$AB$39</c:f>
              <c:numCache>
                <c:formatCode>0.00%</c:formatCode>
                <c:ptCount val="37"/>
                <c:pt idx="0">
                  <c:v>-0.19274381160701581</c:v>
                </c:pt>
                <c:pt idx="1">
                  <c:v>-0.19971322765948052</c:v>
                </c:pt>
                <c:pt idx="2">
                  <c:v>-0.20343284352370006</c:v>
                </c:pt>
                <c:pt idx="3">
                  <c:v>-0.2029628293872624</c:v>
                </c:pt>
                <c:pt idx="4">
                  <c:v>-0.21341114648231518</c:v>
                </c:pt>
                <c:pt idx="5">
                  <c:v>-0.20840943601235518</c:v>
                </c:pt>
                <c:pt idx="6">
                  <c:v>-0.2078487586824721</c:v>
                </c:pt>
                <c:pt idx="7">
                  <c:v>-0.20971772034493674</c:v>
                </c:pt>
                <c:pt idx="8">
                  <c:v>-0.21521483121765861</c:v>
                </c:pt>
                <c:pt idx="9">
                  <c:v>-0.21337266460220483</c:v>
                </c:pt>
                <c:pt idx="10">
                  <c:v>-0.18667615030932561</c:v>
                </c:pt>
                <c:pt idx="11">
                  <c:v>-0.16299601542462538</c:v>
                </c:pt>
                <c:pt idx="12">
                  <c:v>-0.14781837270284204</c:v>
                </c:pt>
                <c:pt idx="13">
                  <c:v>-0.14870033281062511</c:v>
                </c:pt>
                <c:pt idx="14">
                  <c:v>-0.16619845088017593</c:v>
                </c:pt>
                <c:pt idx="15">
                  <c:v>-0.1805773498279416</c:v>
                </c:pt>
                <c:pt idx="16">
                  <c:v>-0.16085925778851617</c:v>
                </c:pt>
                <c:pt idx="17">
                  <c:v>-0.15417679251124783</c:v>
                </c:pt>
                <c:pt idx="18">
                  <c:v>-0.15798649046865976</c:v>
                </c:pt>
                <c:pt idx="19">
                  <c:v>-0.15599309184454235</c:v>
                </c:pt>
                <c:pt idx="20">
                  <c:v>-8.6610216608469237E-2</c:v>
                </c:pt>
                <c:pt idx="21">
                  <c:v>-8.314171289297756E-2</c:v>
                </c:pt>
                <c:pt idx="22">
                  <c:v>-8.283758436511679E-2</c:v>
                </c:pt>
                <c:pt idx="23">
                  <c:v>-9.6355961995616024E-2</c:v>
                </c:pt>
                <c:pt idx="24">
                  <c:v>-0.13568847505268655</c:v>
                </c:pt>
                <c:pt idx="25">
                  <c:v>-0.16147311645479001</c:v>
                </c:pt>
                <c:pt idx="26">
                  <c:v>-0.19264330155934484</c:v>
                </c:pt>
                <c:pt idx="27">
                  <c:v>-0.1942652041463957</c:v>
                </c:pt>
                <c:pt idx="28">
                  <c:v>-0.19050192602370897</c:v>
                </c:pt>
                <c:pt idx="29">
                  <c:v>-0.15643274284262598</c:v>
                </c:pt>
                <c:pt idx="30">
                  <c:v>-0.15623441991067677</c:v>
                </c:pt>
                <c:pt idx="31">
                  <c:v>-0.15440200753442646</c:v>
                </c:pt>
                <c:pt idx="32">
                  <c:v>-0.15706155925129339</c:v>
                </c:pt>
                <c:pt idx="33">
                  <c:v>-0.15608263700517444</c:v>
                </c:pt>
                <c:pt idx="34">
                  <c:v>-0.17201069544192904</c:v>
                </c:pt>
                <c:pt idx="35">
                  <c:v>-0.163858159680071</c:v>
                </c:pt>
                <c:pt idx="36">
                  <c:v>-0.28430481508413741</c:v>
                </c:pt>
              </c:numCache>
            </c:numRef>
          </c:val>
          <c:smooth val="0"/>
          <c:extLst>
            <c:ext xmlns:c16="http://schemas.microsoft.com/office/drawing/2014/chart" uri="{C3380CC4-5D6E-409C-BE32-E72D297353CC}">
              <c16:uniqueId val="{00000004-AECF-4144-81CF-99C2EADD2BF7}"/>
            </c:ext>
          </c:extLst>
        </c:ser>
        <c:ser>
          <c:idx val="5"/>
          <c:order val="5"/>
          <c:tx>
            <c:strRef>
              <c:f>'Sweden Model Year by Year'!$AC$2</c:f>
              <c:strCache>
                <c:ptCount val="1"/>
                <c:pt idx="0">
                  <c:v>PSI(90%) Post-Tax</c:v>
                </c:pt>
              </c:strCache>
            </c:strRef>
          </c:tx>
          <c:spPr>
            <a:ln w="28575" cap="rnd">
              <a:solidFill>
                <a:srgbClr val="0070C0"/>
              </a:solidFill>
              <a:round/>
            </a:ln>
            <a:effectLst/>
          </c:spPr>
          <c:marker>
            <c:symbol val="none"/>
          </c:marker>
          <c:cat>
            <c:numRef>
              <c:f>'Sweden Model Year by Year'!$A$3:$A$42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'Sweden Model Year by Year'!$AC$3:$AC$39</c:f>
              <c:numCache>
                <c:formatCode>0.00%</c:formatCode>
                <c:ptCount val="37"/>
                <c:pt idx="0">
                  <c:v>4.0650218270618987E-2</c:v>
                </c:pt>
                <c:pt idx="1">
                  <c:v>4.1404863622637178E-2</c:v>
                </c:pt>
                <c:pt idx="2">
                  <c:v>3.667692980510906E-2</c:v>
                </c:pt>
                <c:pt idx="3">
                  <c:v>3.5527609130871829E-2</c:v>
                </c:pt>
                <c:pt idx="4">
                  <c:v>3.292330495871254E-2</c:v>
                </c:pt>
                <c:pt idx="5">
                  <c:v>3.2153303403984701E-2</c:v>
                </c:pt>
                <c:pt idx="6">
                  <c:v>3.4198426118588365E-2</c:v>
                </c:pt>
                <c:pt idx="7">
                  <c:v>3.5261695251486369E-2</c:v>
                </c:pt>
                <c:pt idx="8">
                  <c:v>3.5620933477900074E-2</c:v>
                </c:pt>
                <c:pt idx="9">
                  <c:v>3.9413570644533324E-2</c:v>
                </c:pt>
                <c:pt idx="10">
                  <c:v>3.7524807501237101E-2</c:v>
                </c:pt>
                <c:pt idx="11">
                  <c:v>3.3645485181668322E-2</c:v>
                </c:pt>
                <c:pt idx="12">
                  <c:v>2.8305591412330022E-2</c:v>
                </c:pt>
                <c:pt idx="13">
                  <c:v>2.2897889292385676E-2</c:v>
                </c:pt>
                <c:pt idx="14">
                  <c:v>1.7235573477080379E-2</c:v>
                </c:pt>
                <c:pt idx="15">
                  <c:v>1.632051232454268E-2</c:v>
                </c:pt>
                <c:pt idx="16">
                  <c:v>1.5813301758248466E-2</c:v>
                </c:pt>
                <c:pt idx="17">
                  <c:v>9.4428749719619454E-3</c:v>
                </c:pt>
                <c:pt idx="18">
                  <c:v>1.230869189249395E-2</c:v>
                </c:pt>
                <c:pt idx="19">
                  <c:v>9.6449728628904552E-3</c:v>
                </c:pt>
                <c:pt idx="20">
                  <c:v>-4.3046071173220568E-3</c:v>
                </c:pt>
                <c:pt idx="21">
                  <c:v>-1.5245945962014673E-3</c:v>
                </c:pt>
                <c:pt idx="22">
                  <c:v>-2.6226384552002768E-3</c:v>
                </c:pt>
                <c:pt idx="23">
                  <c:v>-3.3839407946109068E-3</c:v>
                </c:pt>
                <c:pt idx="24">
                  <c:v>1.0727999854333037E-2</c:v>
                </c:pt>
                <c:pt idx="25">
                  <c:v>1.6773796279048847E-2</c:v>
                </c:pt>
                <c:pt idx="26">
                  <c:v>2.486286523122816E-2</c:v>
                </c:pt>
                <c:pt idx="27">
                  <c:v>2.9227407672373529E-2</c:v>
                </c:pt>
                <c:pt idx="28">
                  <c:v>3.0341584704691282E-2</c:v>
                </c:pt>
                <c:pt idx="29">
                  <c:v>2.4436556058636816E-2</c:v>
                </c:pt>
                <c:pt idx="30">
                  <c:v>2.0053925864271793E-2</c:v>
                </c:pt>
                <c:pt idx="31">
                  <c:v>2.0320069801267548E-2</c:v>
                </c:pt>
                <c:pt idx="32">
                  <c:v>2.2732501571737007E-2</c:v>
                </c:pt>
                <c:pt idx="33">
                  <c:v>2.2999964002936135E-2</c:v>
                </c:pt>
                <c:pt idx="34">
                  <c:v>2.5659416711942606E-2</c:v>
                </c:pt>
                <c:pt idx="35">
                  <c:v>2.4146146567697091E-2</c:v>
                </c:pt>
                <c:pt idx="36">
                  <c:v>0.10370439337492199</c:v>
                </c:pt>
              </c:numCache>
            </c:numRef>
          </c:val>
          <c:smooth val="0"/>
          <c:extLst>
            <c:ext xmlns:c16="http://schemas.microsoft.com/office/drawing/2014/chart" uri="{C3380CC4-5D6E-409C-BE32-E72D297353CC}">
              <c16:uniqueId val="{00000005-AECF-4144-81CF-99C2EADD2BF7}"/>
            </c:ext>
          </c:extLst>
        </c:ser>
        <c:dLbls>
          <c:showLegendKey val="0"/>
          <c:showVal val="0"/>
          <c:showCatName val="0"/>
          <c:showSerName val="0"/>
          <c:showPercent val="0"/>
          <c:showBubbleSize val="0"/>
        </c:dLbls>
        <c:smooth val="0"/>
        <c:axId val="507011168"/>
        <c:axId val="1043305056"/>
      </c:lineChart>
      <c:catAx>
        <c:axId val="507011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3305056"/>
        <c:crosses val="autoZero"/>
        <c:auto val="1"/>
        <c:lblAlgn val="ctr"/>
        <c:lblOffset val="100"/>
        <c:noMultiLvlLbl val="0"/>
      </c:catAx>
      <c:valAx>
        <c:axId val="1043305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7011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 Tax PSI C</a:t>
            </a:r>
            <a:r>
              <a:rPr lang="en-US" altLang="zh-CN"/>
              <a:t>apital VS </a:t>
            </a:r>
            <a:r>
              <a:rPr lang="en-US"/>
              <a:t>Non-capital I</a:t>
            </a:r>
            <a:r>
              <a:rPr lang="en-US" altLang="zh-CN"/>
              <a:t>ncome</a:t>
            </a:r>
            <a:r>
              <a:rPr lang="en-US"/>
              <a:t> - Denmark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'Denmark Labor Year by Year Thre'!$Z$2</c:f>
              <c:strCache>
                <c:ptCount val="1"/>
                <c:pt idx="0">
                  <c:v>PSI(5%) Pre-Tax</c:v>
                </c:pt>
              </c:strCache>
            </c:strRef>
          </c:tx>
          <c:spPr>
            <a:ln w="28575" cap="rnd">
              <a:solidFill>
                <a:srgbClr val="FF0000"/>
              </a:solidFill>
              <a:prstDash val="solid"/>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'Denmark Labor Year by Year Thre'!$A$3:$A$37</c:f>
              <c:numCache>
                <c:formatCode>General</c:formatCode>
                <c:ptCount val="35"/>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numCache>
            </c:numRef>
          </c:cat>
          <c:val>
            <c:numRef>
              <c:f>'Denmark Labor Year by Year Thre'!$Z$3:$Z$36</c:f>
              <c:numCache>
                <c:formatCode>0.00%</c:formatCode>
                <c:ptCount val="34"/>
                <c:pt idx="7">
                  <c:v>9.1540307524801134E-2</c:v>
                </c:pt>
                <c:pt idx="12">
                  <c:v>0.1538455227103086</c:v>
                </c:pt>
                <c:pt idx="15">
                  <c:v>0.18025170028006676</c:v>
                </c:pt>
                <c:pt idx="20">
                  <c:v>0.18030779862907509</c:v>
                </c:pt>
                <c:pt idx="24">
                  <c:v>0.20665913837187522</c:v>
                </c:pt>
                <c:pt idx="27">
                  <c:v>0.20847265023504757</c:v>
                </c:pt>
                <c:pt idx="30">
                  <c:v>0.27034993423538189</c:v>
                </c:pt>
                <c:pt idx="33">
                  <c:v>0.33875255473478871</c:v>
                </c:pt>
              </c:numCache>
            </c:numRef>
          </c:val>
          <c:smooth val="0"/>
          <c:extLst>
            <c:ext xmlns:c16="http://schemas.microsoft.com/office/drawing/2014/chart" uri="{C3380CC4-5D6E-409C-BE32-E72D297353CC}">
              <c16:uniqueId val="{00000000-296F-4596-838E-71124EFFE9C1}"/>
            </c:ext>
          </c:extLst>
        </c:ser>
        <c:ser>
          <c:idx val="1"/>
          <c:order val="1"/>
          <c:tx>
            <c:strRef>
              <c:f>'Denmark Labor Year by Year Thre'!$AA$2</c:f>
              <c:strCache>
                <c:ptCount val="1"/>
                <c:pt idx="0">
                  <c:v>PSI(10% to 5%) Pre-Tax</c:v>
                </c:pt>
              </c:strCache>
            </c:strRef>
          </c:tx>
          <c:spPr>
            <a:ln w="28575" cap="rnd">
              <a:solidFill>
                <a:srgbClr val="00B050"/>
              </a:solidFill>
              <a:prstDash val="solid"/>
              <a:round/>
            </a:ln>
            <a:effectLst/>
          </c:spPr>
          <c:marker>
            <c:symbol val="none"/>
          </c:marker>
          <c:cat>
            <c:numRef>
              <c:f>'Denmark Labor Year by Year Thre'!$A$3:$A$37</c:f>
              <c:numCache>
                <c:formatCode>General</c:formatCode>
                <c:ptCount val="35"/>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numCache>
            </c:numRef>
          </c:cat>
          <c:val>
            <c:numRef>
              <c:f>'Denmark Labor Year by Year Thre'!$AA$3:$AA$36</c:f>
              <c:numCache>
                <c:formatCode>0.00%</c:formatCode>
                <c:ptCount val="34"/>
                <c:pt idx="7">
                  <c:v>-1.9544133276653719E-2</c:v>
                </c:pt>
                <c:pt idx="12">
                  <c:v>2.604136579666716E-2</c:v>
                </c:pt>
                <c:pt idx="15">
                  <c:v>1.6291008581955202E-2</c:v>
                </c:pt>
                <c:pt idx="20">
                  <c:v>-6.7152813602391337E-3</c:v>
                </c:pt>
                <c:pt idx="24">
                  <c:v>2.0347545548913271E-2</c:v>
                </c:pt>
                <c:pt idx="27">
                  <c:v>4.7779573344057802E-3</c:v>
                </c:pt>
                <c:pt idx="30">
                  <c:v>1.914038443365973E-2</c:v>
                </c:pt>
                <c:pt idx="33">
                  <c:v>5.4663588629468851E-2</c:v>
                </c:pt>
              </c:numCache>
            </c:numRef>
          </c:val>
          <c:smooth val="0"/>
          <c:extLst>
            <c:ext xmlns:c16="http://schemas.microsoft.com/office/drawing/2014/chart" uri="{C3380CC4-5D6E-409C-BE32-E72D297353CC}">
              <c16:uniqueId val="{00000001-296F-4596-838E-71124EFFE9C1}"/>
            </c:ext>
          </c:extLst>
        </c:ser>
        <c:ser>
          <c:idx val="2"/>
          <c:order val="2"/>
          <c:tx>
            <c:strRef>
              <c:f>'Denmark Labor Year by Year Thre'!$AB$2</c:f>
              <c:strCache>
                <c:ptCount val="1"/>
                <c:pt idx="0">
                  <c:v>PSI(90%) Pre-Tax</c:v>
                </c:pt>
              </c:strCache>
            </c:strRef>
          </c:tx>
          <c:spPr>
            <a:ln w="28575" cap="rnd">
              <a:solidFill>
                <a:srgbClr val="0070C0"/>
              </a:solidFill>
              <a:prstDash val="solid"/>
              <a:round/>
            </a:ln>
            <a:effectLst/>
          </c:spPr>
          <c:marker>
            <c:symbol val="none"/>
          </c:marker>
          <c:cat>
            <c:numRef>
              <c:f>'Denmark Labor Year by Year Thre'!$A$3:$A$37</c:f>
              <c:numCache>
                <c:formatCode>General</c:formatCode>
                <c:ptCount val="35"/>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numCache>
            </c:numRef>
          </c:cat>
          <c:val>
            <c:numRef>
              <c:f>'Denmark Labor Year by Year Thre'!$AB$3:$AB$36</c:f>
              <c:numCache>
                <c:formatCode>0.00%</c:formatCode>
                <c:ptCount val="34"/>
                <c:pt idx="7">
                  <c:v>-8.0332860322281929E-3</c:v>
                </c:pt>
                <c:pt idx="12">
                  <c:v>-1.8151188709060406E-2</c:v>
                </c:pt>
                <c:pt idx="15">
                  <c:v>-1.9783952006299121E-2</c:v>
                </c:pt>
                <c:pt idx="20">
                  <c:v>-1.7650283917039156E-2</c:v>
                </c:pt>
                <c:pt idx="24">
                  <c:v>-2.2024656696985834E-2</c:v>
                </c:pt>
                <c:pt idx="27">
                  <c:v>-2.0614954499101779E-2</c:v>
                </c:pt>
                <c:pt idx="30">
                  <c:v>-2.6825806485684556E-2</c:v>
                </c:pt>
                <c:pt idx="33">
                  <c:v>-3.509689019981399E-2</c:v>
                </c:pt>
              </c:numCache>
            </c:numRef>
          </c:val>
          <c:smooth val="0"/>
          <c:extLst>
            <c:ext xmlns:c16="http://schemas.microsoft.com/office/drawing/2014/chart" uri="{C3380CC4-5D6E-409C-BE32-E72D297353CC}">
              <c16:uniqueId val="{00000002-296F-4596-838E-71124EFFE9C1}"/>
            </c:ext>
          </c:extLst>
        </c:ser>
        <c:ser>
          <c:idx val="3"/>
          <c:order val="3"/>
          <c:tx>
            <c:strRef>
              <c:f>'Denmark Model Year by Year'!$X$2</c:f>
              <c:strCache>
                <c:ptCount val="1"/>
                <c:pt idx="0">
                  <c:v>PSI(1%) Pre-Tax</c:v>
                </c:pt>
              </c:strCache>
            </c:strRef>
          </c:tx>
          <c:spPr>
            <a:ln w="28575" cap="rnd">
              <a:solidFill>
                <a:srgbClr val="FF0000"/>
              </a:solidFill>
              <a:prstDash val="dash"/>
              <a:round/>
            </a:ln>
            <a:effectLst/>
          </c:spPr>
          <c:marker>
            <c:symbol val="none"/>
          </c:marker>
          <c:val>
            <c:numRef>
              <c:f>'Denmark Model Year by Year'!$X$3:$X$39</c:f>
              <c:numCache>
                <c:formatCode>0.00%</c:formatCode>
                <c:ptCount val="37"/>
                <c:pt idx="0">
                  <c:v>0.50241589991821667</c:v>
                </c:pt>
                <c:pt idx="1">
                  <c:v>0.52297168676292172</c:v>
                </c:pt>
                <c:pt idx="2">
                  <c:v>0.53906684307866448</c:v>
                </c:pt>
                <c:pt idx="3">
                  <c:v>0.68801169331403011</c:v>
                </c:pt>
                <c:pt idx="4">
                  <c:v>0.77200241289677596</c:v>
                </c:pt>
                <c:pt idx="5">
                  <c:v>0.82658741730908791</c:v>
                </c:pt>
                <c:pt idx="6">
                  <c:v>0.68035027843151918</c:v>
                </c:pt>
                <c:pt idx="7">
                  <c:v>0.68922596839378181</c:v>
                </c:pt>
                <c:pt idx="8">
                  <c:v>0.65429121715507765</c:v>
                </c:pt>
                <c:pt idx="9">
                  <c:v>0.70856154553140849</c:v>
                </c:pt>
                <c:pt idx="10">
                  <c:v>0.72251683466188066</c:v>
                </c:pt>
                <c:pt idx="11">
                  <c:v>0.72857941146442684</c:v>
                </c:pt>
                <c:pt idx="12">
                  <c:v>0.72685365311060646</c:v>
                </c:pt>
                <c:pt idx="13">
                  <c:v>0.74959757723437481</c:v>
                </c:pt>
                <c:pt idx="14">
                  <c:v>0.82298107617359273</c:v>
                </c:pt>
                <c:pt idx="15">
                  <c:v>0.8541814101431322</c:v>
                </c:pt>
                <c:pt idx="16">
                  <c:v>0.87894745435031019</c:v>
                </c:pt>
                <c:pt idx="17">
                  <c:v>0.95784568024196637</c:v>
                </c:pt>
                <c:pt idx="18">
                  <c:v>0.91271590808874015</c:v>
                </c:pt>
                <c:pt idx="19">
                  <c:v>0.99380893920826141</c:v>
                </c:pt>
                <c:pt idx="20">
                  <c:v>0.98918881150601545</c:v>
                </c:pt>
                <c:pt idx="21">
                  <c:v>0.84076667916628645</c:v>
                </c:pt>
                <c:pt idx="22">
                  <c:v>0.81627332836884126</c:v>
                </c:pt>
                <c:pt idx="23">
                  <c:v>0.75140166395474051</c:v>
                </c:pt>
                <c:pt idx="24">
                  <c:v>0.76998595387580271</c:v>
                </c:pt>
                <c:pt idx="25">
                  <c:v>0.88202324688238543</c:v>
                </c:pt>
                <c:pt idx="26">
                  <c:v>0.91617951409540721</c:v>
                </c:pt>
                <c:pt idx="27">
                  <c:v>0.88203689946862718</c:v>
                </c:pt>
                <c:pt idx="28">
                  <c:v>0.84906321594796408</c:v>
                </c:pt>
                <c:pt idx="29">
                  <c:v>0.82257396807054106</c:v>
                </c:pt>
                <c:pt idx="30">
                  <c:v>1.0251425591852796</c:v>
                </c:pt>
                <c:pt idx="31">
                  <c:v>1.1848888305398813</c:v>
                </c:pt>
                <c:pt idx="32">
                  <c:v>1.1795455994667421</c:v>
                </c:pt>
                <c:pt idx="33">
                  <c:v>1.3467978495689663</c:v>
                </c:pt>
                <c:pt idx="34">
                  <c:v>1.4537686762621052</c:v>
                </c:pt>
                <c:pt idx="35">
                  <c:v>1.321420593366434</c:v>
                </c:pt>
                <c:pt idx="36">
                  <c:v>1.7471606512929325</c:v>
                </c:pt>
              </c:numCache>
            </c:numRef>
          </c:val>
          <c:smooth val="0"/>
          <c:extLst>
            <c:ext xmlns:c16="http://schemas.microsoft.com/office/drawing/2014/chart" uri="{C3380CC4-5D6E-409C-BE32-E72D297353CC}">
              <c16:uniqueId val="{00000006-4D66-4F39-B6FA-3B4415F476E1}"/>
            </c:ext>
          </c:extLst>
        </c:ser>
        <c:ser>
          <c:idx val="4"/>
          <c:order val="4"/>
          <c:tx>
            <c:strRef>
              <c:f>'Denmark Model Year by Year'!$Y$2</c:f>
              <c:strCache>
                <c:ptCount val="1"/>
                <c:pt idx="0">
                  <c:v>PSI(10% to 1%) Pre-Tax</c:v>
                </c:pt>
              </c:strCache>
            </c:strRef>
          </c:tx>
          <c:spPr>
            <a:ln w="28575" cap="rnd">
              <a:solidFill>
                <a:srgbClr val="00B050"/>
              </a:solidFill>
              <a:prstDash val="dash"/>
              <a:round/>
            </a:ln>
            <a:effectLst/>
          </c:spPr>
          <c:marker>
            <c:symbol val="none"/>
          </c:marker>
          <c:val>
            <c:numRef>
              <c:f>'Denmark Model Year by Year'!$Y$3:$Y$39</c:f>
              <c:numCache>
                <c:formatCode>0.00%</c:formatCode>
                <c:ptCount val="37"/>
                <c:pt idx="0">
                  <c:v>-4.8432822856518509E-2</c:v>
                </c:pt>
                <c:pt idx="1">
                  <c:v>-3.4014134696301546E-2</c:v>
                </c:pt>
                <c:pt idx="2">
                  <c:v>-5.1901556076367483E-2</c:v>
                </c:pt>
                <c:pt idx="3">
                  <c:v>-8.4150338090576815E-2</c:v>
                </c:pt>
                <c:pt idx="4">
                  <c:v>-0.1037899091002954</c:v>
                </c:pt>
                <c:pt idx="5">
                  <c:v>-0.11207256823880007</c:v>
                </c:pt>
                <c:pt idx="6">
                  <c:v>-0.11052471128338126</c:v>
                </c:pt>
                <c:pt idx="7">
                  <c:v>-9.2606602203829658E-2</c:v>
                </c:pt>
                <c:pt idx="8">
                  <c:v>-7.216531567397455E-2</c:v>
                </c:pt>
                <c:pt idx="9">
                  <c:v>-7.508692854138288E-2</c:v>
                </c:pt>
                <c:pt idx="10">
                  <c:v>-6.8974697695069143E-2</c:v>
                </c:pt>
                <c:pt idx="11">
                  <c:v>-6.9150853797273815E-2</c:v>
                </c:pt>
                <c:pt idx="12">
                  <c:v>-6.8547217033585128E-2</c:v>
                </c:pt>
                <c:pt idx="13">
                  <c:v>-6.7524280367414202E-2</c:v>
                </c:pt>
                <c:pt idx="14">
                  <c:v>-8.6276361401098733E-2</c:v>
                </c:pt>
                <c:pt idx="15">
                  <c:v>-9.0234636768619425E-2</c:v>
                </c:pt>
                <c:pt idx="16">
                  <c:v>-9.4118972454158123E-2</c:v>
                </c:pt>
                <c:pt idx="17">
                  <c:v>-9.5404501109657369E-2</c:v>
                </c:pt>
                <c:pt idx="18">
                  <c:v>-9.2318807947343373E-2</c:v>
                </c:pt>
                <c:pt idx="19">
                  <c:v>-9.1623204288917792E-2</c:v>
                </c:pt>
                <c:pt idx="20">
                  <c:v>-9.1749116099849481E-2</c:v>
                </c:pt>
                <c:pt idx="21">
                  <c:v>-7.911159851731886E-2</c:v>
                </c:pt>
                <c:pt idx="22">
                  <c:v>-7.4583648558281812E-2</c:v>
                </c:pt>
                <c:pt idx="23">
                  <c:v>-6.8514335579837438E-2</c:v>
                </c:pt>
                <c:pt idx="24">
                  <c:v>-7.8200451742865384E-2</c:v>
                </c:pt>
                <c:pt idx="25">
                  <c:v>-9.0728414044416339E-2</c:v>
                </c:pt>
                <c:pt idx="26">
                  <c:v>-9.5854010440563298E-2</c:v>
                </c:pt>
                <c:pt idx="27">
                  <c:v>-9.3229066989959364E-2</c:v>
                </c:pt>
                <c:pt idx="28">
                  <c:v>-8.1374326854324441E-2</c:v>
                </c:pt>
                <c:pt idx="29">
                  <c:v>-5.7261401393575495E-2</c:v>
                </c:pt>
                <c:pt idx="30">
                  <c:v>-5.5449444595022768E-2</c:v>
                </c:pt>
                <c:pt idx="31">
                  <c:v>-5.9705222670381586E-2</c:v>
                </c:pt>
                <c:pt idx="32">
                  <c:v>-4.7047883724213979E-2</c:v>
                </c:pt>
                <c:pt idx="33">
                  <c:v>-7.23612553255778E-2</c:v>
                </c:pt>
                <c:pt idx="34">
                  <c:v>-5.9016077212114881E-2</c:v>
                </c:pt>
                <c:pt idx="35">
                  <c:v>-5.2225910895116412E-2</c:v>
                </c:pt>
                <c:pt idx="36">
                  <c:v>-0.12088522693464909</c:v>
                </c:pt>
              </c:numCache>
            </c:numRef>
          </c:val>
          <c:smooth val="0"/>
          <c:extLst>
            <c:ext xmlns:c16="http://schemas.microsoft.com/office/drawing/2014/chart" uri="{C3380CC4-5D6E-409C-BE32-E72D297353CC}">
              <c16:uniqueId val="{00000007-4D66-4F39-B6FA-3B4415F476E1}"/>
            </c:ext>
          </c:extLst>
        </c:ser>
        <c:ser>
          <c:idx val="5"/>
          <c:order val="5"/>
          <c:tx>
            <c:strRef>
              <c:f>'Denmark Model Year by Year'!$Z$2</c:f>
              <c:strCache>
                <c:ptCount val="1"/>
                <c:pt idx="0">
                  <c:v>PSI(90%) Pre-Tax</c:v>
                </c:pt>
              </c:strCache>
            </c:strRef>
          </c:tx>
          <c:spPr>
            <a:ln w="28575" cap="rnd">
              <a:solidFill>
                <a:srgbClr val="0070C0"/>
              </a:solidFill>
              <a:prstDash val="dash"/>
              <a:round/>
            </a:ln>
            <a:effectLst/>
          </c:spPr>
          <c:marker>
            <c:symbol val="none"/>
          </c:marker>
          <c:val>
            <c:numRef>
              <c:f>'Denmark Model Year by Year'!$Z$3:$Z$39</c:f>
              <c:numCache>
                <c:formatCode>0.00%</c:formatCode>
                <c:ptCount val="37"/>
                <c:pt idx="0">
                  <c:v>-1.258940626984062E-2</c:v>
                </c:pt>
                <c:pt idx="1">
                  <c:v>-1.6729381474445026E-2</c:v>
                </c:pt>
                <c:pt idx="2">
                  <c:v>-1.3223664692519344E-2</c:v>
                </c:pt>
                <c:pt idx="3">
                  <c:v>-1.4086682852610388E-2</c:v>
                </c:pt>
                <c:pt idx="4">
                  <c:v>-1.4426954747201237E-2</c:v>
                </c:pt>
                <c:pt idx="5">
                  <c:v>-1.6077864815472243E-2</c:v>
                </c:pt>
                <c:pt idx="6">
                  <c:v>-7.5274901906071667E-3</c:v>
                </c:pt>
                <c:pt idx="7">
                  <c:v>-1.2558443502763139E-2</c:v>
                </c:pt>
                <c:pt idx="8">
                  <c:v>-1.5157962920875789E-2</c:v>
                </c:pt>
                <c:pt idx="9">
                  <c:v>-1.7460113505567199E-2</c:v>
                </c:pt>
                <c:pt idx="10">
                  <c:v>-1.9726720923655794E-2</c:v>
                </c:pt>
                <c:pt idx="11">
                  <c:v>-1.974311794140593E-2</c:v>
                </c:pt>
                <c:pt idx="12">
                  <c:v>-1.993742897560602E-2</c:v>
                </c:pt>
                <c:pt idx="13">
                  <c:v>-2.1145983222022102E-2</c:v>
                </c:pt>
                <c:pt idx="14">
                  <c:v>-2.1518600422096967E-2</c:v>
                </c:pt>
                <c:pt idx="15">
                  <c:v>-2.2511252780415103E-2</c:v>
                </c:pt>
                <c:pt idx="16">
                  <c:v>-2.3317957810551571E-2</c:v>
                </c:pt>
                <c:pt idx="17">
                  <c:v>-2.8691764970454114E-2</c:v>
                </c:pt>
                <c:pt idx="18">
                  <c:v>-2.6378590579897665E-2</c:v>
                </c:pt>
                <c:pt idx="19">
                  <c:v>-3.2611809391317026E-2</c:v>
                </c:pt>
                <c:pt idx="20">
                  <c:v>-3.2424601176773149E-2</c:v>
                </c:pt>
                <c:pt idx="21">
                  <c:v>-2.5122131653697144E-2</c:v>
                </c:pt>
                <c:pt idx="22">
                  <c:v>-2.4381317848854889E-2</c:v>
                </c:pt>
                <c:pt idx="23">
                  <c:v>-2.1433212504171406E-2</c:v>
                </c:pt>
                <c:pt idx="24">
                  <c:v>-2.0508716809807259E-2</c:v>
                </c:pt>
                <c:pt idx="25">
                  <c:v>-2.5236471250245862E-2</c:v>
                </c:pt>
                <c:pt idx="26">
                  <c:v>-2.6810348002563211E-2</c:v>
                </c:pt>
                <c:pt idx="27">
                  <c:v>-2.4338029288015317E-2</c:v>
                </c:pt>
                <c:pt idx="28">
                  <c:v>-2.4785770916309846E-2</c:v>
                </c:pt>
                <c:pt idx="29">
                  <c:v>-2.7493410813669183E-2</c:v>
                </c:pt>
                <c:pt idx="30">
                  <c:v>-4.2380202129168598E-2</c:v>
                </c:pt>
                <c:pt idx="31">
                  <c:v>-5.2526769999194145E-2</c:v>
                </c:pt>
                <c:pt idx="32">
                  <c:v>-5.4941268022781542E-2</c:v>
                </c:pt>
                <c:pt idx="33">
                  <c:v>-6.0195957075069084E-2</c:v>
                </c:pt>
                <c:pt idx="34">
                  <c:v>-7.3087471863203968E-2</c:v>
                </c:pt>
                <c:pt idx="35">
                  <c:v>-6.4022836812569706E-2</c:v>
                </c:pt>
                <c:pt idx="36">
                  <c:v>-7.5212911255449488E-2</c:v>
                </c:pt>
              </c:numCache>
            </c:numRef>
          </c:val>
          <c:smooth val="0"/>
          <c:extLst>
            <c:ext xmlns:c16="http://schemas.microsoft.com/office/drawing/2014/chart" uri="{C3380CC4-5D6E-409C-BE32-E72D297353CC}">
              <c16:uniqueId val="{00000008-4D66-4F39-B6FA-3B4415F476E1}"/>
            </c:ext>
          </c:extLst>
        </c:ser>
        <c:dLbls>
          <c:showLegendKey val="0"/>
          <c:showVal val="0"/>
          <c:showCatName val="0"/>
          <c:showSerName val="0"/>
          <c:showPercent val="0"/>
          <c:showBubbleSize val="0"/>
        </c:dLbls>
        <c:smooth val="0"/>
        <c:axId val="1717582671"/>
        <c:axId val="1537671423"/>
      </c:lineChart>
      <c:catAx>
        <c:axId val="171758267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7671423"/>
        <c:crosses val="autoZero"/>
        <c:auto val="1"/>
        <c:lblAlgn val="ctr"/>
        <c:lblOffset val="100"/>
        <c:noMultiLvlLbl val="0"/>
      </c:catAx>
      <c:valAx>
        <c:axId val="153767142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75826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a:t>
            </a:r>
            <a:r>
              <a:rPr lang="en-US" baseline="0"/>
              <a:t> and Post Tax PSI -</a:t>
            </a:r>
            <a:r>
              <a:rPr lang="en-US"/>
              <a:t> Denmark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'Denmark Model Year by Year'!$X$2</c:f>
              <c:strCache>
                <c:ptCount val="1"/>
                <c:pt idx="0">
                  <c:v>PSI(1%) Pre-Tax</c:v>
                </c:pt>
              </c:strCache>
            </c:strRef>
          </c:tx>
          <c:spPr>
            <a:ln w="28575" cap="rnd">
              <a:solidFill>
                <a:srgbClr val="FF0000"/>
              </a:solidFill>
              <a:prstDash val="dash"/>
              <a:round/>
            </a:ln>
            <a:effectLst/>
          </c:spPr>
          <c:marker>
            <c:symbol val="none"/>
          </c:marker>
          <c:cat>
            <c:numRef>
              <c:f>'Denmark Model Year by Year'!$A$3:$A$42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'Denmark Model Year by Year'!$X$3:$X$39</c:f>
              <c:numCache>
                <c:formatCode>0.00%</c:formatCode>
                <c:ptCount val="37"/>
                <c:pt idx="0">
                  <c:v>0.50241589991821667</c:v>
                </c:pt>
                <c:pt idx="1">
                  <c:v>0.52297168676292172</c:v>
                </c:pt>
                <c:pt idx="2">
                  <c:v>0.53906684307866448</c:v>
                </c:pt>
                <c:pt idx="3">
                  <c:v>0.68801169331403011</c:v>
                </c:pt>
                <c:pt idx="4">
                  <c:v>0.77200241289677596</c:v>
                </c:pt>
                <c:pt idx="5">
                  <c:v>0.82658741730908791</c:v>
                </c:pt>
                <c:pt idx="6">
                  <c:v>0.68035027843151918</c:v>
                </c:pt>
                <c:pt idx="7">
                  <c:v>0.68922596839378181</c:v>
                </c:pt>
                <c:pt idx="8">
                  <c:v>0.65429121715507765</c:v>
                </c:pt>
                <c:pt idx="9">
                  <c:v>0.70856154553140849</c:v>
                </c:pt>
                <c:pt idx="10">
                  <c:v>0.72251683466188066</c:v>
                </c:pt>
                <c:pt idx="11">
                  <c:v>0.72857941146442684</c:v>
                </c:pt>
                <c:pt idx="12">
                  <c:v>0.72685365311060646</c:v>
                </c:pt>
                <c:pt idx="13">
                  <c:v>0.74959757723437481</c:v>
                </c:pt>
                <c:pt idx="14">
                  <c:v>0.82298107617359273</c:v>
                </c:pt>
                <c:pt idx="15">
                  <c:v>0.8541814101431322</c:v>
                </c:pt>
                <c:pt idx="16">
                  <c:v>0.87894745435031019</c:v>
                </c:pt>
                <c:pt idx="17">
                  <c:v>0.95784568024196637</c:v>
                </c:pt>
                <c:pt idx="18">
                  <c:v>0.91271590808874015</c:v>
                </c:pt>
                <c:pt idx="19">
                  <c:v>0.99380893920826141</c:v>
                </c:pt>
                <c:pt idx="20">
                  <c:v>0.98918881150601545</c:v>
                </c:pt>
                <c:pt idx="21">
                  <c:v>0.84076667916628645</c:v>
                </c:pt>
                <c:pt idx="22">
                  <c:v>0.81627332836884126</c:v>
                </c:pt>
                <c:pt idx="23">
                  <c:v>0.75140166395474051</c:v>
                </c:pt>
                <c:pt idx="24">
                  <c:v>0.76998595387580271</c:v>
                </c:pt>
                <c:pt idx="25">
                  <c:v>0.88202324688238543</c:v>
                </c:pt>
                <c:pt idx="26">
                  <c:v>0.91617951409540721</c:v>
                </c:pt>
                <c:pt idx="27">
                  <c:v>0.88203689946862718</c:v>
                </c:pt>
                <c:pt idx="28">
                  <c:v>0.84906321594796408</c:v>
                </c:pt>
                <c:pt idx="29">
                  <c:v>0.82257396807054106</c:v>
                </c:pt>
                <c:pt idx="30">
                  <c:v>1.0251425591852796</c:v>
                </c:pt>
                <c:pt idx="31">
                  <c:v>1.1848888305398813</c:v>
                </c:pt>
                <c:pt idx="32">
                  <c:v>1.1795455994667421</c:v>
                </c:pt>
                <c:pt idx="33">
                  <c:v>1.3467978495689663</c:v>
                </c:pt>
                <c:pt idx="34">
                  <c:v>1.4537686762621052</c:v>
                </c:pt>
                <c:pt idx="35">
                  <c:v>1.321420593366434</c:v>
                </c:pt>
                <c:pt idx="36">
                  <c:v>1.7471606512929325</c:v>
                </c:pt>
              </c:numCache>
            </c:numRef>
          </c:val>
          <c:smooth val="0"/>
          <c:extLst>
            <c:ext xmlns:c16="http://schemas.microsoft.com/office/drawing/2014/chart" uri="{C3380CC4-5D6E-409C-BE32-E72D297353CC}">
              <c16:uniqueId val="{00000000-5D42-43DD-B01F-A32A8FCBA4FF}"/>
            </c:ext>
          </c:extLst>
        </c:ser>
        <c:ser>
          <c:idx val="1"/>
          <c:order val="1"/>
          <c:tx>
            <c:strRef>
              <c:f>'Denmark Model Year by Year'!$Y$2</c:f>
              <c:strCache>
                <c:ptCount val="1"/>
                <c:pt idx="0">
                  <c:v>PSI(10% to 1%) Pre-Tax</c:v>
                </c:pt>
              </c:strCache>
            </c:strRef>
          </c:tx>
          <c:spPr>
            <a:ln w="28575" cap="rnd">
              <a:solidFill>
                <a:srgbClr val="00B050"/>
              </a:solidFill>
              <a:prstDash val="dash"/>
              <a:round/>
            </a:ln>
            <a:effectLst/>
          </c:spPr>
          <c:marker>
            <c:symbol val="none"/>
          </c:marker>
          <c:cat>
            <c:numRef>
              <c:f>'Denmark Model Year by Year'!$A$3:$A$42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'Denmark Model Year by Year'!$Y$3:$Y$39</c:f>
              <c:numCache>
                <c:formatCode>0.00%</c:formatCode>
                <c:ptCount val="37"/>
                <c:pt idx="0">
                  <c:v>-4.8432822856518509E-2</c:v>
                </c:pt>
                <c:pt idx="1">
                  <c:v>-3.4014134696301546E-2</c:v>
                </c:pt>
                <c:pt idx="2">
                  <c:v>-5.1901556076367483E-2</c:v>
                </c:pt>
                <c:pt idx="3">
                  <c:v>-8.4150338090576815E-2</c:v>
                </c:pt>
                <c:pt idx="4">
                  <c:v>-0.1037899091002954</c:v>
                </c:pt>
                <c:pt idx="5">
                  <c:v>-0.11207256823880007</c:v>
                </c:pt>
                <c:pt idx="6">
                  <c:v>-0.11052471128338126</c:v>
                </c:pt>
                <c:pt idx="7">
                  <c:v>-9.2606602203829658E-2</c:v>
                </c:pt>
                <c:pt idx="8">
                  <c:v>-7.216531567397455E-2</c:v>
                </c:pt>
                <c:pt idx="9">
                  <c:v>-7.508692854138288E-2</c:v>
                </c:pt>
                <c:pt idx="10">
                  <c:v>-6.8974697695069143E-2</c:v>
                </c:pt>
                <c:pt idx="11">
                  <c:v>-6.9150853797273815E-2</c:v>
                </c:pt>
                <c:pt idx="12">
                  <c:v>-6.8547217033585128E-2</c:v>
                </c:pt>
                <c:pt idx="13">
                  <c:v>-6.7524280367414202E-2</c:v>
                </c:pt>
                <c:pt idx="14">
                  <c:v>-8.6276361401098733E-2</c:v>
                </c:pt>
                <c:pt idx="15">
                  <c:v>-9.0234636768619425E-2</c:v>
                </c:pt>
                <c:pt idx="16">
                  <c:v>-9.4118972454158123E-2</c:v>
                </c:pt>
                <c:pt idx="17">
                  <c:v>-9.5404501109657369E-2</c:v>
                </c:pt>
                <c:pt idx="18">
                  <c:v>-9.2318807947343373E-2</c:v>
                </c:pt>
                <c:pt idx="19">
                  <c:v>-9.1623204288917792E-2</c:v>
                </c:pt>
                <c:pt idx="20">
                  <c:v>-9.1749116099849481E-2</c:v>
                </c:pt>
                <c:pt idx="21">
                  <c:v>-7.911159851731886E-2</c:v>
                </c:pt>
                <c:pt idx="22">
                  <c:v>-7.4583648558281812E-2</c:v>
                </c:pt>
                <c:pt idx="23">
                  <c:v>-6.8514335579837438E-2</c:v>
                </c:pt>
                <c:pt idx="24">
                  <c:v>-7.8200451742865384E-2</c:v>
                </c:pt>
                <c:pt idx="25">
                  <c:v>-9.0728414044416339E-2</c:v>
                </c:pt>
                <c:pt idx="26">
                  <c:v>-9.5854010440563298E-2</c:v>
                </c:pt>
                <c:pt idx="27">
                  <c:v>-9.3229066989959364E-2</c:v>
                </c:pt>
                <c:pt idx="28">
                  <c:v>-8.1374326854324441E-2</c:v>
                </c:pt>
                <c:pt idx="29">
                  <c:v>-5.7261401393575495E-2</c:v>
                </c:pt>
                <c:pt idx="30">
                  <c:v>-5.5449444595022768E-2</c:v>
                </c:pt>
                <c:pt idx="31">
                  <c:v>-5.9705222670381586E-2</c:v>
                </c:pt>
                <c:pt idx="32">
                  <c:v>-4.7047883724213979E-2</c:v>
                </c:pt>
                <c:pt idx="33">
                  <c:v>-7.23612553255778E-2</c:v>
                </c:pt>
                <c:pt idx="34">
                  <c:v>-5.9016077212114881E-2</c:v>
                </c:pt>
                <c:pt idx="35">
                  <c:v>-5.2225910895116412E-2</c:v>
                </c:pt>
                <c:pt idx="36">
                  <c:v>-0.12088522693464909</c:v>
                </c:pt>
              </c:numCache>
            </c:numRef>
          </c:val>
          <c:smooth val="0"/>
          <c:extLst>
            <c:ext xmlns:c16="http://schemas.microsoft.com/office/drawing/2014/chart" uri="{C3380CC4-5D6E-409C-BE32-E72D297353CC}">
              <c16:uniqueId val="{00000001-5D42-43DD-B01F-A32A8FCBA4FF}"/>
            </c:ext>
          </c:extLst>
        </c:ser>
        <c:ser>
          <c:idx val="2"/>
          <c:order val="2"/>
          <c:tx>
            <c:strRef>
              <c:f>'Denmark Model Year by Year'!$Z$2</c:f>
              <c:strCache>
                <c:ptCount val="1"/>
                <c:pt idx="0">
                  <c:v>PSI(90%) Pre-Tax</c:v>
                </c:pt>
              </c:strCache>
            </c:strRef>
          </c:tx>
          <c:spPr>
            <a:ln w="28575" cap="rnd">
              <a:solidFill>
                <a:srgbClr val="0070C0"/>
              </a:solidFill>
              <a:prstDash val="dash"/>
              <a:round/>
            </a:ln>
            <a:effectLst/>
          </c:spPr>
          <c:marker>
            <c:symbol val="none"/>
          </c:marker>
          <c:cat>
            <c:numRef>
              <c:f>'Denmark Model Year by Year'!$A$3:$A$42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'Denmark Model Year by Year'!$Z$3:$Z$39</c:f>
              <c:numCache>
                <c:formatCode>0.00%</c:formatCode>
                <c:ptCount val="37"/>
                <c:pt idx="0">
                  <c:v>-1.258940626984062E-2</c:v>
                </c:pt>
                <c:pt idx="1">
                  <c:v>-1.6729381474445026E-2</c:v>
                </c:pt>
                <c:pt idx="2">
                  <c:v>-1.3223664692519344E-2</c:v>
                </c:pt>
                <c:pt idx="3">
                  <c:v>-1.4086682852610388E-2</c:v>
                </c:pt>
                <c:pt idx="4">
                  <c:v>-1.4426954747201237E-2</c:v>
                </c:pt>
                <c:pt idx="5">
                  <c:v>-1.6077864815472243E-2</c:v>
                </c:pt>
                <c:pt idx="6">
                  <c:v>-7.5274901906071667E-3</c:v>
                </c:pt>
                <c:pt idx="7">
                  <c:v>-1.2558443502763139E-2</c:v>
                </c:pt>
                <c:pt idx="8">
                  <c:v>-1.5157962920875789E-2</c:v>
                </c:pt>
                <c:pt idx="9">
                  <c:v>-1.7460113505567199E-2</c:v>
                </c:pt>
                <c:pt idx="10">
                  <c:v>-1.9726720923655794E-2</c:v>
                </c:pt>
                <c:pt idx="11">
                  <c:v>-1.974311794140593E-2</c:v>
                </c:pt>
                <c:pt idx="12">
                  <c:v>-1.993742897560602E-2</c:v>
                </c:pt>
                <c:pt idx="13">
                  <c:v>-2.1145983222022102E-2</c:v>
                </c:pt>
                <c:pt idx="14">
                  <c:v>-2.1518600422096967E-2</c:v>
                </c:pt>
                <c:pt idx="15">
                  <c:v>-2.2511252780415103E-2</c:v>
                </c:pt>
                <c:pt idx="16">
                  <c:v>-2.3317957810551571E-2</c:v>
                </c:pt>
                <c:pt idx="17">
                  <c:v>-2.8691764970454114E-2</c:v>
                </c:pt>
                <c:pt idx="18">
                  <c:v>-2.6378590579897665E-2</c:v>
                </c:pt>
                <c:pt idx="19">
                  <c:v>-3.2611809391317026E-2</c:v>
                </c:pt>
                <c:pt idx="20">
                  <c:v>-3.2424601176773149E-2</c:v>
                </c:pt>
                <c:pt idx="21">
                  <c:v>-2.5122131653697144E-2</c:v>
                </c:pt>
                <c:pt idx="22">
                  <c:v>-2.4381317848854889E-2</c:v>
                </c:pt>
                <c:pt idx="23">
                  <c:v>-2.1433212504171406E-2</c:v>
                </c:pt>
                <c:pt idx="24">
                  <c:v>-2.0508716809807259E-2</c:v>
                </c:pt>
                <c:pt idx="25">
                  <c:v>-2.5236471250245862E-2</c:v>
                </c:pt>
                <c:pt idx="26">
                  <c:v>-2.6810348002563211E-2</c:v>
                </c:pt>
                <c:pt idx="27">
                  <c:v>-2.4338029288015317E-2</c:v>
                </c:pt>
                <c:pt idx="28">
                  <c:v>-2.4785770916309846E-2</c:v>
                </c:pt>
                <c:pt idx="29">
                  <c:v>-2.7493410813669183E-2</c:v>
                </c:pt>
                <c:pt idx="30">
                  <c:v>-4.2380202129168598E-2</c:v>
                </c:pt>
                <c:pt idx="31">
                  <c:v>-5.2526769999194145E-2</c:v>
                </c:pt>
                <c:pt idx="32">
                  <c:v>-5.4941268022781542E-2</c:v>
                </c:pt>
                <c:pt idx="33">
                  <c:v>-6.0195957075069084E-2</c:v>
                </c:pt>
                <c:pt idx="34">
                  <c:v>-7.3087471863203968E-2</c:v>
                </c:pt>
                <c:pt idx="35">
                  <c:v>-6.4022836812569706E-2</c:v>
                </c:pt>
                <c:pt idx="36">
                  <c:v>-7.5212911255449488E-2</c:v>
                </c:pt>
              </c:numCache>
            </c:numRef>
          </c:val>
          <c:smooth val="0"/>
          <c:extLst>
            <c:ext xmlns:c16="http://schemas.microsoft.com/office/drawing/2014/chart" uri="{C3380CC4-5D6E-409C-BE32-E72D297353CC}">
              <c16:uniqueId val="{00000002-5D42-43DD-B01F-A32A8FCBA4FF}"/>
            </c:ext>
          </c:extLst>
        </c:ser>
        <c:ser>
          <c:idx val="3"/>
          <c:order val="3"/>
          <c:tx>
            <c:strRef>
              <c:f>'Denmark Model Year by Year'!$AA$2</c:f>
              <c:strCache>
                <c:ptCount val="1"/>
                <c:pt idx="0">
                  <c:v>PSI(1%) Post-Tax</c:v>
                </c:pt>
              </c:strCache>
            </c:strRef>
          </c:tx>
          <c:spPr>
            <a:ln w="28575" cap="rnd">
              <a:solidFill>
                <a:srgbClr val="FF0000"/>
              </a:solidFill>
              <a:round/>
            </a:ln>
            <a:effectLst/>
          </c:spPr>
          <c:marker>
            <c:symbol val="none"/>
          </c:marker>
          <c:cat>
            <c:numRef>
              <c:f>'Denmark Model Year by Year'!$A$3:$A$42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'Denmark Model Year by Year'!$AA$3:$AA$39</c:f>
              <c:numCache>
                <c:formatCode>0.00%</c:formatCode>
                <c:ptCount val="37"/>
                <c:pt idx="0">
                  <c:v>0.37874939401428676</c:v>
                </c:pt>
                <c:pt idx="1">
                  <c:v>0.42610417755051233</c:v>
                </c:pt>
                <c:pt idx="2">
                  <c:v>0.47238278555446533</c:v>
                </c:pt>
                <c:pt idx="3">
                  <c:v>0.57064997830459663</c:v>
                </c:pt>
                <c:pt idx="4">
                  <c:v>0.706996867287909</c:v>
                </c:pt>
                <c:pt idx="5">
                  <c:v>0.78438126611853876</c:v>
                </c:pt>
                <c:pt idx="6">
                  <c:v>0.63213353332945443</c:v>
                </c:pt>
                <c:pt idx="7">
                  <c:v>0.70872638725363446</c:v>
                </c:pt>
                <c:pt idx="8">
                  <c:v>0.68459879245753918</c:v>
                </c:pt>
                <c:pt idx="9">
                  <c:v>0.728603273087157</c:v>
                </c:pt>
                <c:pt idx="10">
                  <c:v>0.74511545235567556</c:v>
                </c:pt>
                <c:pt idx="11">
                  <c:v>0.743764487853533</c:v>
                </c:pt>
                <c:pt idx="12">
                  <c:v>0.73441664220389691</c:v>
                </c:pt>
                <c:pt idx="13">
                  <c:v>0.69881107421499133</c:v>
                </c:pt>
                <c:pt idx="14">
                  <c:v>0.74742969704098283</c:v>
                </c:pt>
                <c:pt idx="15">
                  <c:v>0.74312357864374756</c:v>
                </c:pt>
                <c:pt idx="16">
                  <c:v>0.76210932737995529</c:v>
                </c:pt>
                <c:pt idx="17">
                  <c:v>0.84199675391360085</c:v>
                </c:pt>
                <c:pt idx="18">
                  <c:v>0.77894316416705722</c:v>
                </c:pt>
                <c:pt idx="19">
                  <c:v>0.86149680784109139</c:v>
                </c:pt>
                <c:pt idx="20">
                  <c:v>0.83897546360464537</c:v>
                </c:pt>
                <c:pt idx="21">
                  <c:v>0.67799416446135718</c:v>
                </c:pt>
                <c:pt idx="22">
                  <c:v>0.65579937538112687</c:v>
                </c:pt>
                <c:pt idx="23">
                  <c:v>0.58352763220689874</c:v>
                </c:pt>
                <c:pt idx="24">
                  <c:v>0.6421536542415649</c:v>
                </c:pt>
                <c:pt idx="25">
                  <c:v>0.86799569748855343</c:v>
                </c:pt>
                <c:pt idx="26">
                  <c:v>0.95728946838481233</c:v>
                </c:pt>
                <c:pt idx="27">
                  <c:v>0.73166198672844596</c:v>
                </c:pt>
                <c:pt idx="28">
                  <c:v>0.67834343670565844</c:v>
                </c:pt>
                <c:pt idx="29">
                  <c:v>0.72584523026359138</c:v>
                </c:pt>
                <c:pt idx="30">
                  <c:v>1.1222545378136175</c:v>
                </c:pt>
                <c:pt idx="31">
                  <c:v>1.1116012907603245</c:v>
                </c:pt>
                <c:pt idx="32">
                  <c:v>1.1100595996975491</c:v>
                </c:pt>
                <c:pt idx="33">
                  <c:v>1.2167937213827611</c:v>
                </c:pt>
                <c:pt idx="34">
                  <c:v>1.3382715716067839</c:v>
                </c:pt>
                <c:pt idx="35">
                  <c:v>1.2493687417779511</c:v>
                </c:pt>
                <c:pt idx="36">
                  <c:v>1.4944989546034813</c:v>
                </c:pt>
              </c:numCache>
            </c:numRef>
          </c:val>
          <c:smooth val="0"/>
          <c:extLst>
            <c:ext xmlns:c16="http://schemas.microsoft.com/office/drawing/2014/chart" uri="{C3380CC4-5D6E-409C-BE32-E72D297353CC}">
              <c16:uniqueId val="{00000003-5D42-43DD-B01F-A32A8FCBA4FF}"/>
            </c:ext>
          </c:extLst>
        </c:ser>
        <c:ser>
          <c:idx val="4"/>
          <c:order val="4"/>
          <c:tx>
            <c:strRef>
              <c:f>'Denmark Model Year by Year'!$AB$2</c:f>
              <c:strCache>
                <c:ptCount val="1"/>
                <c:pt idx="0">
                  <c:v>PSI(10% to 1%) Post-Tax</c:v>
                </c:pt>
              </c:strCache>
            </c:strRef>
          </c:tx>
          <c:spPr>
            <a:ln w="28575" cap="rnd">
              <a:solidFill>
                <a:srgbClr val="00B050"/>
              </a:solidFill>
              <a:round/>
            </a:ln>
            <a:effectLst/>
          </c:spPr>
          <c:marker>
            <c:symbol val="none"/>
          </c:marker>
          <c:cat>
            <c:numRef>
              <c:f>'Denmark Model Year by Year'!$A$3:$A$42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'Denmark Model Year by Year'!$AB$3:$AB$39</c:f>
              <c:numCache>
                <c:formatCode>0.00%</c:formatCode>
                <c:ptCount val="37"/>
                <c:pt idx="0">
                  <c:v>-0.1326060599653448</c:v>
                </c:pt>
                <c:pt idx="1">
                  <c:v>-0.10828073200245769</c:v>
                </c:pt>
                <c:pt idx="2">
                  <c:v>-0.13668238043812908</c:v>
                </c:pt>
                <c:pt idx="3">
                  <c:v>-0.15605992996390794</c:v>
                </c:pt>
                <c:pt idx="4">
                  <c:v>-0.17631000638376493</c:v>
                </c:pt>
                <c:pt idx="5">
                  <c:v>-0.17587568729202419</c:v>
                </c:pt>
                <c:pt idx="6">
                  <c:v>-0.17623014407289506</c:v>
                </c:pt>
                <c:pt idx="7">
                  <c:v>-0.11183944070011131</c:v>
                </c:pt>
                <c:pt idx="8">
                  <c:v>-0.10280851527561496</c:v>
                </c:pt>
                <c:pt idx="9">
                  <c:v>-0.11610528535631892</c:v>
                </c:pt>
                <c:pt idx="10">
                  <c:v>-0.12156084950580415</c:v>
                </c:pt>
                <c:pt idx="11">
                  <c:v>-0.13251495742840225</c:v>
                </c:pt>
                <c:pt idx="12">
                  <c:v>-0.14432810548183483</c:v>
                </c:pt>
                <c:pt idx="13">
                  <c:v>-0.1511498808871079</c:v>
                </c:pt>
                <c:pt idx="14">
                  <c:v>-0.17404909811370428</c:v>
                </c:pt>
                <c:pt idx="15">
                  <c:v>-0.18444980242040843</c:v>
                </c:pt>
                <c:pt idx="16">
                  <c:v>-0.18772996785620044</c:v>
                </c:pt>
                <c:pt idx="17">
                  <c:v>-0.18860232354558992</c:v>
                </c:pt>
                <c:pt idx="18">
                  <c:v>-0.18806781490564284</c:v>
                </c:pt>
                <c:pt idx="19">
                  <c:v>-0.18884719060106303</c:v>
                </c:pt>
                <c:pt idx="20">
                  <c:v>-0.18695360977065423</c:v>
                </c:pt>
                <c:pt idx="21">
                  <c:v>-0.17926119160685339</c:v>
                </c:pt>
                <c:pt idx="22">
                  <c:v>-0.17554716243157464</c:v>
                </c:pt>
                <c:pt idx="23">
                  <c:v>-0.17156805588612267</c:v>
                </c:pt>
                <c:pt idx="24">
                  <c:v>-0.17627477567122574</c:v>
                </c:pt>
                <c:pt idx="25">
                  <c:v>-0.18580616021706309</c:v>
                </c:pt>
                <c:pt idx="26">
                  <c:v>-0.18741310131086886</c:v>
                </c:pt>
                <c:pt idx="27">
                  <c:v>-0.17742237104793046</c:v>
                </c:pt>
                <c:pt idx="28">
                  <c:v>-0.17147407199319831</c:v>
                </c:pt>
                <c:pt idx="29">
                  <c:v>-0.14755049258912967</c:v>
                </c:pt>
                <c:pt idx="30">
                  <c:v>-0.14582317800963707</c:v>
                </c:pt>
                <c:pt idx="31">
                  <c:v>-0.14279885107085422</c:v>
                </c:pt>
                <c:pt idx="32">
                  <c:v>-0.12966264903290703</c:v>
                </c:pt>
                <c:pt idx="33">
                  <c:v>-0.14934950328903573</c:v>
                </c:pt>
                <c:pt idx="34">
                  <c:v>-0.13304697098756491</c:v>
                </c:pt>
                <c:pt idx="35">
                  <c:v>-0.12276449808446577</c:v>
                </c:pt>
                <c:pt idx="36">
                  <c:v>-0.18364622276056231</c:v>
                </c:pt>
              </c:numCache>
            </c:numRef>
          </c:val>
          <c:smooth val="0"/>
          <c:extLst>
            <c:ext xmlns:c16="http://schemas.microsoft.com/office/drawing/2014/chart" uri="{C3380CC4-5D6E-409C-BE32-E72D297353CC}">
              <c16:uniqueId val="{00000004-5D42-43DD-B01F-A32A8FCBA4FF}"/>
            </c:ext>
          </c:extLst>
        </c:ser>
        <c:ser>
          <c:idx val="5"/>
          <c:order val="5"/>
          <c:tx>
            <c:strRef>
              <c:f>'Denmark Model Year by Year'!$AC$2</c:f>
              <c:strCache>
                <c:ptCount val="1"/>
                <c:pt idx="0">
                  <c:v>PSI(90%) Post-Tax</c:v>
                </c:pt>
              </c:strCache>
            </c:strRef>
          </c:tx>
          <c:spPr>
            <a:ln w="28575" cap="rnd">
              <a:solidFill>
                <a:srgbClr val="0070C0"/>
              </a:solidFill>
              <a:round/>
            </a:ln>
            <a:effectLst/>
          </c:spPr>
          <c:marker>
            <c:symbol val="none"/>
          </c:marker>
          <c:cat>
            <c:numRef>
              <c:f>'Denmark Model Year by Year'!$A$3:$A$42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'Denmark Model Year by Year'!$AC$3:$AC$39</c:f>
              <c:numCache>
                <c:formatCode>0.00%</c:formatCode>
                <c:ptCount val="37"/>
                <c:pt idx="0">
                  <c:v>1.4914730431096146E-2</c:v>
                </c:pt>
                <c:pt idx="1">
                  <c:v>6.5087146524629436E-3</c:v>
                </c:pt>
                <c:pt idx="2">
                  <c:v>1.1351460975616234E-2</c:v>
                </c:pt>
                <c:pt idx="3">
                  <c:v>1.1054738225940275E-2</c:v>
                </c:pt>
                <c:pt idx="4">
                  <c:v>8.7708236460235511E-3</c:v>
                </c:pt>
                <c:pt idx="5">
                  <c:v>3.9097055917203249E-3</c:v>
                </c:pt>
                <c:pt idx="6">
                  <c:v>1.2881211439870421E-2</c:v>
                </c:pt>
                <c:pt idx="7">
                  <c:v>-8.4589674875605869E-3</c:v>
                </c:pt>
                <c:pt idx="8">
                  <c:v>-8.7219322058742499E-3</c:v>
                </c:pt>
                <c:pt idx="9">
                  <c:v>-7.7254702028437539E-3</c:v>
                </c:pt>
                <c:pt idx="10">
                  <c:v>-7.1034835270992192E-3</c:v>
                </c:pt>
                <c:pt idx="11">
                  <c:v>-3.9875827355353444E-3</c:v>
                </c:pt>
                <c:pt idx="12">
                  <c:v>-4.9123504066406198E-4</c:v>
                </c:pt>
                <c:pt idx="13">
                  <c:v>3.2597606869964046E-3</c:v>
                </c:pt>
                <c:pt idx="14">
                  <c:v>6.1206363833963273E-3</c:v>
                </c:pt>
                <c:pt idx="15">
                  <c:v>9.0206422911842665E-3</c:v>
                </c:pt>
                <c:pt idx="16">
                  <c:v>8.6891774949386935E-3</c:v>
                </c:pt>
                <c:pt idx="17">
                  <c:v>3.8988853798220813E-3</c:v>
                </c:pt>
                <c:pt idx="18">
                  <c:v>7.5942418506067533E-3</c:v>
                </c:pt>
                <c:pt idx="19">
                  <c:v>2.4928590213526558E-3</c:v>
                </c:pt>
                <c:pt idx="20">
                  <c:v>3.2327909106442121E-3</c:v>
                </c:pt>
                <c:pt idx="21">
                  <c:v>1.1107307423354751E-2</c:v>
                </c:pt>
                <c:pt idx="22">
                  <c:v>1.1473409629424003E-2</c:v>
                </c:pt>
                <c:pt idx="23">
                  <c:v>1.4478702133059462E-2</c:v>
                </c:pt>
                <c:pt idx="24">
                  <c:v>1.2497459332199368E-2</c:v>
                </c:pt>
                <c:pt idx="25">
                  <c:v>1.8291831120527124E-3</c:v>
                </c:pt>
                <c:pt idx="26">
                  <c:v>-3.5020204805322752E-3</c:v>
                </c:pt>
                <c:pt idx="27">
                  <c:v>7.362673751673432E-3</c:v>
                </c:pt>
                <c:pt idx="28">
                  <c:v>9.0251910191416762E-3</c:v>
                </c:pt>
                <c:pt idx="29">
                  <c:v>9.6701129693554932E-4</c:v>
                </c:pt>
                <c:pt idx="30">
                  <c:v>-2.3097454713045362E-2</c:v>
                </c:pt>
                <c:pt idx="31">
                  <c:v>-2.4947360274420016E-2</c:v>
                </c:pt>
                <c:pt idx="32">
                  <c:v>-2.7958686163380042E-2</c:v>
                </c:pt>
                <c:pt idx="33">
                  <c:v>-3.0478329008988503E-2</c:v>
                </c:pt>
                <c:pt idx="34">
                  <c:v>-4.4413101684824041E-2</c:v>
                </c:pt>
                <c:pt idx="35">
                  <c:v>-3.9706521252418026E-2</c:v>
                </c:pt>
                <c:pt idx="36">
                  <c:v>-4.0730231716426646E-2</c:v>
                </c:pt>
              </c:numCache>
            </c:numRef>
          </c:val>
          <c:smooth val="0"/>
          <c:extLst>
            <c:ext xmlns:c16="http://schemas.microsoft.com/office/drawing/2014/chart" uri="{C3380CC4-5D6E-409C-BE32-E72D297353CC}">
              <c16:uniqueId val="{00000005-5D42-43DD-B01F-A32A8FCBA4FF}"/>
            </c:ext>
          </c:extLst>
        </c:ser>
        <c:dLbls>
          <c:showLegendKey val="0"/>
          <c:showVal val="0"/>
          <c:showCatName val="0"/>
          <c:showSerName val="0"/>
          <c:showPercent val="0"/>
          <c:showBubbleSize val="0"/>
        </c:dLbls>
        <c:smooth val="0"/>
        <c:axId val="873550720"/>
        <c:axId val="942421680"/>
      </c:lineChart>
      <c:catAx>
        <c:axId val="873550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2421680"/>
        <c:crosses val="autoZero"/>
        <c:auto val="1"/>
        <c:lblAlgn val="ctr"/>
        <c:lblOffset val="100"/>
        <c:noMultiLvlLbl val="0"/>
      </c:catAx>
      <c:valAx>
        <c:axId val="942421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3550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 Tax PSI with Capital Gain - Denmark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'Denmark Model Year by Year'!$X$2</c:f>
              <c:strCache>
                <c:ptCount val="1"/>
                <c:pt idx="0">
                  <c:v>PSI(1%) Pre-Tax</c:v>
                </c:pt>
              </c:strCache>
            </c:strRef>
          </c:tx>
          <c:spPr>
            <a:ln w="28575" cap="rnd">
              <a:solidFill>
                <a:srgbClr val="FF0000"/>
              </a:solidFill>
              <a:round/>
            </a:ln>
            <a:effectLst/>
          </c:spPr>
          <c:marker>
            <c:symbol val="none"/>
          </c:marker>
          <c:cat>
            <c:numRef>
              <c:f>'Denmark Model Year by Year'!$A$3:$A$42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'Denmark Model Year by Year'!$X$3:$X$39</c:f>
              <c:numCache>
                <c:formatCode>0.00%</c:formatCode>
                <c:ptCount val="37"/>
                <c:pt idx="0">
                  <c:v>0.50241589991821667</c:v>
                </c:pt>
                <c:pt idx="1">
                  <c:v>0.52297168676292172</c:v>
                </c:pt>
                <c:pt idx="2">
                  <c:v>0.53906684307866448</c:v>
                </c:pt>
                <c:pt idx="3">
                  <c:v>0.68801169331403011</c:v>
                </c:pt>
                <c:pt idx="4">
                  <c:v>0.77200241289677596</c:v>
                </c:pt>
                <c:pt idx="5">
                  <c:v>0.82658741730908791</c:v>
                </c:pt>
                <c:pt idx="6">
                  <c:v>0.68035027843151918</c:v>
                </c:pt>
                <c:pt idx="7">
                  <c:v>0.68922596839378181</c:v>
                </c:pt>
                <c:pt idx="8">
                  <c:v>0.65429121715507765</c:v>
                </c:pt>
                <c:pt idx="9">
                  <c:v>0.70856154553140849</c:v>
                </c:pt>
                <c:pt idx="10">
                  <c:v>0.72251683466188066</c:v>
                </c:pt>
                <c:pt idx="11">
                  <c:v>0.72857941146442684</c:v>
                </c:pt>
                <c:pt idx="12">
                  <c:v>0.72685365311060646</c:v>
                </c:pt>
                <c:pt idx="13">
                  <c:v>0.74959757723437481</c:v>
                </c:pt>
                <c:pt idx="14">
                  <c:v>0.82298107617359273</c:v>
                </c:pt>
                <c:pt idx="15">
                  <c:v>0.8541814101431322</c:v>
                </c:pt>
                <c:pt idx="16">
                  <c:v>0.87894745435031019</c:v>
                </c:pt>
                <c:pt idx="17">
                  <c:v>0.95784568024196637</c:v>
                </c:pt>
                <c:pt idx="18">
                  <c:v>0.91271590808874015</c:v>
                </c:pt>
                <c:pt idx="19">
                  <c:v>0.99380893920826141</c:v>
                </c:pt>
                <c:pt idx="20">
                  <c:v>0.98918881150601545</c:v>
                </c:pt>
                <c:pt idx="21">
                  <c:v>0.84076667916628645</c:v>
                </c:pt>
                <c:pt idx="22">
                  <c:v>0.81627332836884126</c:v>
                </c:pt>
                <c:pt idx="23">
                  <c:v>0.75140166395474051</c:v>
                </c:pt>
                <c:pt idx="24">
                  <c:v>0.76998595387580271</c:v>
                </c:pt>
                <c:pt idx="25">
                  <c:v>0.88202324688238543</c:v>
                </c:pt>
                <c:pt idx="26">
                  <c:v>0.91617951409540721</c:v>
                </c:pt>
                <c:pt idx="27">
                  <c:v>0.88203689946862718</c:v>
                </c:pt>
                <c:pt idx="28">
                  <c:v>0.84906321594796408</c:v>
                </c:pt>
                <c:pt idx="29">
                  <c:v>0.82257396807054106</c:v>
                </c:pt>
                <c:pt idx="30">
                  <c:v>1.0251425591852796</c:v>
                </c:pt>
                <c:pt idx="31">
                  <c:v>1.1848888305398813</c:v>
                </c:pt>
                <c:pt idx="32">
                  <c:v>1.1795455994667421</c:v>
                </c:pt>
                <c:pt idx="33">
                  <c:v>1.3467978495689663</c:v>
                </c:pt>
                <c:pt idx="34">
                  <c:v>1.4537686762621052</c:v>
                </c:pt>
                <c:pt idx="35">
                  <c:v>1.321420593366434</c:v>
                </c:pt>
                <c:pt idx="36">
                  <c:v>1.7471606512929325</c:v>
                </c:pt>
              </c:numCache>
            </c:numRef>
          </c:val>
          <c:smooth val="0"/>
          <c:extLst>
            <c:ext xmlns:c16="http://schemas.microsoft.com/office/drawing/2014/chart" uri="{C3380CC4-5D6E-409C-BE32-E72D297353CC}">
              <c16:uniqueId val="{00000000-85A5-4C81-8C57-23836984E42B}"/>
            </c:ext>
          </c:extLst>
        </c:ser>
        <c:ser>
          <c:idx val="1"/>
          <c:order val="1"/>
          <c:tx>
            <c:strRef>
              <c:f>'Denmark Model Year by Year'!$Y$2</c:f>
              <c:strCache>
                <c:ptCount val="1"/>
                <c:pt idx="0">
                  <c:v>PSI(10% to 1%) Pre-Tax</c:v>
                </c:pt>
              </c:strCache>
            </c:strRef>
          </c:tx>
          <c:spPr>
            <a:ln w="28575" cap="rnd">
              <a:solidFill>
                <a:srgbClr val="00B050"/>
              </a:solidFill>
              <a:round/>
            </a:ln>
            <a:effectLst/>
          </c:spPr>
          <c:marker>
            <c:symbol val="none"/>
          </c:marker>
          <c:cat>
            <c:numRef>
              <c:f>'Denmark Model Year by Year'!$A$3:$A$42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'Denmark Model Year by Year'!$Y$3:$Y$39</c:f>
              <c:numCache>
                <c:formatCode>0.00%</c:formatCode>
                <c:ptCount val="37"/>
                <c:pt idx="0">
                  <c:v>-4.8432822856518509E-2</c:v>
                </c:pt>
                <c:pt idx="1">
                  <c:v>-3.4014134696301546E-2</c:v>
                </c:pt>
                <c:pt idx="2">
                  <c:v>-5.1901556076367483E-2</c:v>
                </c:pt>
                <c:pt idx="3">
                  <c:v>-8.4150338090576815E-2</c:v>
                </c:pt>
                <c:pt idx="4">
                  <c:v>-0.1037899091002954</c:v>
                </c:pt>
                <c:pt idx="5">
                  <c:v>-0.11207256823880007</c:v>
                </c:pt>
                <c:pt idx="6">
                  <c:v>-0.11052471128338126</c:v>
                </c:pt>
                <c:pt idx="7">
                  <c:v>-9.2606602203829658E-2</c:v>
                </c:pt>
                <c:pt idx="8">
                  <c:v>-7.216531567397455E-2</c:v>
                </c:pt>
                <c:pt idx="9">
                  <c:v>-7.508692854138288E-2</c:v>
                </c:pt>
                <c:pt idx="10">
                  <c:v>-6.8974697695069143E-2</c:v>
                </c:pt>
                <c:pt idx="11">
                  <c:v>-6.9150853797273815E-2</c:v>
                </c:pt>
                <c:pt idx="12">
                  <c:v>-6.8547217033585128E-2</c:v>
                </c:pt>
                <c:pt idx="13">
                  <c:v>-6.7524280367414202E-2</c:v>
                </c:pt>
                <c:pt idx="14">
                  <c:v>-8.6276361401098733E-2</c:v>
                </c:pt>
                <c:pt idx="15">
                  <c:v>-9.0234636768619425E-2</c:v>
                </c:pt>
                <c:pt idx="16">
                  <c:v>-9.4118972454158123E-2</c:v>
                </c:pt>
                <c:pt idx="17">
                  <c:v>-9.5404501109657369E-2</c:v>
                </c:pt>
                <c:pt idx="18">
                  <c:v>-9.2318807947343373E-2</c:v>
                </c:pt>
                <c:pt idx="19">
                  <c:v>-9.1623204288917792E-2</c:v>
                </c:pt>
                <c:pt idx="20">
                  <c:v>-9.1749116099849481E-2</c:v>
                </c:pt>
                <c:pt idx="21">
                  <c:v>-7.911159851731886E-2</c:v>
                </c:pt>
                <c:pt idx="22">
                  <c:v>-7.4583648558281812E-2</c:v>
                </c:pt>
                <c:pt idx="23">
                  <c:v>-6.8514335579837438E-2</c:v>
                </c:pt>
                <c:pt idx="24">
                  <c:v>-7.8200451742865384E-2</c:v>
                </c:pt>
                <c:pt idx="25">
                  <c:v>-9.0728414044416339E-2</c:v>
                </c:pt>
                <c:pt idx="26">
                  <c:v>-9.5854010440563298E-2</c:v>
                </c:pt>
                <c:pt idx="27">
                  <c:v>-9.3229066989959364E-2</c:v>
                </c:pt>
                <c:pt idx="28">
                  <c:v>-8.1374326854324441E-2</c:v>
                </c:pt>
                <c:pt idx="29">
                  <c:v>-5.7261401393575495E-2</c:v>
                </c:pt>
                <c:pt idx="30">
                  <c:v>-5.5449444595022768E-2</c:v>
                </c:pt>
                <c:pt idx="31">
                  <c:v>-5.9705222670381586E-2</c:v>
                </c:pt>
                <c:pt idx="32">
                  <c:v>-4.7047883724213979E-2</c:v>
                </c:pt>
                <c:pt idx="33">
                  <c:v>-7.23612553255778E-2</c:v>
                </c:pt>
                <c:pt idx="34">
                  <c:v>-5.9016077212114881E-2</c:v>
                </c:pt>
                <c:pt idx="35">
                  <c:v>-5.2225910895116412E-2</c:v>
                </c:pt>
                <c:pt idx="36">
                  <c:v>-0.12088522693464909</c:v>
                </c:pt>
              </c:numCache>
            </c:numRef>
          </c:val>
          <c:smooth val="0"/>
          <c:extLst>
            <c:ext xmlns:c16="http://schemas.microsoft.com/office/drawing/2014/chart" uri="{C3380CC4-5D6E-409C-BE32-E72D297353CC}">
              <c16:uniqueId val="{00000001-85A5-4C81-8C57-23836984E42B}"/>
            </c:ext>
          </c:extLst>
        </c:ser>
        <c:ser>
          <c:idx val="2"/>
          <c:order val="2"/>
          <c:tx>
            <c:strRef>
              <c:f>'Denmark Model Year by Year'!$Z$2</c:f>
              <c:strCache>
                <c:ptCount val="1"/>
                <c:pt idx="0">
                  <c:v>PSI(90%) Pre-Tax</c:v>
                </c:pt>
              </c:strCache>
            </c:strRef>
          </c:tx>
          <c:spPr>
            <a:ln w="28575" cap="rnd">
              <a:solidFill>
                <a:srgbClr val="0070C0"/>
              </a:solidFill>
              <a:round/>
            </a:ln>
            <a:effectLst/>
          </c:spPr>
          <c:marker>
            <c:symbol val="none"/>
          </c:marker>
          <c:cat>
            <c:numRef>
              <c:f>'Denmark Model Year by Year'!$A$3:$A$42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'Denmark Model Year by Year'!$Z$3:$Z$39</c:f>
              <c:numCache>
                <c:formatCode>0.00%</c:formatCode>
                <c:ptCount val="37"/>
                <c:pt idx="0">
                  <c:v>-1.258940626984062E-2</c:v>
                </c:pt>
                <c:pt idx="1">
                  <c:v>-1.6729381474445026E-2</c:v>
                </c:pt>
                <c:pt idx="2">
                  <c:v>-1.3223664692519344E-2</c:v>
                </c:pt>
                <c:pt idx="3">
                  <c:v>-1.4086682852610388E-2</c:v>
                </c:pt>
                <c:pt idx="4">
                  <c:v>-1.4426954747201237E-2</c:v>
                </c:pt>
                <c:pt idx="5">
                  <c:v>-1.6077864815472243E-2</c:v>
                </c:pt>
                <c:pt idx="6">
                  <c:v>-7.5274901906071667E-3</c:v>
                </c:pt>
                <c:pt idx="7">
                  <c:v>-1.2558443502763139E-2</c:v>
                </c:pt>
                <c:pt idx="8">
                  <c:v>-1.5157962920875789E-2</c:v>
                </c:pt>
                <c:pt idx="9">
                  <c:v>-1.7460113505567199E-2</c:v>
                </c:pt>
                <c:pt idx="10">
                  <c:v>-1.9726720923655794E-2</c:v>
                </c:pt>
                <c:pt idx="11">
                  <c:v>-1.974311794140593E-2</c:v>
                </c:pt>
                <c:pt idx="12">
                  <c:v>-1.993742897560602E-2</c:v>
                </c:pt>
                <c:pt idx="13">
                  <c:v>-2.1145983222022102E-2</c:v>
                </c:pt>
                <c:pt idx="14">
                  <c:v>-2.1518600422096967E-2</c:v>
                </c:pt>
                <c:pt idx="15">
                  <c:v>-2.2511252780415103E-2</c:v>
                </c:pt>
                <c:pt idx="16">
                  <c:v>-2.3317957810551571E-2</c:v>
                </c:pt>
                <c:pt idx="17">
                  <c:v>-2.8691764970454114E-2</c:v>
                </c:pt>
                <c:pt idx="18">
                  <c:v>-2.6378590579897665E-2</c:v>
                </c:pt>
                <c:pt idx="19">
                  <c:v>-3.2611809391317026E-2</c:v>
                </c:pt>
                <c:pt idx="20">
                  <c:v>-3.2424601176773149E-2</c:v>
                </c:pt>
                <c:pt idx="21">
                  <c:v>-2.5122131653697144E-2</c:v>
                </c:pt>
                <c:pt idx="22">
                  <c:v>-2.4381317848854889E-2</c:v>
                </c:pt>
                <c:pt idx="23">
                  <c:v>-2.1433212504171406E-2</c:v>
                </c:pt>
                <c:pt idx="24">
                  <c:v>-2.0508716809807259E-2</c:v>
                </c:pt>
                <c:pt idx="25">
                  <c:v>-2.5236471250245862E-2</c:v>
                </c:pt>
                <c:pt idx="26">
                  <c:v>-2.6810348002563211E-2</c:v>
                </c:pt>
                <c:pt idx="27">
                  <c:v>-2.4338029288015317E-2</c:v>
                </c:pt>
                <c:pt idx="28">
                  <c:v>-2.4785770916309846E-2</c:v>
                </c:pt>
                <c:pt idx="29">
                  <c:v>-2.7493410813669183E-2</c:v>
                </c:pt>
                <c:pt idx="30">
                  <c:v>-4.2380202129168598E-2</c:v>
                </c:pt>
                <c:pt idx="31">
                  <c:v>-5.2526769999194145E-2</c:v>
                </c:pt>
                <c:pt idx="32">
                  <c:v>-5.4941268022781542E-2</c:v>
                </c:pt>
                <c:pt idx="33">
                  <c:v>-6.0195957075069084E-2</c:v>
                </c:pt>
                <c:pt idx="34">
                  <c:v>-7.3087471863203968E-2</c:v>
                </c:pt>
                <c:pt idx="35">
                  <c:v>-6.4022836812569706E-2</c:v>
                </c:pt>
                <c:pt idx="36">
                  <c:v>-7.5212911255449488E-2</c:v>
                </c:pt>
              </c:numCache>
            </c:numRef>
          </c:val>
          <c:smooth val="0"/>
          <c:extLst>
            <c:ext xmlns:c16="http://schemas.microsoft.com/office/drawing/2014/chart" uri="{C3380CC4-5D6E-409C-BE32-E72D297353CC}">
              <c16:uniqueId val="{00000002-85A5-4C81-8C57-23836984E42B}"/>
            </c:ext>
          </c:extLst>
        </c:ser>
        <c:dLbls>
          <c:showLegendKey val="0"/>
          <c:showVal val="0"/>
          <c:showCatName val="0"/>
          <c:showSerName val="0"/>
          <c:showPercent val="0"/>
          <c:showBubbleSize val="0"/>
        </c:dLbls>
        <c:smooth val="0"/>
        <c:axId val="873550720"/>
        <c:axId val="942421680"/>
      </c:lineChart>
      <c:catAx>
        <c:axId val="8735507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2421680"/>
        <c:crosses val="autoZero"/>
        <c:auto val="1"/>
        <c:lblAlgn val="ctr"/>
        <c:lblOffset val="100"/>
        <c:noMultiLvlLbl val="0"/>
      </c:catAx>
      <c:valAx>
        <c:axId val="942421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3550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Pre tax PSI - France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'France Labor Year by Year Thre'!$U$2</c:f>
              <c:strCache>
                <c:ptCount val="1"/>
                <c:pt idx="0">
                  <c:v>PSI(1%) Pre-Tax</c:v>
                </c:pt>
              </c:strCache>
            </c:strRef>
          </c:tx>
          <c:spPr>
            <a:ln w="28575" cap="rnd">
              <a:solidFill>
                <a:srgbClr val="FF0000"/>
              </a:solidFill>
              <a:prstDash val="dash"/>
              <a:round/>
            </a:ln>
            <a:effectLst/>
          </c:spPr>
          <c:marker>
            <c:symbol val="none"/>
          </c:marker>
          <c:cat>
            <c:numRef>
              <c:f>'France Labor Year by Year Thre'!$A$3:$A$42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'France Labor Year by Year Thre'!$U$3:$U$37</c:f>
              <c:numCache>
                <c:formatCode>0.00%</c:formatCode>
                <c:ptCount val="35"/>
                <c:pt idx="0">
                  <c:v>0.11924832635691596</c:v>
                </c:pt>
                <c:pt idx="1">
                  <c:v>0.15510963011989265</c:v>
                </c:pt>
                <c:pt idx="2">
                  <c:v>0.17950768030013986</c:v>
                </c:pt>
                <c:pt idx="3">
                  <c:v>0.20299258120869945</c:v>
                </c:pt>
                <c:pt idx="4">
                  <c:v>0.23334022113231878</c:v>
                </c:pt>
                <c:pt idx="5">
                  <c:v>0.27468944162412523</c:v>
                </c:pt>
                <c:pt idx="6">
                  <c:v>0.31002670790221765</c:v>
                </c:pt>
                <c:pt idx="7">
                  <c:v>0.34577075356341314</c:v>
                </c:pt>
                <c:pt idx="8">
                  <c:v>0.36135006427923533</c:v>
                </c:pt>
                <c:pt idx="9">
                  <c:v>0.3719916706433628</c:v>
                </c:pt>
                <c:pt idx="10">
                  <c:v>0.36601779089659159</c:v>
                </c:pt>
                <c:pt idx="11">
                  <c:v>0.40202433067927967</c:v>
                </c:pt>
                <c:pt idx="12">
                  <c:v>0.42526084983020218</c:v>
                </c:pt>
                <c:pt idx="13">
                  <c:v>0.39433173416315248</c:v>
                </c:pt>
                <c:pt idx="14">
                  <c:v>0.44395009155703713</c:v>
                </c:pt>
                <c:pt idx="15">
                  <c:v>0.44888461233943833</c:v>
                </c:pt>
                <c:pt idx="16">
                  <c:v>0.47896142532443275</c:v>
                </c:pt>
                <c:pt idx="17">
                  <c:v>0.48445217444259692</c:v>
                </c:pt>
                <c:pt idx="18">
                  <c:v>0.48991725799291164</c:v>
                </c:pt>
                <c:pt idx="19">
                  <c:v>0.52096815726995271</c:v>
                </c:pt>
                <c:pt idx="20">
                  <c:v>0.54430533537106451</c:v>
                </c:pt>
                <c:pt idx="21">
                  <c:v>0.58880242351805823</c:v>
                </c:pt>
                <c:pt idx="22">
                  <c:v>0.604321922578825</c:v>
                </c:pt>
                <c:pt idx="23">
                  <c:v>0.63269207326493548</c:v>
                </c:pt>
                <c:pt idx="24">
                  <c:v>0.66292364895577571</c:v>
                </c:pt>
                <c:pt idx="25">
                  <c:v>0.68966650498007498</c:v>
                </c:pt>
                <c:pt idx="26">
                  <c:v>0.73437879995739785</c:v>
                </c:pt>
                <c:pt idx="27">
                  <c:v>0.78636376923441453</c:v>
                </c:pt>
                <c:pt idx="28">
                  <c:v>0.82139749927834638</c:v>
                </c:pt>
                <c:pt idx="29">
                  <c:v>0.78348848357766943</c:v>
                </c:pt>
                <c:pt idx="30">
                  <c:v>0.82912928378077355</c:v>
                </c:pt>
                <c:pt idx="31">
                  <c:v>0.86101701327860547</c:v>
                </c:pt>
                <c:pt idx="32">
                  <c:v>0.87092029167685059</c:v>
                </c:pt>
                <c:pt idx="33">
                  <c:v>0.8881503712216765</c:v>
                </c:pt>
                <c:pt idx="34">
                  <c:v>0.90382017875503085</c:v>
                </c:pt>
              </c:numCache>
            </c:numRef>
          </c:val>
          <c:smooth val="0"/>
          <c:extLst>
            <c:ext xmlns:c16="http://schemas.microsoft.com/office/drawing/2014/chart" uri="{C3380CC4-5D6E-409C-BE32-E72D297353CC}">
              <c16:uniqueId val="{00000000-190F-424A-895D-ACAB08AB0D39}"/>
            </c:ext>
          </c:extLst>
        </c:ser>
        <c:ser>
          <c:idx val="1"/>
          <c:order val="1"/>
          <c:tx>
            <c:strRef>
              <c:f>'France Labor Year by Year Thre'!$V$2</c:f>
              <c:strCache>
                <c:ptCount val="1"/>
                <c:pt idx="0">
                  <c:v>PSI(10% to 1%) Pre-Tax</c:v>
                </c:pt>
              </c:strCache>
            </c:strRef>
          </c:tx>
          <c:spPr>
            <a:ln w="28575" cap="rnd">
              <a:solidFill>
                <a:srgbClr val="00B050"/>
              </a:solidFill>
              <a:prstDash val="dash"/>
              <a:round/>
            </a:ln>
            <a:effectLst/>
          </c:spPr>
          <c:marker>
            <c:symbol val="none"/>
          </c:marker>
          <c:cat>
            <c:numRef>
              <c:f>'France Labor Year by Year Thre'!$A$3:$A$42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'France Labor Year by Year Thre'!$V$3:$V$37</c:f>
              <c:numCache>
                <c:formatCode>0.00%</c:formatCode>
                <c:ptCount val="35"/>
                <c:pt idx="0">
                  <c:v>-5.7387090882795144E-2</c:v>
                </c:pt>
                <c:pt idx="1">
                  <c:v>-2.6150964330949433E-2</c:v>
                </c:pt>
                <c:pt idx="2">
                  <c:v>-7.4559259481293827E-3</c:v>
                </c:pt>
                <c:pt idx="3">
                  <c:v>1.1488263503844021E-2</c:v>
                </c:pt>
                <c:pt idx="4">
                  <c:v>3.546590359055557E-2</c:v>
                </c:pt>
                <c:pt idx="5">
                  <c:v>3.5607166109016042E-2</c:v>
                </c:pt>
                <c:pt idx="6">
                  <c:v>3.3508409389315208E-2</c:v>
                </c:pt>
                <c:pt idx="7">
                  <c:v>3.4422343657374954E-2</c:v>
                </c:pt>
                <c:pt idx="8">
                  <c:v>2.9979820224492748E-2</c:v>
                </c:pt>
                <c:pt idx="9">
                  <c:v>5.2693493599600627E-2</c:v>
                </c:pt>
                <c:pt idx="10">
                  <c:v>7.9830518039940124E-2</c:v>
                </c:pt>
                <c:pt idx="11">
                  <c:v>6.9619622933277725E-2</c:v>
                </c:pt>
                <c:pt idx="12">
                  <c:v>0.10821274817940618</c:v>
                </c:pt>
                <c:pt idx="13">
                  <c:v>0.12832398051987104</c:v>
                </c:pt>
                <c:pt idx="14">
                  <c:v>0.11275997897721424</c:v>
                </c:pt>
                <c:pt idx="15">
                  <c:v>0.11931045402022811</c:v>
                </c:pt>
                <c:pt idx="16">
                  <c:v>0.12775535696560603</c:v>
                </c:pt>
                <c:pt idx="17">
                  <c:v>0.12984903683868754</c:v>
                </c:pt>
                <c:pt idx="18">
                  <c:v>0.11942852424372097</c:v>
                </c:pt>
                <c:pt idx="19">
                  <c:v>0.121729282052917</c:v>
                </c:pt>
                <c:pt idx="20">
                  <c:v>0.11752544513407814</c:v>
                </c:pt>
                <c:pt idx="21">
                  <c:v>0.11502920983327303</c:v>
                </c:pt>
                <c:pt idx="22">
                  <c:v>0.1108109850294372</c:v>
                </c:pt>
                <c:pt idx="23">
                  <c:v>0.12712199085800213</c:v>
                </c:pt>
                <c:pt idx="24">
                  <c:v>0.12615200096647006</c:v>
                </c:pt>
                <c:pt idx="25">
                  <c:v>0.12635471374096663</c:v>
                </c:pt>
                <c:pt idx="26">
                  <c:v>0.13159776032950066</c:v>
                </c:pt>
                <c:pt idx="27">
                  <c:v>0.13531102884968482</c:v>
                </c:pt>
                <c:pt idx="28">
                  <c:v>0.15023633347825727</c:v>
                </c:pt>
                <c:pt idx="29">
                  <c:v>0.17015027541047822</c:v>
                </c:pt>
                <c:pt idx="30">
                  <c:v>0.16888253756509708</c:v>
                </c:pt>
                <c:pt idx="31">
                  <c:v>0.17373737949419255</c:v>
                </c:pt>
                <c:pt idx="32">
                  <c:v>0.18460122549783931</c:v>
                </c:pt>
                <c:pt idx="33">
                  <c:v>0.19497007084772644</c:v>
                </c:pt>
                <c:pt idx="34">
                  <c:v>0.20262741163936648</c:v>
                </c:pt>
              </c:numCache>
            </c:numRef>
          </c:val>
          <c:smooth val="0"/>
          <c:extLst>
            <c:ext xmlns:c16="http://schemas.microsoft.com/office/drawing/2014/chart" uri="{C3380CC4-5D6E-409C-BE32-E72D297353CC}">
              <c16:uniqueId val="{00000001-190F-424A-895D-ACAB08AB0D39}"/>
            </c:ext>
          </c:extLst>
        </c:ser>
        <c:ser>
          <c:idx val="2"/>
          <c:order val="2"/>
          <c:tx>
            <c:strRef>
              <c:f>'France Labor Year by Year Thre'!$W$2</c:f>
              <c:strCache>
                <c:ptCount val="1"/>
                <c:pt idx="0">
                  <c:v>PSI(90%) Pre-Tax</c:v>
                </c:pt>
              </c:strCache>
            </c:strRef>
          </c:tx>
          <c:spPr>
            <a:ln w="28575" cap="rnd">
              <a:solidFill>
                <a:srgbClr val="0070C0"/>
              </a:solidFill>
              <a:prstDash val="dash"/>
              <a:round/>
            </a:ln>
            <a:effectLst/>
          </c:spPr>
          <c:marker>
            <c:symbol val="none"/>
          </c:marker>
          <c:cat>
            <c:numRef>
              <c:f>'France Labor Year by Year Thre'!$A$3:$A$42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'France Labor Year by Year Thre'!$W$3:$W$37</c:f>
              <c:numCache>
                <c:formatCode>0.00%</c:formatCode>
                <c:ptCount val="35"/>
                <c:pt idx="0">
                  <c:v>9.6450708525324114E-3</c:v>
                </c:pt>
                <c:pt idx="1">
                  <c:v>-2.5617817271398335E-3</c:v>
                </c:pt>
                <c:pt idx="2">
                  <c:v>-9.6380164474382246E-3</c:v>
                </c:pt>
                <c:pt idx="3">
                  <c:v>-1.6415995260008365E-2</c:v>
                </c:pt>
                <c:pt idx="4">
                  <c:v>-2.4523496373850762E-2</c:v>
                </c:pt>
                <c:pt idx="5">
                  <c:v>-2.6869837093135063E-2</c:v>
                </c:pt>
                <c:pt idx="6">
                  <c:v>-2.8266277167650733E-2</c:v>
                </c:pt>
                <c:pt idx="7">
                  <c:v>-3.0255722097085935E-2</c:v>
                </c:pt>
                <c:pt idx="8">
                  <c:v>-2.9876579501875611E-2</c:v>
                </c:pt>
                <c:pt idx="9">
                  <c:v>-3.6086057442417996E-2</c:v>
                </c:pt>
                <c:pt idx="10">
                  <c:v>-4.1861716782389702E-2</c:v>
                </c:pt>
                <c:pt idx="11">
                  <c:v>-3.9443369758445312E-2</c:v>
                </c:pt>
                <c:pt idx="12">
                  <c:v>-4.9726419562831636E-2</c:v>
                </c:pt>
                <c:pt idx="13">
                  <c:v>-5.1434881044007397E-2</c:v>
                </c:pt>
                <c:pt idx="14">
                  <c:v>-5.0143406279262059E-2</c:v>
                </c:pt>
                <c:pt idx="15">
                  <c:v>-5.1267707376090987E-2</c:v>
                </c:pt>
                <c:pt idx="16">
                  <c:v>-5.3986712438816364E-2</c:v>
                </c:pt>
                <c:pt idx="17">
                  <c:v>-5.4027825014821396E-2</c:v>
                </c:pt>
                <c:pt idx="18">
                  <c:v>-5.2276289735216253E-2</c:v>
                </c:pt>
                <c:pt idx="19">
                  <c:v>-5.4544355074441109E-2</c:v>
                </c:pt>
                <c:pt idx="20">
                  <c:v>-5.4743195864757177E-2</c:v>
                </c:pt>
                <c:pt idx="21">
                  <c:v>-5.5751397109706224E-2</c:v>
                </c:pt>
                <c:pt idx="22">
                  <c:v>-5.5115306763904748E-2</c:v>
                </c:pt>
                <c:pt idx="23">
                  <c:v>-5.9530409727874822E-2</c:v>
                </c:pt>
                <c:pt idx="24">
                  <c:v>-6.0411889849352529E-2</c:v>
                </c:pt>
                <c:pt idx="25">
                  <c:v>-6.1240331650972868E-2</c:v>
                </c:pt>
                <c:pt idx="26">
                  <c:v>-6.4138805411516064E-2</c:v>
                </c:pt>
                <c:pt idx="27">
                  <c:v>-6.6615422932602364E-2</c:v>
                </c:pt>
                <c:pt idx="28">
                  <c:v>-7.0068724164691232E-2</c:v>
                </c:pt>
                <c:pt idx="29">
                  <c:v>-7.0692782383915964E-2</c:v>
                </c:pt>
                <c:pt idx="30">
                  <c:v>-7.2528558329307158E-2</c:v>
                </c:pt>
                <c:pt idx="31">
                  <c:v>-7.3875560027820586E-2</c:v>
                </c:pt>
                <c:pt idx="32">
                  <c:v>-7.5173505498630777E-2</c:v>
                </c:pt>
                <c:pt idx="33">
                  <c:v>-7.6898195496512667E-2</c:v>
                </c:pt>
                <c:pt idx="34">
                  <c:v>-7.8220333844090106E-2</c:v>
                </c:pt>
              </c:numCache>
            </c:numRef>
          </c:val>
          <c:smooth val="0"/>
          <c:extLst>
            <c:ext xmlns:c16="http://schemas.microsoft.com/office/drawing/2014/chart" uri="{C3380CC4-5D6E-409C-BE32-E72D297353CC}">
              <c16:uniqueId val="{00000002-190F-424A-895D-ACAB08AB0D39}"/>
            </c:ext>
          </c:extLst>
        </c:ser>
        <c:dLbls>
          <c:showLegendKey val="0"/>
          <c:showVal val="0"/>
          <c:showCatName val="0"/>
          <c:showSerName val="0"/>
          <c:showPercent val="0"/>
          <c:showBubbleSize val="0"/>
        </c:dLbls>
        <c:smooth val="0"/>
        <c:axId val="1049694320"/>
        <c:axId val="1045444864"/>
      </c:lineChart>
      <c:catAx>
        <c:axId val="1049694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4864"/>
        <c:crosses val="autoZero"/>
        <c:auto val="1"/>
        <c:lblAlgn val="ctr"/>
        <c:lblOffset val="100"/>
        <c:noMultiLvlLbl val="0"/>
      </c:catAx>
      <c:valAx>
        <c:axId val="1045444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9694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Pre tax PSI - France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'France Cpital Year by Year Thre'!$U$2</c:f>
              <c:strCache>
                <c:ptCount val="1"/>
                <c:pt idx="0">
                  <c:v>PSI(1%) Pre-Tax</c:v>
                </c:pt>
              </c:strCache>
            </c:strRef>
          </c:tx>
          <c:spPr>
            <a:ln w="28575" cap="rnd">
              <a:solidFill>
                <a:srgbClr val="FF0000"/>
              </a:solidFill>
              <a:prstDash val="dash"/>
              <a:round/>
            </a:ln>
            <a:effectLst/>
          </c:spPr>
          <c:marker>
            <c:symbol val="none"/>
          </c:marker>
          <c:cat>
            <c:numRef>
              <c:f>'France Cpital Year by Year Thre'!$A$3:$A$42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'France Cpital Year by Year Thre'!$U$3:$U$37</c:f>
              <c:numCache>
                <c:formatCode>0.00%</c:formatCode>
                <c:ptCount val="35"/>
                <c:pt idx="0">
                  <c:v>0.30528542243665968</c:v>
                </c:pt>
                <c:pt idx="1">
                  <c:v>0.36507274550180324</c:v>
                </c:pt>
                <c:pt idx="2">
                  <c:v>0.32328534134763776</c:v>
                </c:pt>
                <c:pt idx="3">
                  <c:v>0.32697044686279697</c:v>
                </c:pt>
                <c:pt idx="4">
                  <c:v>0.39022944544019822</c:v>
                </c:pt>
                <c:pt idx="5">
                  <c:v>0.44656738347325575</c:v>
                </c:pt>
                <c:pt idx="6">
                  <c:v>0.51154237351334642</c:v>
                </c:pt>
                <c:pt idx="7">
                  <c:v>0.61926424542515002</c:v>
                </c:pt>
                <c:pt idx="8">
                  <c:v>0.69947751651678369</c:v>
                </c:pt>
                <c:pt idx="9">
                  <c:v>0.71135371382616142</c:v>
                </c:pt>
                <c:pt idx="10">
                  <c:v>0.71888199034663947</c:v>
                </c:pt>
                <c:pt idx="11">
                  <c:v>0.67897849908513663</c:v>
                </c:pt>
                <c:pt idx="12">
                  <c:v>0.65291789401287681</c:v>
                </c:pt>
                <c:pt idx="13">
                  <c:v>0.7719191599124644</c:v>
                </c:pt>
                <c:pt idx="14">
                  <c:v>0.79443396162741875</c:v>
                </c:pt>
                <c:pt idx="15">
                  <c:v>0.81284845198348732</c:v>
                </c:pt>
                <c:pt idx="16">
                  <c:v>0.92839481441080274</c:v>
                </c:pt>
                <c:pt idx="17">
                  <c:v>0.98303884023765664</c:v>
                </c:pt>
                <c:pt idx="18">
                  <c:v>1.0048865000679674</c:v>
                </c:pt>
                <c:pt idx="19">
                  <c:v>1.0042904785739322</c:v>
                </c:pt>
                <c:pt idx="20">
                  <c:v>1.070283993478045</c:v>
                </c:pt>
                <c:pt idx="21">
                  <c:v>1.1412454683237647</c:v>
                </c:pt>
                <c:pt idx="22">
                  <c:v>1.1375284763068674</c:v>
                </c:pt>
                <c:pt idx="23">
                  <c:v>1.2087055704566709</c:v>
                </c:pt>
                <c:pt idx="24">
                  <c:v>1.256875730279043</c:v>
                </c:pt>
                <c:pt idx="25">
                  <c:v>1.2540322341019414</c:v>
                </c:pt>
                <c:pt idx="26">
                  <c:v>1.2742313341044862</c:v>
                </c:pt>
                <c:pt idx="27">
                  <c:v>1.363435548388205</c:v>
                </c:pt>
                <c:pt idx="28">
                  <c:v>1.4262516620423709</c:v>
                </c:pt>
                <c:pt idx="29">
                  <c:v>1.2857317083224156</c:v>
                </c:pt>
                <c:pt idx="30">
                  <c:v>1.4043510085994275</c:v>
                </c:pt>
                <c:pt idx="31">
                  <c:v>1.5225180801687905</c:v>
                </c:pt>
                <c:pt idx="32">
                  <c:v>1.393322693438825</c:v>
                </c:pt>
                <c:pt idx="33">
                  <c:v>1.5060943310500501</c:v>
                </c:pt>
                <c:pt idx="34">
                  <c:v>1.5299639361574275</c:v>
                </c:pt>
              </c:numCache>
            </c:numRef>
          </c:val>
          <c:smooth val="0"/>
          <c:extLst>
            <c:ext xmlns:c16="http://schemas.microsoft.com/office/drawing/2014/chart" uri="{C3380CC4-5D6E-409C-BE32-E72D297353CC}">
              <c16:uniqueId val="{00000000-6AD5-455B-9B72-AD791073CE9D}"/>
            </c:ext>
          </c:extLst>
        </c:ser>
        <c:ser>
          <c:idx val="1"/>
          <c:order val="1"/>
          <c:tx>
            <c:strRef>
              <c:f>'France Cpital Year by Year Thre'!$V$2</c:f>
              <c:strCache>
                <c:ptCount val="1"/>
                <c:pt idx="0">
                  <c:v>PSI(10% to 1%) Pre-Tax</c:v>
                </c:pt>
              </c:strCache>
            </c:strRef>
          </c:tx>
          <c:spPr>
            <a:ln w="28575" cap="rnd">
              <a:solidFill>
                <a:srgbClr val="00B050"/>
              </a:solidFill>
              <a:prstDash val="dash"/>
              <a:round/>
            </a:ln>
            <a:effectLst/>
          </c:spPr>
          <c:marker>
            <c:symbol val="none"/>
          </c:marker>
          <c:cat>
            <c:numRef>
              <c:f>'France Cpital Year by Year Thre'!$A$3:$A$42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'France Cpital Year by Year Thre'!$V$3:$V$37</c:f>
              <c:numCache>
                <c:formatCode>0.00%</c:formatCode>
                <c:ptCount val="35"/>
                <c:pt idx="0">
                  <c:v>-0.10152133597321167</c:v>
                </c:pt>
                <c:pt idx="1">
                  <c:v>-0.10399647785097543</c:v>
                </c:pt>
                <c:pt idx="2">
                  <c:v>-8.8569951483279397E-2</c:v>
                </c:pt>
                <c:pt idx="3">
                  <c:v>-6.1958456992423083E-2</c:v>
                </c:pt>
                <c:pt idx="4">
                  <c:v>-4.234728112155095E-2</c:v>
                </c:pt>
                <c:pt idx="5">
                  <c:v>-2.786154444173139E-2</c:v>
                </c:pt>
                <c:pt idx="6">
                  <c:v>-1.9310347480611223E-2</c:v>
                </c:pt>
                <c:pt idx="7">
                  <c:v>-2.4324884587827444E-2</c:v>
                </c:pt>
                <c:pt idx="8">
                  <c:v>5.6249274492394807E-3</c:v>
                </c:pt>
                <c:pt idx="9">
                  <c:v>-1.6486071779167166E-2</c:v>
                </c:pt>
                <c:pt idx="10">
                  <c:v>-2.0950141368352382E-2</c:v>
                </c:pt>
                <c:pt idx="11">
                  <c:v>-1.9868811154834076E-2</c:v>
                </c:pt>
                <c:pt idx="12">
                  <c:v>-5.9244756231364715E-3</c:v>
                </c:pt>
                <c:pt idx="13">
                  <c:v>-2.6744990000048263E-3</c:v>
                </c:pt>
                <c:pt idx="14">
                  <c:v>-4.8325560917693577E-3</c:v>
                </c:pt>
                <c:pt idx="15">
                  <c:v>-6.4536473541721984E-3</c:v>
                </c:pt>
                <c:pt idx="16">
                  <c:v>-2.9116460802022237E-2</c:v>
                </c:pt>
                <c:pt idx="17">
                  <c:v>-4.1411787931912913E-2</c:v>
                </c:pt>
                <c:pt idx="18">
                  <c:v>-4.4333113813026848E-2</c:v>
                </c:pt>
                <c:pt idx="19">
                  <c:v>-3.9647527533856475E-2</c:v>
                </c:pt>
                <c:pt idx="20">
                  <c:v>-4.6569551245476348E-2</c:v>
                </c:pt>
                <c:pt idx="21">
                  <c:v>-4.120357349102155E-2</c:v>
                </c:pt>
                <c:pt idx="22">
                  <c:v>-3.5020009594055934E-2</c:v>
                </c:pt>
                <c:pt idx="23">
                  <c:v>-3.6508358157288034E-2</c:v>
                </c:pt>
                <c:pt idx="24">
                  <c:v>-3.6989791191838317E-2</c:v>
                </c:pt>
                <c:pt idx="25">
                  <c:v>-3.1384195933296111E-2</c:v>
                </c:pt>
                <c:pt idx="26">
                  <c:v>-1.588755880378212E-2</c:v>
                </c:pt>
                <c:pt idx="27">
                  <c:v>-5.50977498187466E-3</c:v>
                </c:pt>
                <c:pt idx="28">
                  <c:v>1.194546882271319E-2</c:v>
                </c:pt>
                <c:pt idx="29">
                  <c:v>3.9547915891475549E-2</c:v>
                </c:pt>
                <c:pt idx="30">
                  <c:v>2.2286819298104055E-2</c:v>
                </c:pt>
                <c:pt idx="31">
                  <c:v>2.0177984241125602E-2</c:v>
                </c:pt>
                <c:pt idx="32">
                  <c:v>4.1607167940634238E-2</c:v>
                </c:pt>
                <c:pt idx="33">
                  <c:v>5.0505427412129711E-2</c:v>
                </c:pt>
                <c:pt idx="34">
                  <c:v>5.4653421898556154E-2</c:v>
                </c:pt>
              </c:numCache>
            </c:numRef>
          </c:val>
          <c:smooth val="0"/>
          <c:extLst>
            <c:ext xmlns:c16="http://schemas.microsoft.com/office/drawing/2014/chart" uri="{C3380CC4-5D6E-409C-BE32-E72D297353CC}">
              <c16:uniqueId val="{00000001-6AD5-455B-9B72-AD791073CE9D}"/>
            </c:ext>
          </c:extLst>
        </c:ser>
        <c:ser>
          <c:idx val="2"/>
          <c:order val="2"/>
          <c:tx>
            <c:strRef>
              <c:f>'France Cpital Year by Year Thre'!$W$2</c:f>
              <c:strCache>
                <c:ptCount val="1"/>
                <c:pt idx="0">
                  <c:v>PSI(90%) Pre-Tax</c:v>
                </c:pt>
              </c:strCache>
            </c:strRef>
          </c:tx>
          <c:spPr>
            <a:ln w="28575" cap="rnd">
              <a:solidFill>
                <a:srgbClr val="0070C0"/>
              </a:solidFill>
              <a:prstDash val="dash"/>
              <a:round/>
            </a:ln>
            <a:effectLst/>
          </c:spPr>
          <c:marker>
            <c:symbol val="none"/>
          </c:marker>
          <c:cat>
            <c:numRef>
              <c:f>'France Cpital Year by Year Thre'!$A$3:$A$42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'France Cpital Year by Year Thre'!$W$3:$W$37</c:f>
              <c:numCache>
                <c:formatCode>0.00%</c:formatCode>
                <c:ptCount val="35"/>
                <c:pt idx="0">
                  <c:v>9.120618085929344E-3</c:v>
                </c:pt>
                <c:pt idx="1">
                  <c:v>5.1182442948154439E-3</c:v>
                </c:pt>
                <c:pt idx="2">
                  <c:v>3.9378915050591878E-3</c:v>
                </c:pt>
                <c:pt idx="3">
                  <c:v>-4.8934131635253175E-3</c:v>
                </c:pt>
                <c:pt idx="4">
                  <c:v>-1.5588302524072173E-2</c:v>
                </c:pt>
                <c:pt idx="5">
                  <c:v>-2.439576800150256E-2</c:v>
                </c:pt>
                <c:pt idx="6">
                  <c:v>-3.2896196135686839E-2</c:v>
                </c:pt>
                <c:pt idx="7">
                  <c:v>-4.0607856790478847E-2</c:v>
                </c:pt>
                <c:pt idx="8">
                  <c:v>-5.4680976301296313E-2</c:v>
                </c:pt>
                <c:pt idx="9">
                  <c:v>-5.0384339246678067E-2</c:v>
                </c:pt>
                <c:pt idx="10">
                  <c:v>-4.7918374230728866E-2</c:v>
                </c:pt>
                <c:pt idx="11">
                  <c:v>-4.5469900866992763E-2</c:v>
                </c:pt>
                <c:pt idx="12">
                  <c:v>-4.5477332996768927E-2</c:v>
                </c:pt>
                <c:pt idx="13">
                  <c:v>-5.4036457955241035E-2</c:v>
                </c:pt>
                <c:pt idx="14">
                  <c:v>-5.4769102756683785E-2</c:v>
                </c:pt>
                <c:pt idx="15">
                  <c:v>-5.5235251588338419E-2</c:v>
                </c:pt>
                <c:pt idx="16">
                  <c:v>-5.7873463887681553E-2</c:v>
                </c:pt>
                <c:pt idx="17">
                  <c:v>-5.8868137606309934E-2</c:v>
                </c:pt>
                <c:pt idx="18">
                  <c:v>-6.0413999922525274E-2</c:v>
                </c:pt>
                <c:pt idx="19">
                  <c:v>-6.13658247399127E-2</c:v>
                </c:pt>
                <c:pt idx="20">
                  <c:v>-6.4650075657644468E-2</c:v>
                </c:pt>
                <c:pt idx="21">
                  <c:v>-7.0937323930571949E-2</c:v>
                </c:pt>
                <c:pt idx="22">
                  <c:v>-6.9718987503418761E-2</c:v>
                </c:pt>
                <c:pt idx="23">
                  <c:v>-7.4605702289797238E-2</c:v>
                </c:pt>
                <c:pt idx="24">
                  <c:v>-7.8082326392801105E-2</c:v>
                </c:pt>
                <c:pt idx="25">
                  <c:v>-7.84523649815142E-2</c:v>
                </c:pt>
                <c:pt idx="26">
                  <c:v>-8.1682063643289782E-2</c:v>
                </c:pt>
                <c:pt idx="27">
                  <c:v>-9.1008142042588891E-2</c:v>
                </c:pt>
                <c:pt idx="28">
                  <c:v>-9.6313016077550162E-2</c:v>
                </c:pt>
                <c:pt idx="29">
                  <c:v>-8.821892551177124E-2</c:v>
                </c:pt>
                <c:pt idx="30">
                  <c:v>-9.1716372638367294E-2</c:v>
                </c:pt>
                <c:pt idx="31">
                  <c:v>-9.907802588842729E-2</c:v>
                </c:pt>
                <c:pt idx="32">
                  <c:v>-9.2909791956099386E-2</c:v>
                </c:pt>
                <c:pt idx="33">
                  <c:v>-0.10058811970122084</c:v>
                </c:pt>
                <c:pt idx="34">
                  <c:v>-0.10212147512670922</c:v>
                </c:pt>
              </c:numCache>
            </c:numRef>
          </c:val>
          <c:smooth val="0"/>
          <c:extLst>
            <c:ext xmlns:c16="http://schemas.microsoft.com/office/drawing/2014/chart" uri="{C3380CC4-5D6E-409C-BE32-E72D297353CC}">
              <c16:uniqueId val="{00000002-6AD5-455B-9B72-AD791073CE9D}"/>
            </c:ext>
          </c:extLst>
        </c:ser>
        <c:dLbls>
          <c:showLegendKey val="0"/>
          <c:showVal val="0"/>
          <c:showCatName val="0"/>
          <c:showSerName val="0"/>
          <c:showPercent val="0"/>
          <c:showBubbleSize val="0"/>
        </c:dLbls>
        <c:smooth val="0"/>
        <c:axId val="1049694320"/>
        <c:axId val="1045444864"/>
        <c:extLst>
          <c:ext xmlns:c15="http://schemas.microsoft.com/office/drawing/2012/chart" uri="{02D57815-91ED-43cb-92C2-25804820EDAC}">
            <c15:filteredLineSeries>
              <c15:ser>
                <c:idx val="3"/>
                <c:order val="3"/>
                <c:tx>
                  <c:strRef>
                    <c:extLst>
                      <c:ext uri="{02D57815-91ED-43cb-92C2-25804820EDAC}">
                        <c15:formulaRef>
                          <c15:sqref>'France Cpital Year by Year Thre'!#REF!</c15:sqref>
                        </c15:formulaRef>
                      </c:ext>
                    </c:extLst>
                    <c:strCache>
                      <c:ptCount val="1"/>
                      <c:pt idx="0">
                        <c:v>#REF!</c:v>
                      </c:pt>
                    </c:strCache>
                  </c:strRef>
                </c:tx>
                <c:spPr>
                  <a:ln w="28575" cap="rnd">
                    <a:solidFill>
                      <a:srgbClr val="FF0000"/>
                    </a:solidFill>
                    <a:round/>
                  </a:ln>
                  <a:effectLst/>
                </c:spPr>
                <c:marker>
                  <c:symbol val="none"/>
                </c:marker>
                <c:cat>
                  <c:numRef>
                    <c:extLst>
                      <c:ext uri="{02D57815-91ED-43cb-92C2-25804820EDAC}">
                        <c15:formulaRef>
                          <c15:sqref>'France Cpital Year by Year Thre'!$A$3:$A$42</c15:sqref>
                        </c15:formulaRef>
                      </c:ext>
                    </c:extLst>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extLst>
                      <c:ext uri="{02D57815-91ED-43cb-92C2-25804820EDAC}">
                        <c15:formulaRef>
                          <c15:sqref>'France Cpital Year by Year Thre'!#REF!</c15:sqref>
                        </c15:formulaRef>
                      </c:ext>
                    </c:extLst>
                    <c:numCache>
                      <c:formatCode>General</c:formatCode>
                      <c:ptCount val="1"/>
                      <c:pt idx="0">
                        <c:v>1</c:v>
                      </c:pt>
                    </c:numCache>
                  </c:numRef>
                </c:val>
                <c:smooth val="0"/>
                <c:extLst>
                  <c:ext xmlns:c16="http://schemas.microsoft.com/office/drawing/2014/chart" uri="{C3380CC4-5D6E-409C-BE32-E72D297353CC}">
                    <c16:uniqueId val="{00000003-6AD5-455B-9B72-AD791073CE9D}"/>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'France Cpital Year by Year Thre'!#REF!</c15:sqref>
                        </c15:formulaRef>
                      </c:ext>
                    </c:extLst>
                    <c:strCache>
                      <c:ptCount val="1"/>
                      <c:pt idx="0">
                        <c:v>#REF!</c:v>
                      </c:pt>
                    </c:strCache>
                  </c:strRef>
                </c:tx>
                <c:spPr>
                  <a:ln w="28575" cap="rnd">
                    <a:solidFill>
                      <a:srgbClr val="92D050"/>
                    </a:solidFill>
                    <a:round/>
                  </a:ln>
                  <a:effectLst/>
                </c:spPr>
                <c:marker>
                  <c:symbol val="none"/>
                </c:marker>
                <c:cat>
                  <c:numRef>
                    <c:extLst xmlns:c15="http://schemas.microsoft.com/office/drawing/2012/chart">
                      <c:ext xmlns:c15="http://schemas.microsoft.com/office/drawing/2012/chart" uri="{02D57815-91ED-43cb-92C2-25804820EDAC}">
                        <c15:formulaRef>
                          <c15:sqref>'France Cpital Year by Year Thre'!$A$3:$A$42</c15:sqref>
                        </c15:formulaRef>
                      </c:ext>
                    </c:extLst>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extLst xmlns:c15="http://schemas.microsoft.com/office/drawing/2012/chart">
                      <c:ext xmlns:c15="http://schemas.microsoft.com/office/drawing/2012/chart" uri="{02D57815-91ED-43cb-92C2-25804820EDAC}">
                        <c15:formulaRef>
                          <c15:sqref>'France Cpital Year by Year Thre'!#REF!</c15:sqref>
                        </c15:formulaRef>
                      </c:ext>
                    </c:extLst>
                    <c:numCache>
                      <c:formatCode>General</c:formatCode>
                      <c:ptCount val="1"/>
                      <c:pt idx="0">
                        <c:v>1</c:v>
                      </c:pt>
                    </c:numCache>
                  </c:numRef>
                </c:val>
                <c:smooth val="0"/>
                <c:extLst xmlns:c15="http://schemas.microsoft.com/office/drawing/2012/chart">
                  <c:ext xmlns:c16="http://schemas.microsoft.com/office/drawing/2014/chart" uri="{C3380CC4-5D6E-409C-BE32-E72D297353CC}">
                    <c16:uniqueId val="{00000004-6AD5-455B-9B72-AD791073CE9D}"/>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'France Cpital Year by Year Thre'!#REF!</c15:sqref>
                        </c15:formulaRef>
                      </c:ext>
                    </c:extLst>
                    <c:strCache>
                      <c:ptCount val="1"/>
                      <c:pt idx="0">
                        <c:v>#REF!</c:v>
                      </c:pt>
                    </c:strCache>
                  </c:strRef>
                </c:tx>
                <c:spPr>
                  <a:ln w="28575" cap="rnd">
                    <a:solidFill>
                      <a:srgbClr val="0070C0"/>
                    </a:solidFill>
                    <a:round/>
                  </a:ln>
                  <a:effectLst/>
                </c:spPr>
                <c:marker>
                  <c:symbol val="none"/>
                </c:marker>
                <c:cat>
                  <c:numRef>
                    <c:extLst xmlns:c15="http://schemas.microsoft.com/office/drawing/2012/chart">
                      <c:ext xmlns:c15="http://schemas.microsoft.com/office/drawing/2012/chart" uri="{02D57815-91ED-43cb-92C2-25804820EDAC}">
                        <c15:formulaRef>
                          <c15:sqref>'France Cpital Year by Year Thre'!$A$3:$A$42</c15:sqref>
                        </c15:formulaRef>
                      </c:ext>
                    </c:extLst>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extLst xmlns:c15="http://schemas.microsoft.com/office/drawing/2012/chart">
                      <c:ext xmlns:c15="http://schemas.microsoft.com/office/drawing/2012/chart" uri="{02D57815-91ED-43cb-92C2-25804820EDAC}">
                        <c15:formulaRef>
                          <c15:sqref>'France Cpital Year by Year Thre'!#REF!</c15:sqref>
                        </c15:formulaRef>
                      </c:ext>
                    </c:extLst>
                    <c:numCache>
                      <c:formatCode>General</c:formatCode>
                      <c:ptCount val="1"/>
                      <c:pt idx="0">
                        <c:v>1</c:v>
                      </c:pt>
                    </c:numCache>
                  </c:numRef>
                </c:val>
                <c:smooth val="0"/>
                <c:extLst xmlns:c15="http://schemas.microsoft.com/office/drawing/2012/chart">
                  <c:ext xmlns:c16="http://schemas.microsoft.com/office/drawing/2014/chart" uri="{C3380CC4-5D6E-409C-BE32-E72D297353CC}">
                    <c16:uniqueId val="{00000005-6AD5-455B-9B72-AD791073CE9D}"/>
                  </c:ext>
                </c:extLst>
              </c15:ser>
            </c15:filteredLineSeries>
          </c:ext>
        </c:extLst>
      </c:lineChart>
      <c:catAx>
        <c:axId val="1049694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4864"/>
        <c:crosses val="autoZero"/>
        <c:auto val="1"/>
        <c:lblAlgn val="ctr"/>
        <c:lblOffset val="100"/>
        <c:noMultiLvlLbl val="0"/>
      </c:catAx>
      <c:valAx>
        <c:axId val="1045444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9694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 tax PSI Capital VS Non-Capital - France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6"/>
          <c:tx>
            <c:strRef>
              <c:f>'France Cpital Year by Year Thre'!$U$2</c:f>
              <c:strCache>
                <c:ptCount val="1"/>
                <c:pt idx="0">
                  <c:v>PSI(1%) Pre-Tax</c:v>
                </c:pt>
              </c:strCache>
            </c:strRef>
          </c:tx>
          <c:spPr>
            <a:ln w="28575" cap="rnd">
              <a:solidFill>
                <a:srgbClr val="FF0000"/>
              </a:solidFill>
              <a:prstDash val="dash"/>
              <a:round/>
            </a:ln>
            <a:effectLst/>
          </c:spPr>
          <c:marker>
            <c:symbol val="none"/>
          </c:marker>
          <c:dLbls>
            <c:dLbl>
              <c:idx val="10"/>
              <c:layout>
                <c:manualLayout>
                  <c:x val="-7.4399768217086409E-2"/>
                  <c:y val="-0.135952770473117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979D-48C2-9E38-68B09C3BF9A1}"/>
                </c:ext>
              </c:extLst>
            </c:dLbl>
            <c:dLbl>
              <c:idx val="20"/>
              <c:layout>
                <c:manualLayout>
                  <c:x val="-4.8521587967665014E-3"/>
                  <c:y val="-0.1489006533753194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979D-48C2-9E38-68B09C3BF9A1}"/>
                </c:ext>
              </c:extLst>
            </c:dLbl>
            <c:dLbl>
              <c:idx val="34"/>
              <c:layout>
                <c:manualLayout>
                  <c:x val="-1.1321703859121835E-2"/>
                  <c:y val="-8.416123886431096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979D-48C2-9E38-68B09C3BF9A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'France Cpital Year by Year Thre'!$A$3:$A$42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'France Cpital Year by Year Thre'!$U$3:$U$37</c:f>
              <c:numCache>
                <c:formatCode>0.00%</c:formatCode>
                <c:ptCount val="35"/>
                <c:pt idx="0">
                  <c:v>0.30528542243665968</c:v>
                </c:pt>
                <c:pt idx="1">
                  <c:v>0.36507274550180324</c:v>
                </c:pt>
                <c:pt idx="2">
                  <c:v>0.32328534134763776</c:v>
                </c:pt>
                <c:pt idx="3">
                  <c:v>0.32697044686279697</c:v>
                </c:pt>
                <c:pt idx="4">
                  <c:v>0.39022944544019822</c:v>
                </c:pt>
                <c:pt idx="5">
                  <c:v>0.44656738347325575</c:v>
                </c:pt>
                <c:pt idx="6">
                  <c:v>0.51154237351334642</c:v>
                </c:pt>
                <c:pt idx="7">
                  <c:v>0.61926424542515002</c:v>
                </c:pt>
                <c:pt idx="8">
                  <c:v>0.69947751651678369</c:v>
                </c:pt>
                <c:pt idx="9">
                  <c:v>0.71135371382616142</c:v>
                </c:pt>
                <c:pt idx="10">
                  <c:v>0.71888199034663947</c:v>
                </c:pt>
                <c:pt idx="11">
                  <c:v>0.67897849908513663</c:v>
                </c:pt>
                <c:pt idx="12">
                  <c:v>0.65291789401287681</c:v>
                </c:pt>
                <c:pt idx="13">
                  <c:v>0.7719191599124644</c:v>
                </c:pt>
                <c:pt idx="14">
                  <c:v>0.79443396162741875</c:v>
                </c:pt>
                <c:pt idx="15">
                  <c:v>0.81284845198348732</c:v>
                </c:pt>
                <c:pt idx="16">
                  <c:v>0.92839481441080274</c:v>
                </c:pt>
                <c:pt idx="17">
                  <c:v>0.98303884023765664</c:v>
                </c:pt>
                <c:pt idx="18">
                  <c:v>1.0048865000679674</c:v>
                </c:pt>
                <c:pt idx="19">
                  <c:v>1.0042904785739322</c:v>
                </c:pt>
                <c:pt idx="20">
                  <c:v>1.070283993478045</c:v>
                </c:pt>
                <c:pt idx="21">
                  <c:v>1.1412454683237647</c:v>
                </c:pt>
                <c:pt idx="22">
                  <c:v>1.1375284763068674</c:v>
                </c:pt>
                <c:pt idx="23">
                  <c:v>1.2087055704566709</c:v>
                </c:pt>
                <c:pt idx="24">
                  <c:v>1.256875730279043</c:v>
                </c:pt>
                <c:pt idx="25">
                  <c:v>1.2540322341019414</c:v>
                </c:pt>
                <c:pt idx="26">
                  <c:v>1.2742313341044862</c:v>
                </c:pt>
                <c:pt idx="27">
                  <c:v>1.363435548388205</c:v>
                </c:pt>
                <c:pt idx="28">
                  <c:v>1.4262516620423709</c:v>
                </c:pt>
                <c:pt idx="29">
                  <c:v>1.2857317083224156</c:v>
                </c:pt>
                <c:pt idx="30">
                  <c:v>1.4043510085994275</c:v>
                </c:pt>
                <c:pt idx="31">
                  <c:v>1.5225180801687905</c:v>
                </c:pt>
                <c:pt idx="32">
                  <c:v>1.393322693438825</c:v>
                </c:pt>
                <c:pt idx="33">
                  <c:v>1.5060943310500501</c:v>
                </c:pt>
                <c:pt idx="34">
                  <c:v>1.5299639361574275</c:v>
                </c:pt>
              </c:numCache>
            </c:numRef>
          </c:val>
          <c:smooth val="0"/>
          <c:extLst>
            <c:ext xmlns:c16="http://schemas.microsoft.com/office/drawing/2014/chart" uri="{C3380CC4-5D6E-409C-BE32-E72D297353CC}">
              <c16:uniqueId val="{00000009-979D-48C2-9E38-68B09C3BF9A1}"/>
            </c:ext>
          </c:extLst>
        </c:ser>
        <c:ser>
          <c:idx val="1"/>
          <c:order val="7"/>
          <c:tx>
            <c:strRef>
              <c:f>'France Cpital Year by Year Thre'!$V$2</c:f>
              <c:strCache>
                <c:ptCount val="1"/>
                <c:pt idx="0">
                  <c:v>PSI(10% to 1%) Pre-Tax</c:v>
                </c:pt>
              </c:strCache>
            </c:strRef>
          </c:tx>
          <c:spPr>
            <a:ln w="28575" cap="rnd">
              <a:solidFill>
                <a:srgbClr val="00B050"/>
              </a:solidFill>
              <a:prstDash val="dash"/>
              <a:round/>
            </a:ln>
            <a:effectLst/>
          </c:spPr>
          <c:marker>
            <c:symbol val="none"/>
          </c:marker>
          <c:dLbls>
            <c:dLbl>
              <c:idx val="10"/>
              <c:layout>
                <c:manualLayout>
                  <c:x val="-2.4260793983832504E-2"/>
                  <c:y val="5.394951209250701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979D-48C2-9E38-68B09C3BF9A1}"/>
                </c:ext>
              </c:extLst>
            </c:dLbl>
            <c:dLbl>
              <c:idx val="20"/>
              <c:layout>
                <c:manualLayout>
                  <c:x val="-2.2634563946653211E-2"/>
                  <c:y val="-9.487567771676282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979D-48C2-9E38-68B09C3BF9A1}"/>
                </c:ext>
              </c:extLst>
            </c:dLbl>
            <c:dLbl>
              <c:idx val="34"/>
              <c:layout>
                <c:manualLayout>
                  <c:x val="0"/>
                  <c:y val="2.832244170669100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979D-48C2-9E38-68B09C3BF9A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'France Cpital Year by Year Thre'!$A$3:$A$42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'France Cpital Year by Year Thre'!$V$3:$V$37</c:f>
              <c:numCache>
                <c:formatCode>0.00%</c:formatCode>
                <c:ptCount val="35"/>
                <c:pt idx="0">
                  <c:v>-0.10152133597321167</c:v>
                </c:pt>
                <c:pt idx="1">
                  <c:v>-0.10399647785097543</c:v>
                </c:pt>
                <c:pt idx="2">
                  <c:v>-8.8569951483279397E-2</c:v>
                </c:pt>
                <c:pt idx="3">
                  <c:v>-6.1958456992423083E-2</c:v>
                </c:pt>
                <c:pt idx="4">
                  <c:v>-4.234728112155095E-2</c:v>
                </c:pt>
                <c:pt idx="5">
                  <c:v>-2.786154444173139E-2</c:v>
                </c:pt>
                <c:pt idx="6">
                  <c:v>-1.9310347480611223E-2</c:v>
                </c:pt>
                <c:pt idx="7">
                  <c:v>-2.4324884587827444E-2</c:v>
                </c:pt>
                <c:pt idx="8">
                  <c:v>5.6249274492394807E-3</c:v>
                </c:pt>
                <c:pt idx="9">
                  <c:v>-1.6486071779167166E-2</c:v>
                </c:pt>
                <c:pt idx="10">
                  <c:v>-2.0950141368352382E-2</c:v>
                </c:pt>
                <c:pt idx="11">
                  <c:v>-1.9868811154834076E-2</c:v>
                </c:pt>
                <c:pt idx="12">
                  <c:v>-5.9244756231364715E-3</c:v>
                </c:pt>
                <c:pt idx="13">
                  <c:v>-2.6744990000048263E-3</c:v>
                </c:pt>
                <c:pt idx="14">
                  <c:v>-4.8325560917693577E-3</c:v>
                </c:pt>
                <c:pt idx="15">
                  <c:v>-6.4536473541721984E-3</c:v>
                </c:pt>
                <c:pt idx="16">
                  <c:v>-2.9116460802022237E-2</c:v>
                </c:pt>
                <c:pt idx="17">
                  <c:v>-4.1411787931912913E-2</c:v>
                </c:pt>
                <c:pt idx="18">
                  <c:v>-4.4333113813026848E-2</c:v>
                </c:pt>
                <c:pt idx="19">
                  <c:v>-3.9647527533856475E-2</c:v>
                </c:pt>
                <c:pt idx="20">
                  <c:v>-4.6569551245476348E-2</c:v>
                </c:pt>
                <c:pt idx="21">
                  <c:v>-4.120357349102155E-2</c:v>
                </c:pt>
                <c:pt idx="22">
                  <c:v>-3.5020009594055934E-2</c:v>
                </c:pt>
                <c:pt idx="23">
                  <c:v>-3.6508358157288034E-2</c:v>
                </c:pt>
                <c:pt idx="24">
                  <c:v>-3.6989791191838317E-2</c:v>
                </c:pt>
                <c:pt idx="25">
                  <c:v>-3.1384195933296111E-2</c:v>
                </c:pt>
                <c:pt idx="26">
                  <c:v>-1.588755880378212E-2</c:v>
                </c:pt>
                <c:pt idx="27">
                  <c:v>-5.50977498187466E-3</c:v>
                </c:pt>
                <c:pt idx="28">
                  <c:v>1.194546882271319E-2</c:v>
                </c:pt>
                <c:pt idx="29">
                  <c:v>3.9547915891475549E-2</c:v>
                </c:pt>
                <c:pt idx="30">
                  <c:v>2.2286819298104055E-2</c:v>
                </c:pt>
                <c:pt idx="31">
                  <c:v>2.0177984241125602E-2</c:v>
                </c:pt>
                <c:pt idx="32">
                  <c:v>4.1607167940634238E-2</c:v>
                </c:pt>
                <c:pt idx="33">
                  <c:v>5.0505427412129711E-2</c:v>
                </c:pt>
                <c:pt idx="34">
                  <c:v>5.4653421898556154E-2</c:v>
                </c:pt>
              </c:numCache>
            </c:numRef>
          </c:val>
          <c:smooth val="0"/>
          <c:extLst>
            <c:ext xmlns:c16="http://schemas.microsoft.com/office/drawing/2014/chart" uri="{C3380CC4-5D6E-409C-BE32-E72D297353CC}">
              <c16:uniqueId val="{0000000D-979D-48C2-9E38-68B09C3BF9A1}"/>
            </c:ext>
          </c:extLst>
        </c:ser>
        <c:ser>
          <c:idx val="2"/>
          <c:order val="8"/>
          <c:tx>
            <c:strRef>
              <c:f>'France Cpital Year by Year Thre'!$W$2</c:f>
              <c:strCache>
                <c:ptCount val="1"/>
                <c:pt idx="0">
                  <c:v>PSI(90%) Pre-Tax</c:v>
                </c:pt>
              </c:strCache>
            </c:strRef>
          </c:tx>
          <c:spPr>
            <a:ln w="28575" cap="rnd">
              <a:solidFill>
                <a:srgbClr val="0070C0"/>
              </a:solidFill>
              <a:prstDash val="dash"/>
              <a:round/>
            </a:ln>
            <a:effectLst/>
          </c:spPr>
          <c:marker>
            <c:symbol val="none"/>
          </c:marker>
          <c:dLbls>
            <c:dLbl>
              <c:idx val="10"/>
              <c:layout>
                <c:manualLayout>
                  <c:x val="-8.8239998162464986E-2"/>
                  <c:y val="-5.179155428486693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979D-48C2-9E38-68B09C3BF9A1}"/>
                </c:ext>
              </c:extLst>
            </c:dLbl>
            <c:dLbl>
              <c:idx val="20"/>
              <c:layout>
                <c:manualLayout>
                  <c:x val="-7.3131134959911345E-2"/>
                  <c:y val="5.266591095344866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979D-48C2-9E38-68B09C3BF9A1}"/>
                </c:ext>
              </c:extLst>
            </c:dLbl>
            <c:dLbl>
              <c:idx val="34"/>
              <c:layout>
                <c:manualLayout>
                  <c:x val="-4.8521587967665014E-3"/>
                  <c:y val="6.473941451100842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979D-48C2-9E38-68B09C3BF9A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'France Cpital Year by Year Thre'!$A$3:$A$42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'France Cpital Year by Year Thre'!$W$3:$W$37</c:f>
              <c:numCache>
                <c:formatCode>0.00%</c:formatCode>
                <c:ptCount val="35"/>
                <c:pt idx="0">
                  <c:v>9.120618085929344E-3</c:v>
                </c:pt>
                <c:pt idx="1">
                  <c:v>5.1182442948154439E-3</c:v>
                </c:pt>
                <c:pt idx="2">
                  <c:v>3.9378915050591878E-3</c:v>
                </c:pt>
                <c:pt idx="3">
                  <c:v>-4.8934131635253175E-3</c:v>
                </c:pt>
                <c:pt idx="4">
                  <c:v>-1.5588302524072173E-2</c:v>
                </c:pt>
                <c:pt idx="5">
                  <c:v>-2.439576800150256E-2</c:v>
                </c:pt>
                <c:pt idx="6">
                  <c:v>-3.2896196135686839E-2</c:v>
                </c:pt>
                <c:pt idx="7">
                  <c:v>-4.0607856790478847E-2</c:v>
                </c:pt>
                <c:pt idx="8">
                  <c:v>-5.4680976301296313E-2</c:v>
                </c:pt>
                <c:pt idx="9">
                  <c:v>-5.0384339246678067E-2</c:v>
                </c:pt>
                <c:pt idx="10">
                  <c:v>-4.7918374230728866E-2</c:v>
                </c:pt>
                <c:pt idx="11">
                  <c:v>-4.5469900866992763E-2</c:v>
                </c:pt>
                <c:pt idx="12">
                  <c:v>-4.5477332996768927E-2</c:v>
                </c:pt>
                <c:pt idx="13">
                  <c:v>-5.4036457955241035E-2</c:v>
                </c:pt>
                <c:pt idx="14">
                  <c:v>-5.4769102756683785E-2</c:v>
                </c:pt>
                <c:pt idx="15">
                  <c:v>-5.5235251588338419E-2</c:v>
                </c:pt>
                <c:pt idx="16">
                  <c:v>-5.7873463887681553E-2</c:v>
                </c:pt>
                <c:pt idx="17">
                  <c:v>-5.8868137606309934E-2</c:v>
                </c:pt>
                <c:pt idx="18">
                  <c:v>-6.0413999922525274E-2</c:v>
                </c:pt>
                <c:pt idx="19">
                  <c:v>-6.13658247399127E-2</c:v>
                </c:pt>
                <c:pt idx="20">
                  <c:v>-6.4650075657644468E-2</c:v>
                </c:pt>
                <c:pt idx="21">
                  <c:v>-7.0937323930571949E-2</c:v>
                </c:pt>
                <c:pt idx="22">
                  <c:v>-6.9718987503418761E-2</c:v>
                </c:pt>
                <c:pt idx="23">
                  <c:v>-7.4605702289797238E-2</c:v>
                </c:pt>
                <c:pt idx="24">
                  <c:v>-7.8082326392801105E-2</c:v>
                </c:pt>
                <c:pt idx="25">
                  <c:v>-7.84523649815142E-2</c:v>
                </c:pt>
                <c:pt idx="26">
                  <c:v>-8.1682063643289782E-2</c:v>
                </c:pt>
                <c:pt idx="27">
                  <c:v>-9.1008142042588891E-2</c:v>
                </c:pt>
                <c:pt idx="28">
                  <c:v>-9.6313016077550162E-2</c:v>
                </c:pt>
                <c:pt idx="29">
                  <c:v>-8.821892551177124E-2</c:v>
                </c:pt>
                <c:pt idx="30">
                  <c:v>-9.1716372638367294E-2</c:v>
                </c:pt>
                <c:pt idx="31">
                  <c:v>-9.907802588842729E-2</c:v>
                </c:pt>
                <c:pt idx="32">
                  <c:v>-9.2909791956099386E-2</c:v>
                </c:pt>
                <c:pt idx="33">
                  <c:v>-0.10058811970122084</c:v>
                </c:pt>
                <c:pt idx="34">
                  <c:v>-0.10212147512670922</c:v>
                </c:pt>
              </c:numCache>
            </c:numRef>
          </c:val>
          <c:smooth val="0"/>
          <c:extLst>
            <c:ext xmlns:c16="http://schemas.microsoft.com/office/drawing/2014/chart" uri="{C3380CC4-5D6E-409C-BE32-E72D297353CC}">
              <c16:uniqueId val="{00000011-979D-48C2-9E38-68B09C3BF9A1}"/>
            </c:ext>
          </c:extLst>
        </c:ser>
        <c:ser>
          <c:idx val="3"/>
          <c:order val="9"/>
          <c:tx>
            <c:v>PSI(1%) Pre-Tax Non-Capital</c:v>
          </c:tx>
          <c:spPr>
            <a:ln w="28575" cap="rnd">
              <a:solidFill>
                <a:srgbClr val="FF0000"/>
              </a:solidFill>
              <a:round/>
            </a:ln>
            <a:effectLst/>
          </c:spPr>
          <c:marker>
            <c:symbol val="none"/>
          </c:marker>
          <c:dLbls>
            <c:dLbl>
              <c:idx val="10"/>
              <c:layout>
                <c:manualLayout>
                  <c:x val="1.2049122469684233E-2"/>
                  <c:y val="3.965141838936727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979D-48C2-9E38-68B09C3BF9A1}"/>
                </c:ext>
              </c:extLst>
            </c:dLbl>
            <c:dLbl>
              <c:idx val="20"/>
              <c:layout>
                <c:manualLayout>
                  <c:x val="-6.6939569276023786E-3"/>
                  <c:y val="6.797386009605828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979D-48C2-9E38-68B09C3BF9A1}"/>
                </c:ext>
              </c:extLst>
            </c:dLbl>
            <c:dLbl>
              <c:idx val="34"/>
              <c:layout>
                <c:manualLayout>
                  <c:x val="-9.3715396986433306E-3"/>
                  <c:y val="6.608569731561235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979D-48C2-9E38-68B09C3BF9A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'France Labor Year by Year Thre'!$U$3:$U$37</c:f>
              <c:numCache>
                <c:formatCode>0.00%</c:formatCode>
                <c:ptCount val="35"/>
                <c:pt idx="0">
                  <c:v>0.11924832635691596</c:v>
                </c:pt>
                <c:pt idx="1">
                  <c:v>0.15510963011989265</c:v>
                </c:pt>
                <c:pt idx="2">
                  <c:v>0.17950768030013986</c:v>
                </c:pt>
                <c:pt idx="3">
                  <c:v>0.20299258120869945</c:v>
                </c:pt>
                <c:pt idx="4">
                  <c:v>0.23334022113231878</c:v>
                </c:pt>
                <c:pt idx="5">
                  <c:v>0.27468944162412523</c:v>
                </c:pt>
                <c:pt idx="6">
                  <c:v>0.31002670790221765</c:v>
                </c:pt>
                <c:pt idx="7">
                  <c:v>0.34577075356341314</c:v>
                </c:pt>
                <c:pt idx="8">
                  <c:v>0.36135006427923533</c:v>
                </c:pt>
                <c:pt idx="9">
                  <c:v>0.3719916706433628</c:v>
                </c:pt>
                <c:pt idx="10">
                  <c:v>0.36601779089659159</c:v>
                </c:pt>
                <c:pt idx="11">
                  <c:v>0.40202433067927967</c:v>
                </c:pt>
                <c:pt idx="12">
                  <c:v>0.42526084983020218</c:v>
                </c:pt>
                <c:pt idx="13">
                  <c:v>0.39433173416315248</c:v>
                </c:pt>
                <c:pt idx="14">
                  <c:v>0.44395009155703713</c:v>
                </c:pt>
                <c:pt idx="15">
                  <c:v>0.44888461233943833</c:v>
                </c:pt>
                <c:pt idx="16">
                  <c:v>0.47896142532443275</c:v>
                </c:pt>
                <c:pt idx="17">
                  <c:v>0.48445217444259692</c:v>
                </c:pt>
                <c:pt idx="18">
                  <c:v>0.48991725799291164</c:v>
                </c:pt>
                <c:pt idx="19">
                  <c:v>0.52096815726995271</c:v>
                </c:pt>
                <c:pt idx="20">
                  <c:v>0.54430533537106451</c:v>
                </c:pt>
                <c:pt idx="21">
                  <c:v>0.58880242351805823</c:v>
                </c:pt>
                <c:pt idx="22">
                  <c:v>0.604321922578825</c:v>
                </c:pt>
                <c:pt idx="23">
                  <c:v>0.63269207326493548</c:v>
                </c:pt>
                <c:pt idx="24">
                  <c:v>0.66292364895577571</c:v>
                </c:pt>
                <c:pt idx="25">
                  <c:v>0.68966650498007498</c:v>
                </c:pt>
                <c:pt idx="26">
                  <c:v>0.73437879995739785</c:v>
                </c:pt>
                <c:pt idx="27">
                  <c:v>0.78636376923441453</c:v>
                </c:pt>
                <c:pt idx="28">
                  <c:v>0.82139749927834638</c:v>
                </c:pt>
                <c:pt idx="29">
                  <c:v>0.78348848357766943</c:v>
                </c:pt>
                <c:pt idx="30">
                  <c:v>0.82912928378077355</c:v>
                </c:pt>
                <c:pt idx="31">
                  <c:v>0.86101701327860547</c:v>
                </c:pt>
                <c:pt idx="32">
                  <c:v>0.87092029167685059</c:v>
                </c:pt>
                <c:pt idx="33">
                  <c:v>0.8881503712216765</c:v>
                </c:pt>
                <c:pt idx="34">
                  <c:v>0.90382017875503085</c:v>
                </c:pt>
              </c:numCache>
            </c:numRef>
          </c:val>
          <c:smooth val="0"/>
          <c:extLst>
            <c:ext xmlns:c16="http://schemas.microsoft.com/office/drawing/2014/chart" uri="{C3380CC4-5D6E-409C-BE32-E72D297353CC}">
              <c16:uniqueId val="{00000015-979D-48C2-9E38-68B09C3BF9A1}"/>
            </c:ext>
          </c:extLst>
        </c:ser>
        <c:ser>
          <c:idx val="4"/>
          <c:order val="10"/>
          <c:tx>
            <c:v>PSI(10% to 1%) Non-Capital</c:v>
          </c:tx>
          <c:spPr>
            <a:ln w="28575" cap="rnd">
              <a:solidFill>
                <a:srgbClr val="00B050"/>
              </a:solidFill>
              <a:round/>
            </a:ln>
            <a:effectLst/>
          </c:spPr>
          <c:marker>
            <c:symbol val="none"/>
          </c:marker>
          <c:dLbls>
            <c:dLbl>
              <c:idx val="10"/>
              <c:layout>
                <c:manualLayout>
                  <c:x val="-8.0656779048798311E-2"/>
                  <c:y val="-1.474557578819580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979D-48C2-9E38-68B09C3BF9A1}"/>
                </c:ext>
              </c:extLst>
            </c:dLbl>
            <c:dLbl>
              <c:idx val="20"/>
              <c:layout>
                <c:manualLayout>
                  <c:x val="5.7658186517528846E-2"/>
                  <c:y val="-0.1028271807054106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979D-48C2-9E38-68B09C3BF9A1}"/>
                </c:ext>
              </c:extLst>
            </c:dLbl>
            <c:dLbl>
              <c:idx val="34"/>
              <c:layout>
                <c:manualLayout>
                  <c:x val="-1.4726705240725233E-2"/>
                  <c:y val="-3.965141838936741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979D-48C2-9E38-68B09C3BF9A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'France Labor Year by Year Thre'!$V$3:$V$37</c:f>
              <c:numCache>
                <c:formatCode>0.00%</c:formatCode>
                <c:ptCount val="35"/>
                <c:pt idx="0">
                  <c:v>-5.7387090882795144E-2</c:v>
                </c:pt>
                <c:pt idx="1">
                  <c:v>-2.6150964330949433E-2</c:v>
                </c:pt>
                <c:pt idx="2">
                  <c:v>-7.4559259481293827E-3</c:v>
                </c:pt>
                <c:pt idx="3">
                  <c:v>1.1488263503844021E-2</c:v>
                </c:pt>
                <c:pt idx="4">
                  <c:v>3.546590359055557E-2</c:v>
                </c:pt>
                <c:pt idx="5">
                  <c:v>3.5607166109016042E-2</c:v>
                </c:pt>
                <c:pt idx="6">
                  <c:v>3.3508409389315208E-2</c:v>
                </c:pt>
                <c:pt idx="7">
                  <c:v>3.4422343657374954E-2</c:v>
                </c:pt>
                <c:pt idx="8">
                  <c:v>2.9979820224492748E-2</c:v>
                </c:pt>
                <c:pt idx="9">
                  <c:v>5.2693493599600627E-2</c:v>
                </c:pt>
                <c:pt idx="10">
                  <c:v>7.9830518039940124E-2</c:v>
                </c:pt>
                <c:pt idx="11">
                  <c:v>6.9619622933277725E-2</c:v>
                </c:pt>
                <c:pt idx="12">
                  <c:v>0.10821274817940618</c:v>
                </c:pt>
                <c:pt idx="13">
                  <c:v>0.12832398051987104</c:v>
                </c:pt>
                <c:pt idx="14">
                  <c:v>0.11275997897721424</c:v>
                </c:pt>
                <c:pt idx="15">
                  <c:v>0.11931045402022811</c:v>
                </c:pt>
                <c:pt idx="16">
                  <c:v>0.12775535696560603</c:v>
                </c:pt>
                <c:pt idx="17">
                  <c:v>0.12984903683868754</c:v>
                </c:pt>
                <c:pt idx="18">
                  <c:v>0.11942852424372097</c:v>
                </c:pt>
                <c:pt idx="19">
                  <c:v>0.121729282052917</c:v>
                </c:pt>
                <c:pt idx="20">
                  <c:v>0.11752544513407814</c:v>
                </c:pt>
                <c:pt idx="21">
                  <c:v>0.11502920983327303</c:v>
                </c:pt>
                <c:pt idx="22">
                  <c:v>0.1108109850294372</c:v>
                </c:pt>
                <c:pt idx="23">
                  <c:v>0.12712199085800213</c:v>
                </c:pt>
                <c:pt idx="24">
                  <c:v>0.12615200096647006</c:v>
                </c:pt>
                <c:pt idx="25">
                  <c:v>0.12635471374096663</c:v>
                </c:pt>
                <c:pt idx="26">
                  <c:v>0.13159776032950066</c:v>
                </c:pt>
                <c:pt idx="27">
                  <c:v>0.13531102884968482</c:v>
                </c:pt>
                <c:pt idx="28">
                  <c:v>0.15023633347825727</c:v>
                </c:pt>
                <c:pt idx="29">
                  <c:v>0.17015027541047822</c:v>
                </c:pt>
                <c:pt idx="30">
                  <c:v>0.16888253756509708</c:v>
                </c:pt>
                <c:pt idx="31">
                  <c:v>0.17373737949419255</c:v>
                </c:pt>
                <c:pt idx="32">
                  <c:v>0.18460122549783931</c:v>
                </c:pt>
                <c:pt idx="33">
                  <c:v>0.19497007084772644</c:v>
                </c:pt>
                <c:pt idx="34">
                  <c:v>0.20262741163936648</c:v>
                </c:pt>
              </c:numCache>
            </c:numRef>
          </c:val>
          <c:smooth val="0"/>
          <c:extLst>
            <c:ext xmlns:c16="http://schemas.microsoft.com/office/drawing/2014/chart" uri="{C3380CC4-5D6E-409C-BE32-E72D297353CC}">
              <c16:uniqueId val="{00000019-979D-48C2-9E38-68B09C3BF9A1}"/>
            </c:ext>
          </c:extLst>
        </c:ser>
        <c:ser>
          <c:idx val="5"/>
          <c:order val="11"/>
          <c:tx>
            <c:v>PSI(90%) Non-Capital</c:v>
          </c:tx>
          <c:spPr>
            <a:ln w="28575" cap="rnd">
              <a:solidFill>
                <a:srgbClr val="0070C0"/>
              </a:solidFill>
              <a:round/>
            </a:ln>
            <a:effectLst/>
          </c:spPr>
          <c:marker>
            <c:symbol val="none"/>
          </c:marker>
          <c:dLbls>
            <c:dLbl>
              <c:idx val="10"/>
              <c:layout>
                <c:manualLayout>
                  <c:x val="1.6131355809759662E-2"/>
                  <c:y val="-2.21183636822937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979D-48C2-9E38-68B09C3BF9A1}"/>
                </c:ext>
              </c:extLst>
            </c:dLbl>
            <c:dLbl>
              <c:idx val="20"/>
              <c:layout>
                <c:manualLayout>
                  <c:x val="-7.6597460189477926E-2"/>
                  <c:y val="-7.214206437291897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979D-48C2-9E38-68B09C3BF9A1}"/>
                </c:ext>
              </c:extLst>
            </c:dLbl>
            <c:dLbl>
              <c:idx val="34"/>
              <c:layout>
                <c:manualLayout>
                  <c:x val="-3.8984109873585845E-2"/>
                  <c:y val="-1.474557578819580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979D-48C2-9E38-68B09C3BF9A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'France Labor Year by Year Thre'!$W$3:$W$37</c:f>
              <c:numCache>
                <c:formatCode>0.00%</c:formatCode>
                <c:ptCount val="35"/>
                <c:pt idx="0">
                  <c:v>9.6450708525324114E-3</c:v>
                </c:pt>
                <c:pt idx="1">
                  <c:v>-2.5617817271398335E-3</c:v>
                </c:pt>
                <c:pt idx="2">
                  <c:v>-9.6380164474382246E-3</c:v>
                </c:pt>
                <c:pt idx="3">
                  <c:v>-1.6415995260008365E-2</c:v>
                </c:pt>
                <c:pt idx="4">
                  <c:v>-2.4523496373850762E-2</c:v>
                </c:pt>
                <c:pt idx="5">
                  <c:v>-2.6869837093135063E-2</c:v>
                </c:pt>
                <c:pt idx="6">
                  <c:v>-2.8266277167650733E-2</c:v>
                </c:pt>
                <c:pt idx="7">
                  <c:v>-3.0255722097085935E-2</c:v>
                </c:pt>
                <c:pt idx="8">
                  <c:v>-2.9876579501875611E-2</c:v>
                </c:pt>
                <c:pt idx="9">
                  <c:v>-3.6086057442417996E-2</c:v>
                </c:pt>
                <c:pt idx="10">
                  <c:v>-4.1861716782389702E-2</c:v>
                </c:pt>
                <c:pt idx="11">
                  <c:v>-3.9443369758445312E-2</c:v>
                </c:pt>
                <c:pt idx="12">
                  <c:v>-4.9726419562831636E-2</c:v>
                </c:pt>
                <c:pt idx="13">
                  <c:v>-5.1434881044007397E-2</c:v>
                </c:pt>
                <c:pt idx="14">
                  <c:v>-5.0143406279262059E-2</c:v>
                </c:pt>
                <c:pt idx="15">
                  <c:v>-5.1267707376090987E-2</c:v>
                </c:pt>
                <c:pt idx="16">
                  <c:v>-5.3986712438816364E-2</c:v>
                </c:pt>
                <c:pt idx="17">
                  <c:v>-5.4027825014821396E-2</c:v>
                </c:pt>
                <c:pt idx="18">
                  <c:v>-5.2276289735216253E-2</c:v>
                </c:pt>
                <c:pt idx="19">
                  <c:v>-5.4544355074441109E-2</c:v>
                </c:pt>
                <c:pt idx="20">
                  <c:v>-5.4743195864757177E-2</c:v>
                </c:pt>
                <c:pt idx="21">
                  <c:v>-5.5751397109706224E-2</c:v>
                </c:pt>
                <c:pt idx="22">
                  <c:v>-5.5115306763904748E-2</c:v>
                </c:pt>
                <c:pt idx="23">
                  <c:v>-5.9530409727874822E-2</c:v>
                </c:pt>
                <c:pt idx="24">
                  <c:v>-6.0411889849352529E-2</c:v>
                </c:pt>
                <c:pt idx="25">
                  <c:v>-6.1240331650972868E-2</c:v>
                </c:pt>
                <c:pt idx="26">
                  <c:v>-6.4138805411516064E-2</c:v>
                </c:pt>
                <c:pt idx="27">
                  <c:v>-6.6615422932602364E-2</c:v>
                </c:pt>
                <c:pt idx="28">
                  <c:v>-7.0068724164691232E-2</c:v>
                </c:pt>
                <c:pt idx="29">
                  <c:v>-7.0692782383915964E-2</c:v>
                </c:pt>
                <c:pt idx="30">
                  <c:v>-7.2528558329307158E-2</c:v>
                </c:pt>
                <c:pt idx="31">
                  <c:v>-7.3875560027820586E-2</c:v>
                </c:pt>
                <c:pt idx="32">
                  <c:v>-7.5173505498630777E-2</c:v>
                </c:pt>
                <c:pt idx="33">
                  <c:v>-7.6898195496512667E-2</c:v>
                </c:pt>
                <c:pt idx="34">
                  <c:v>-7.8220333844090106E-2</c:v>
                </c:pt>
              </c:numCache>
            </c:numRef>
          </c:val>
          <c:smooth val="0"/>
          <c:extLst>
            <c:ext xmlns:c16="http://schemas.microsoft.com/office/drawing/2014/chart" uri="{C3380CC4-5D6E-409C-BE32-E72D297353CC}">
              <c16:uniqueId val="{0000001D-979D-48C2-9E38-68B09C3BF9A1}"/>
            </c:ext>
          </c:extLst>
        </c:ser>
        <c:ser>
          <c:idx val="12"/>
          <c:order val="12"/>
          <c:tx>
            <c:v>0 Reference</c:v>
          </c:tx>
          <c:spPr>
            <a:ln w="28575" cap="rnd">
              <a:solidFill>
                <a:schemeClr val="accent1">
                  <a:lumMod val="80000"/>
                  <a:lumOff val="20000"/>
                </a:schemeClr>
              </a:solidFill>
              <a:round/>
            </a:ln>
            <a:effectLst/>
          </c:spPr>
          <c:marker>
            <c:symbol val="none"/>
          </c:marker>
          <c:val>
            <c:numRef>
              <c:f>'France Cpital Year by Year Thre'!$X$3:$X$37</c:f>
              <c:numCache>
                <c:formatCode>General</c:formatCode>
                <c:ptCount val="35"/>
              </c:numCache>
            </c:numRef>
          </c:val>
          <c:smooth val="0"/>
          <c:extLst>
            <c:ext xmlns:c16="http://schemas.microsoft.com/office/drawing/2014/chart" uri="{C3380CC4-5D6E-409C-BE32-E72D297353CC}">
              <c16:uniqueId val="{0000001E-979D-48C2-9E38-68B09C3BF9A1}"/>
            </c:ext>
          </c:extLst>
        </c:ser>
        <c:dLbls>
          <c:showLegendKey val="0"/>
          <c:showVal val="0"/>
          <c:showCatName val="0"/>
          <c:showSerName val="0"/>
          <c:showPercent val="0"/>
          <c:showBubbleSize val="0"/>
        </c:dLbls>
        <c:smooth val="0"/>
        <c:axId val="1049694320"/>
        <c:axId val="1045444864"/>
        <c:extLst>
          <c:ext xmlns:c15="http://schemas.microsoft.com/office/drawing/2012/chart" uri="{02D57815-91ED-43cb-92C2-25804820EDAC}">
            <c15:filteredLineSeries>
              <c15:ser>
                <c:idx val="6"/>
                <c:order val="0"/>
                <c:tx>
                  <c:strRef>
                    <c:extLst>
                      <c:ext uri="{02D57815-91ED-43cb-92C2-25804820EDAC}">
                        <c15:formulaRef>
                          <c15:sqref>'France Cpital Year by Year Thre'!$U$2</c15:sqref>
                        </c15:formulaRef>
                      </c:ext>
                    </c:extLst>
                    <c:strCache>
                      <c:ptCount val="1"/>
                      <c:pt idx="0">
                        <c:v>PSI(1%) Pre-Tax</c:v>
                      </c:pt>
                    </c:strCache>
                  </c:strRef>
                </c:tx>
                <c:spPr>
                  <a:ln w="28575" cap="rnd">
                    <a:solidFill>
                      <a:schemeClr val="accent1">
                        <a:lumMod val="60000"/>
                      </a:schemeClr>
                    </a:solidFill>
                    <a:round/>
                  </a:ln>
                  <a:effectLst/>
                </c:spPr>
                <c:marker>
                  <c:symbol val="none"/>
                </c:marker>
                <c:cat>
                  <c:numRef>
                    <c:extLst>
                      <c:ext uri="{02D57815-91ED-43cb-92C2-25804820EDAC}">
                        <c15:formulaRef>
                          <c15:sqref>'France Cpital Year by Year Thre'!$A$3:$A$42</c15:sqref>
                        </c15:formulaRef>
                      </c:ext>
                    </c:extLst>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extLst>
                      <c:ext uri="{02D57815-91ED-43cb-92C2-25804820EDAC}">
                        <c15:formulaRef>
                          <c15:sqref>'France Cpital Year by Year Thre'!$U$3:$U$37</c15:sqref>
                        </c15:formulaRef>
                      </c:ext>
                    </c:extLst>
                    <c:numCache>
                      <c:formatCode>0.00%</c:formatCode>
                      <c:ptCount val="35"/>
                      <c:pt idx="0">
                        <c:v>0.30528542243665968</c:v>
                      </c:pt>
                      <c:pt idx="1">
                        <c:v>0.36507274550180324</c:v>
                      </c:pt>
                      <c:pt idx="2">
                        <c:v>0.32328534134763776</c:v>
                      </c:pt>
                      <c:pt idx="3">
                        <c:v>0.32697044686279697</c:v>
                      </c:pt>
                      <c:pt idx="4">
                        <c:v>0.39022944544019822</c:v>
                      </c:pt>
                      <c:pt idx="5">
                        <c:v>0.44656738347325575</c:v>
                      </c:pt>
                      <c:pt idx="6">
                        <c:v>0.51154237351334642</c:v>
                      </c:pt>
                      <c:pt idx="7">
                        <c:v>0.61926424542515002</c:v>
                      </c:pt>
                      <c:pt idx="8">
                        <c:v>0.69947751651678369</c:v>
                      </c:pt>
                      <c:pt idx="9">
                        <c:v>0.71135371382616142</c:v>
                      </c:pt>
                      <c:pt idx="10">
                        <c:v>0.71888199034663947</c:v>
                      </c:pt>
                      <c:pt idx="11">
                        <c:v>0.67897849908513663</c:v>
                      </c:pt>
                      <c:pt idx="12">
                        <c:v>0.65291789401287681</c:v>
                      </c:pt>
                      <c:pt idx="13">
                        <c:v>0.7719191599124644</c:v>
                      </c:pt>
                      <c:pt idx="14">
                        <c:v>0.79443396162741875</c:v>
                      </c:pt>
                      <c:pt idx="15">
                        <c:v>0.81284845198348732</c:v>
                      </c:pt>
                      <c:pt idx="16">
                        <c:v>0.92839481441080274</c:v>
                      </c:pt>
                      <c:pt idx="17">
                        <c:v>0.98303884023765664</c:v>
                      </c:pt>
                      <c:pt idx="18">
                        <c:v>1.0048865000679674</c:v>
                      </c:pt>
                      <c:pt idx="19">
                        <c:v>1.0042904785739322</c:v>
                      </c:pt>
                      <c:pt idx="20">
                        <c:v>1.070283993478045</c:v>
                      </c:pt>
                      <c:pt idx="21">
                        <c:v>1.1412454683237647</c:v>
                      </c:pt>
                      <c:pt idx="22">
                        <c:v>1.1375284763068674</c:v>
                      </c:pt>
                      <c:pt idx="23">
                        <c:v>1.2087055704566709</c:v>
                      </c:pt>
                      <c:pt idx="24">
                        <c:v>1.256875730279043</c:v>
                      </c:pt>
                      <c:pt idx="25">
                        <c:v>1.2540322341019414</c:v>
                      </c:pt>
                      <c:pt idx="26">
                        <c:v>1.2742313341044862</c:v>
                      </c:pt>
                      <c:pt idx="27">
                        <c:v>1.363435548388205</c:v>
                      </c:pt>
                      <c:pt idx="28">
                        <c:v>1.4262516620423709</c:v>
                      </c:pt>
                      <c:pt idx="29">
                        <c:v>1.2857317083224156</c:v>
                      </c:pt>
                      <c:pt idx="30">
                        <c:v>1.4043510085994275</c:v>
                      </c:pt>
                      <c:pt idx="31">
                        <c:v>1.5225180801687905</c:v>
                      </c:pt>
                      <c:pt idx="32">
                        <c:v>1.393322693438825</c:v>
                      </c:pt>
                      <c:pt idx="33">
                        <c:v>1.5060943310500501</c:v>
                      </c:pt>
                      <c:pt idx="34">
                        <c:v>1.5299639361574275</c:v>
                      </c:pt>
                    </c:numCache>
                  </c:numRef>
                </c:val>
                <c:smooth val="0"/>
                <c:extLst>
                  <c:ext xmlns:c16="http://schemas.microsoft.com/office/drawing/2014/chart" uri="{C3380CC4-5D6E-409C-BE32-E72D297353CC}">
                    <c16:uniqueId val="{00000000-979D-48C2-9E38-68B09C3BF9A1}"/>
                  </c:ext>
                </c:extLst>
              </c15:ser>
            </c15:filteredLineSeries>
            <c15:filteredLineSeries>
              <c15:ser>
                <c:idx val="7"/>
                <c:order val="1"/>
                <c:tx>
                  <c:strRef>
                    <c:extLst xmlns:c15="http://schemas.microsoft.com/office/drawing/2012/chart">
                      <c:ext xmlns:c15="http://schemas.microsoft.com/office/drawing/2012/chart" uri="{02D57815-91ED-43cb-92C2-25804820EDAC}">
                        <c15:formulaRef>
                          <c15:sqref>'France Cpital Year by Year Thre'!$V$2</c15:sqref>
                        </c15:formulaRef>
                      </c:ext>
                    </c:extLst>
                    <c:strCache>
                      <c:ptCount val="1"/>
                      <c:pt idx="0">
                        <c:v>PSI(10% to 1%) Pre-Tax</c:v>
                      </c:pt>
                    </c:strCache>
                  </c:strRef>
                </c:tx>
                <c:spPr>
                  <a:ln w="28575" cap="rnd">
                    <a:solidFill>
                      <a:schemeClr val="accent2">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'France Cpital Year by Year Thre'!$A$3:$A$42</c15:sqref>
                        </c15:formulaRef>
                      </c:ext>
                    </c:extLst>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extLst xmlns:c15="http://schemas.microsoft.com/office/drawing/2012/chart">
                      <c:ext xmlns:c15="http://schemas.microsoft.com/office/drawing/2012/chart" uri="{02D57815-91ED-43cb-92C2-25804820EDAC}">
                        <c15:formulaRef>
                          <c15:sqref>'France Cpital Year by Year Thre'!$V$3:$V$37</c15:sqref>
                        </c15:formulaRef>
                      </c:ext>
                    </c:extLst>
                    <c:numCache>
                      <c:formatCode>0.00%</c:formatCode>
                      <c:ptCount val="35"/>
                      <c:pt idx="0">
                        <c:v>-0.10152133597321167</c:v>
                      </c:pt>
                      <c:pt idx="1">
                        <c:v>-0.10399647785097543</c:v>
                      </c:pt>
                      <c:pt idx="2">
                        <c:v>-8.8569951483279397E-2</c:v>
                      </c:pt>
                      <c:pt idx="3">
                        <c:v>-6.1958456992423083E-2</c:v>
                      </c:pt>
                      <c:pt idx="4">
                        <c:v>-4.234728112155095E-2</c:v>
                      </c:pt>
                      <c:pt idx="5">
                        <c:v>-2.786154444173139E-2</c:v>
                      </c:pt>
                      <c:pt idx="6">
                        <c:v>-1.9310347480611223E-2</c:v>
                      </c:pt>
                      <c:pt idx="7">
                        <c:v>-2.4324884587827444E-2</c:v>
                      </c:pt>
                      <c:pt idx="8">
                        <c:v>5.6249274492394807E-3</c:v>
                      </c:pt>
                      <c:pt idx="9">
                        <c:v>-1.6486071779167166E-2</c:v>
                      </c:pt>
                      <c:pt idx="10">
                        <c:v>-2.0950141368352382E-2</c:v>
                      </c:pt>
                      <c:pt idx="11">
                        <c:v>-1.9868811154834076E-2</c:v>
                      </c:pt>
                      <c:pt idx="12">
                        <c:v>-5.9244756231364715E-3</c:v>
                      </c:pt>
                      <c:pt idx="13">
                        <c:v>-2.6744990000048263E-3</c:v>
                      </c:pt>
                      <c:pt idx="14">
                        <c:v>-4.8325560917693577E-3</c:v>
                      </c:pt>
                      <c:pt idx="15">
                        <c:v>-6.4536473541721984E-3</c:v>
                      </c:pt>
                      <c:pt idx="16">
                        <c:v>-2.9116460802022237E-2</c:v>
                      </c:pt>
                      <c:pt idx="17">
                        <c:v>-4.1411787931912913E-2</c:v>
                      </c:pt>
                      <c:pt idx="18">
                        <c:v>-4.4333113813026848E-2</c:v>
                      </c:pt>
                      <c:pt idx="19">
                        <c:v>-3.9647527533856475E-2</c:v>
                      </c:pt>
                      <c:pt idx="20">
                        <c:v>-4.6569551245476348E-2</c:v>
                      </c:pt>
                      <c:pt idx="21">
                        <c:v>-4.120357349102155E-2</c:v>
                      </c:pt>
                      <c:pt idx="22">
                        <c:v>-3.5020009594055934E-2</c:v>
                      </c:pt>
                      <c:pt idx="23">
                        <c:v>-3.6508358157288034E-2</c:v>
                      </c:pt>
                      <c:pt idx="24">
                        <c:v>-3.6989791191838317E-2</c:v>
                      </c:pt>
                      <c:pt idx="25">
                        <c:v>-3.1384195933296111E-2</c:v>
                      </c:pt>
                      <c:pt idx="26">
                        <c:v>-1.588755880378212E-2</c:v>
                      </c:pt>
                      <c:pt idx="27">
                        <c:v>-5.50977498187466E-3</c:v>
                      </c:pt>
                      <c:pt idx="28">
                        <c:v>1.194546882271319E-2</c:v>
                      </c:pt>
                      <c:pt idx="29">
                        <c:v>3.9547915891475549E-2</c:v>
                      </c:pt>
                      <c:pt idx="30">
                        <c:v>2.2286819298104055E-2</c:v>
                      </c:pt>
                      <c:pt idx="31">
                        <c:v>2.0177984241125602E-2</c:v>
                      </c:pt>
                      <c:pt idx="32">
                        <c:v>4.1607167940634238E-2</c:v>
                      </c:pt>
                      <c:pt idx="33">
                        <c:v>5.0505427412129711E-2</c:v>
                      </c:pt>
                      <c:pt idx="34">
                        <c:v>5.4653421898556154E-2</c:v>
                      </c:pt>
                    </c:numCache>
                  </c:numRef>
                </c:val>
                <c:smooth val="0"/>
                <c:extLst xmlns:c15="http://schemas.microsoft.com/office/drawing/2012/chart">
                  <c:ext xmlns:c16="http://schemas.microsoft.com/office/drawing/2014/chart" uri="{C3380CC4-5D6E-409C-BE32-E72D297353CC}">
                    <c16:uniqueId val="{00000001-979D-48C2-9E38-68B09C3BF9A1}"/>
                  </c:ext>
                </c:extLst>
              </c15:ser>
            </c15:filteredLineSeries>
            <c15:filteredLineSeries>
              <c15:ser>
                <c:idx val="8"/>
                <c:order val="2"/>
                <c:tx>
                  <c:strRef>
                    <c:extLst xmlns:c15="http://schemas.microsoft.com/office/drawing/2012/chart">
                      <c:ext xmlns:c15="http://schemas.microsoft.com/office/drawing/2012/chart" uri="{02D57815-91ED-43cb-92C2-25804820EDAC}">
                        <c15:formulaRef>
                          <c15:sqref>'France Cpital Year by Year Thre'!$W$2</c15:sqref>
                        </c15:formulaRef>
                      </c:ext>
                    </c:extLst>
                    <c:strCache>
                      <c:ptCount val="1"/>
                      <c:pt idx="0">
                        <c:v>PSI(90%) Pre-Tax</c:v>
                      </c:pt>
                    </c:strCache>
                  </c:strRef>
                </c:tx>
                <c:spPr>
                  <a:ln w="28575" cap="rnd">
                    <a:solidFill>
                      <a:schemeClr val="accent3">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'France Cpital Year by Year Thre'!$A$3:$A$42</c15:sqref>
                        </c15:formulaRef>
                      </c:ext>
                    </c:extLst>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extLst xmlns:c15="http://schemas.microsoft.com/office/drawing/2012/chart">
                      <c:ext xmlns:c15="http://schemas.microsoft.com/office/drawing/2012/chart" uri="{02D57815-91ED-43cb-92C2-25804820EDAC}">
                        <c15:formulaRef>
                          <c15:sqref>'France Cpital Year by Year Thre'!$W$3:$W$37</c15:sqref>
                        </c15:formulaRef>
                      </c:ext>
                    </c:extLst>
                    <c:numCache>
                      <c:formatCode>0.00%</c:formatCode>
                      <c:ptCount val="35"/>
                      <c:pt idx="0">
                        <c:v>9.120618085929344E-3</c:v>
                      </c:pt>
                      <c:pt idx="1">
                        <c:v>5.1182442948154439E-3</c:v>
                      </c:pt>
                      <c:pt idx="2">
                        <c:v>3.9378915050591878E-3</c:v>
                      </c:pt>
                      <c:pt idx="3">
                        <c:v>-4.8934131635253175E-3</c:v>
                      </c:pt>
                      <c:pt idx="4">
                        <c:v>-1.5588302524072173E-2</c:v>
                      </c:pt>
                      <c:pt idx="5">
                        <c:v>-2.439576800150256E-2</c:v>
                      </c:pt>
                      <c:pt idx="6">
                        <c:v>-3.2896196135686839E-2</c:v>
                      </c:pt>
                      <c:pt idx="7">
                        <c:v>-4.0607856790478847E-2</c:v>
                      </c:pt>
                      <c:pt idx="8">
                        <c:v>-5.4680976301296313E-2</c:v>
                      </c:pt>
                      <c:pt idx="9">
                        <c:v>-5.0384339246678067E-2</c:v>
                      </c:pt>
                      <c:pt idx="10">
                        <c:v>-4.7918374230728866E-2</c:v>
                      </c:pt>
                      <c:pt idx="11">
                        <c:v>-4.5469900866992763E-2</c:v>
                      </c:pt>
                      <c:pt idx="12">
                        <c:v>-4.5477332996768927E-2</c:v>
                      </c:pt>
                      <c:pt idx="13">
                        <c:v>-5.4036457955241035E-2</c:v>
                      </c:pt>
                      <c:pt idx="14">
                        <c:v>-5.4769102756683785E-2</c:v>
                      </c:pt>
                      <c:pt idx="15">
                        <c:v>-5.5235251588338419E-2</c:v>
                      </c:pt>
                      <c:pt idx="16">
                        <c:v>-5.7873463887681553E-2</c:v>
                      </c:pt>
                      <c:pt idx="17">
                        <c:v>-5.8868137606309934E-2</c:v>
                      </c:pt>
                      <c:pt idx="18">
                        <c:v>-6.0413999922525274E-2</c:v>
                      </c:pt>
                      <c:pt idx="19">
                        <c:v>-6.13658247399127E-2</c:v>
                      </c:pt>
                      <c:pt idx="20">
                        <c:v>-6.4650075657644468E-2</c:v>
                      </c:pt>
                      <c:pt idx="21">
                        <c:v>-7.0937323930571949E-2</c:v>
                      </c:pt>
                      <c:pt idx="22">
                        <c:v>-6.9718987503418761E-2</c:v>
                      </c:pt>
                      <c:pt idx="23">
                        <c:v>-7.4605702289797238E-2</c:v>
                      </c:pt>
                      <c:pt idx="24">
                        <c:v>-7.8082326392801105E-2</c:v>
                      </c:pt>
                      <c:pt idx="25">
                        <c:v>-7.84523649815142E-2</c:v>
                      </c:pt>
                      <c:pt idx="26">
                        <c:v>-8.1682063643289782E-2</c:v>
                      </c:pt>
                      <c:pt idx="27">
                        <c:v>-9.1008142042588891E-2</c:v>
                      </c:pt>
                      <c:pt idx="28">
                        <c:v>-9.6313016077550162E-2</c:v>
                      </c:pt>
                      <c:pt idx="29">
                        <c:v>-8.821892551177124E-2</c:v>
                      </c:pt>
                      <c:pt idx="30">
                        <c:v>-9.1716372638367294E-2</c:v>
                      </c:pt>
                      <c:pt idx="31">
                        <c:v>-9.907802588842729E-2</c:v>
                      </c:pt>
                      <c:pt idx="32">
                        <c:v>-9.2909791956099386E-2</c:v>
                      </c:pt>
                      <c:pt idx="33">
                        <c:v>-0.10058811970122084</c:v>
                      </c:pt>
                      <c:pt idx="34">
                        <c:v>-0.10212147512670922</c:v>
                      </c:pt>
                    </c:numCache>
                  </c:numRef>
                </c:val>
                <c:smooth val="0"/>
                <c:extLst xmlns:c15="http://schemas.microsoft.com/office/drawing/2012/chart">
                  <c:ext xmlns:c16="http://schemas.microsoft.com/office/drawing/2014/chart" uri="{C3380CC4-5D6E-409C-BE32-E72D297353CC}">
                    <c16:uniqueId val="{00000002-979D-48C2-9E38-68B09C3BF9A1}"/>
                  </c:ext>
                </c:extLst>
              </c15:ser>
            </c15:filteredLineSeries>
            <c15:filteredLineSeries>
              <c15:ser>
                <c:idx val="9"/>
                <c:order val="3"/>
                <c:tx>
                  <c:v>PSI(1%) Pre-Tax Non-Capital</c:v>
                </c:tx>
                <c:spPr>
                  <a:ln w="28575" cap="rnd">
                    <a:solidFill>
                      <a:schemeClr val="accent4">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'France Labor Year by Year Thre'!$U$3:$U$37</c15:sqref>
                        </c15:formulaRef>
                      </c:ext>
                    </c:extLst>
                    <c:numCache>
                      <c:formatCode>0.00%</c:formatCode>
                      <c:ptCount val="35"/>
                      <c:pt idx="0">
                        <c:v>0.11924832635691596</c:v>
                      </c:pt>
                      <c:pt idx="1">
                        <c:v>0.15510963011989265</c:v>
                      </c:pt>
                      <c:pt idx="2">
                        <c:v>0.17950768030013986</c:v>
                      </c:pt>
                      <c:pt idx="3">
                        <c:v>0.20299258120869945</c:v>
                      </c:pt>
                      <c:pt idx="4">
                        <c:v>0.23334022113231878</c:v>
                      </c:pt>
                      <c:pt idx="5">
                        <c:v>0.27468944162412523</c:v>
                      </c:pt>
                      <c:pt idx="6">
                        <c:v>0.31002670790221765</c:v>
                      </c:pt>
                      <c:pt idx="7">
                        <c:v>0.34577075356341314</c:v>
                      </c:pt>
                      <c:pt idx="8">
                        <c:v>0.36135006427923533</c:v>
                      </c:pt>
                      <c:pt idx="9">
                        <c:v>0.3719916706433628</c:v>
                      </c:pt>
                      <c:pt idx="10">
                        <c:v>0.36601779089659159</c:v>
                      </c:pt>
                      <c:pt idx="11">
                        <c:v>0.40202433067927967</c:v>
                      </c:pt>
                      <c:pt idx="12">
                        <c:v>0.42526084983020218</c:v>
                      </c:pt>
                      <c:pt idx="13">
                        <c:v>0.39433173416315248</c:v>
                      </c:pt>
                      <c:pt idx="14">
                        <c:v>0.44395009155703713</c:v>
                      </c:pt>
                      <c:pt idx="15">
                        <c:v>0.44888461233943833</c:v>
                      </c:pt>
                      <c:pt idx="16">
                        <c:v>0.47896142532443275</c:v>
                      </c:pt>
                      <c:pt idx="17">
                        <c:v>0.48445217444259692</c:v>
                      </c:pt>
                      <c:pt idx="18">
                        <c:v>0.48991725799291164</c:v>
                      </c:pt>
                      <c:pt idx="19">
                        <c:v>0.52096815726995271</c:v>
                      </c:pt>
                      <c:pt idx="20">
                        <c:v>0.54430533537106451</c:v>
                      </c:pt>
                      <c:pt idx="21">
                        <c:v>0.58880242351805823</c:v>
                      </c:pt>
                      <c:pt idx="22">
                        <c:v>0.604321922578825</c:v>
                      </c:pt>
                      <c:pt idx="23">
                        <c:v>0.63269207326493548</c:v>
                      </c:pt>
                      <c:pt idx="24">
                        <c:v>0.66292364895577571</c:v>
                      </c:pt>
                      <c:pt idx="25">
                        <c:v>0.68966650498007498</c:v>
                      </c:pt>
                      <c:pt idx="26">
                        <c:v>0.73437879995739785</c:v>
                      </c:pt>
                      <c:pt idx="27">
                        <c:v>0.78636376923441453</c:v>
                      </c:pt>
                      <c:pt idx="28">
                        <c:v>0.82139749927834638</c:v>
                      </c:pt>
                      <c:pt idx="29">
                        <c:v>0.78348848357766943</c:v>
                      </c:pt>
                      <c:pt idx="30">
                        <c:v>0.82912928378077355</c:v>
                      </c:pt>
                      <c:pt idx="31">
                        <c:v>0.86101701327860547</c:v>
                      </c:pt>
                      <c:pt idx="32">
                        <c:v>0.87092029167685059</c:v>
                      </c:pt>
                      <c:pt idx="33">
                        <c:v>0.8881503712216765</c:v>
                      </c:pt>
                      <c:pt idx="34">
                        <c:v>0.90382017875503085</c:v>
                      </c:pt>
                    </c:numCache>
                  </c:numRef>
                </c:val>
                <c:smooth val="0"/>
                <c:extLst xmlns:c15="http://schemas.microsoft.com/office/drawing/2012/chart">
                  <c:ext xmlns:c16="http://schemas.microsoft.com/office/drawing/2014/chart" uri="{C3380CC4-5D6E-409C-BE32-E72D297353CC}">
                    <c16:uniqueId val="{00000003-979D-48C2-9E38-68B09C3BF9A1}"/>
                  </c:ext>
                </c:extLst>
              </c15:ser>
            </c15:filteredLineSeries>
            <c15:filteredLineSeries>
              <c15:ser>
                <c:idx val="10"/>
                <c:order val="4"/>
                <c:tx>
                  <c:v>PSI(10% to 1%) Non-Capital</c:v>
                </c:tx>
                <c:spPr>
                  <a:ln w="28575" cap="rnd">
                    <a:solidFill>
                      <a:schemeClr val="accent5">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'USA Labor Year by Year Thres'!$W$3:$W$37</c15:sqref>
                        </c15:formulaRef>
                      </c:ext>
                    </c:extLst>
                    <c:numCache>
                      <c:formatCode>0.00%</c:formatCode>
                      <c:ptCount val="35"/>
                      <c:pt idx="0">
                        <c:v>-0.19060516126271676</c:v>
                      </c:pt>
                      <c:pt idx="1">
                        <c:v>-0.16091899932194498</c:v>
                      </c:pt>
                      <c:pt idx="2">
                        <c:v>-0.1403531455438064</c:v>
                      </c:pt>
                      <c:pt idx="3">
                        <c:v>-0.12157197000710207</c:v>
                      </c:pt>
                      <c:pt idx="4">
                        <c:v>-0.13521747070223811</c:v>
                      </c:pt>
                      <c:pt idx="5">
                        <c:v>-0.12674579105301098</c:v>
                      </c:pt>
                      <c:pt idx="6">
                        <c:v>-0.1171389128420639</c:v>
                      </c:pt>
                      <c:pt idx="7">
                        <c:v>-0.12979933207025973</c:v>
                      </c:pt>
                      <c:pt idx="8">
                        <c:v>-0.15019408449901805</c:v>
                      </c:pt>
                      <c:pt idx="9">
                        <c:v>-0.12951076746781043</c:v>
                      </c:pt>
                      <c:pt idx="10">
                        <c:v>-0.11052071299860544</c:v>
                      </c:pt>
                      <c:pt idx="11">
                        <c:v>-5.7906007595424192E-2</c:v>
                      </c:pt>
                      <c:pt idx="12">
                        <c:v>-6.5677386577641772E-2</c:v>
                      </c:pt>
                      <c:pt idx="13">
                        <c:v>-5.0674521838799169E-2</c:v>
                      </c:pt>
                      <c:pt idx="14">
                        <c:v>-4.001488721812696E-2</c:v>
                      </c:pt>
                      <c:pt idx="15">
                        <c:v>-3.9197200850129787E-2</c:v>
                      </c:pt>
                      <c:pt idx="16">
                        <c:v>-2.2554764455489873E-2</c:v>
                      </c:pt>
                      <c:pt idx="17">
                        <c:v>-2.1715054895823149E-2</c:v>
                      </c:pt>
                      <c:pt idx="18">
                        <c:v>-2.9183735867295835E-2</c:v>
                      </c:pt>
                      <c:pt idx="19">
                        <c:v>-3.7437770377883761E-2</c:v>
                      </c:pt>
                      <c:pt idx="20">
                        <c:v>-4.8658956172420109E-2</c:v>
                      </c:pt>
                      <c:pt idx="21">
                        <c:v>-3.2145279213117384E-2</c:v>
                      </c:pt>
                      <c:pt idx="22">
                        <c:v>-1.50169905815698E-2</c:v>
                      </c:pt>
                      <c:pt idx="23">
                        <c:v>-9.9245592958607798E-3</c:v>
                      </c:pt>
                      <c:pt idx="24">
                        <c:v>-1.9118131351341883E-2</c:v>
                      </c:pt>
                      <c:pt idx="25">
                        <c:v>-2.4879134224747634E-2</c:v>
                      </c:pt>
                      <c:pt idx="26">
                        <c:v>-2.280028484992247E-2</c:v>
                      </c:pt>
                      <c:pt idx="27">
                        <c:v>1.721921584265429E-3</c:v>
                      </c:pt>
                      <c:pt idx="28">
                        <c:v>4.007153983976508E-2</c:v>
                      </c:pt>
                      <c:pt idx="29">
                        <c:v>0.1022997214529866</c:v>
                      </c:pt>
                      <c:pt idx="30">
                        <c:v>0.10522456560802773</c:v>
                      </c:pt>
                      <c:pt idx="31">
                        <c:v>0.12402673359045124</c:v>
                      </c:pt>
                      <c:pt idx="32">
                        <c:v>0.11492135517161528</c:v>
                      </c:pt>
                      <c:pt idx="33">
                        <c:v>0.12349885012225847</c:v>
                      </c:pt>
                      <c:pt idx="34">
                        <c:v>0.20420730942597731</c:v>
                      </c:pt>
                    </c:numCache>
                  </c:numRef>
                </c:val>
                <c:smooth val="0"/>
                <c:extLst xmlns:c15="http://schemas.microsoft.com/office/drawing/2012/chart">
                  <c:ext xmlns:c16="http://schemas.microsoft.com/office/drawing/2014/chart" uri="{C3380CC4-5D6E-409C-BE32-E72D297353CC}">
                    <c16:uniqueId val="{00000004-979D-48C2-9E38-68B09C3BF9A1}"/>
                  </c:ext>
                </c:extLst>
              </c15:ser>
            </c15:filteredLineSeries>
            <c15:filteredLineSeries>
              <c15:ser>
                <c:idx val="11"/>
                <c:order val="5"/>
                <c:tx>
                  <c:v>PSI(90%) Non-Capital</c:v>
                </c:tx>
                <c:spPr>
                  <a:ln w="28575" cap="rnd">
                    <a:solidFill>
                      <a:schemeClr val="accent6">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'USA Labor Year by Year Thres'!$X$3:$X$37</c15:sqref>
                        </c15:formulaRef>
                      </c:ext>
                    </c:extLst>
                    <c:numCache>
                      <c:formatCode>0.00%</c:formatCode>
                      <c:ptCount val="35"/>
                      <c:pt idx="0">
                        <c:v>8.0021643710974644E-2</c:v>
                      </c:pt>
                      <c:pt idx="1">
                        <c:v>5.7118631479106563E-2</c:v>
                      </c:pt>
                      <c:pt idx="2">
                        <c:v>4.2671158562777256E-2</c:v>
                      </c:pt>
                      <c:pt idx="3">
                        <c:v>3.1541562496928632E-2</c:v>
                      </c:pt>
                      <c:pt idx="4">
                        <c:v>3.182643870528401E-2</c:v>
                      </c:pt>
                      <c:pt idx="5">
                        <c:v>2.71537300501139E-2</c:v>
                      </c:pt>
                      <c:pt idx="6">
                        <c:v>2.2814058541125171E-2</c:v>
                      </c:pt>
                      <c:pt idx="7">
                        <c:v>2.1038271834391775E-2</c:v>
                      </c:pt>
                      <c:pt idx="8">
                        <c:v>1.6698496662933771E-2</c:v>
                      </c:pt>
                      <c:pt idx="9">
                        <c:v>1.2249769150188161E-2</c:v>
                      </c:pt>
                      <c:pt idx="10">
                        <c:v>-5.4077506243346285E-3</c:v>
                      </c:pt>
                      <c:pt idx="11">
                        <c:v>-2.6356499115098964E-2</c:v>
                      </c:pt>
                      <c:pt idx="12">
                        <c:v>-3.6100168326923088E-2</c:v>
                      </c:pt>
                      <c:pt idx="13">
                        <c:v>-3.644514002781174E-2</c:v>
                      </c:pt>
                      <c:pt idx="14">
                        <c:v>-3.8398998036613508E-2</c:v>
                      </c:pt>
                      <c:pt idx="15">
                        <c:v>-4.479378588622307E-2</c:v>
                      </c:pt>
                      <c:pt idx="16">
                        <c:v>-6.2581802251656438E-2</c:v>
                      </c:pt>
                      <c:pt idx="17">
                        <c:v>-7.3088537472670745E-2</c:v>
                      </c:pt>
                      <c:pt idx="18">
                        <c:v>-7.5389794970226798E-2</c:v>
                      </c:pt>
                      <c:pt idx="19">
                        <c:v>-8.2923447063290467E-2</c:v>
                      </c:pt>
                      <c:pt idx="20">
                        <c:v>-8.8911002432439878E-2</c:v>
                      </c:pt>
                      <c:pt idx="21">
                        <c:v>-8.1296837887824935E-2</c:v>
                      </c:pt>
                      <c:pt idx="22">
                        <c:v>-7.9200191012409049E-2</c:v>
                      </c:pt>
                      <c:pt idx="23">
                        <c:v>-8.1034997283525145E-2</c:v>
                      </c:pt>
                      <c:pt idx="24">
                        <c:v>-8.7209625494059972E-2</c:v>
                      </c:pt>
                      <c:pt idx="25">
                        <c:v>-9.4304987602664259E-2</c:v>
                      </c:pt>
                      <c:pt idx="26">
                        <c:v>-0.10050420973022411</c:v>
                      </c:pt>
                      <c:pt idx="27">
                        <c:v>-0.11382672421329521</c:v>
                      </c:pt>
                      <c:pt idx="28">
                        <c:v>-0.12657499498065683</c:v>
                      </c:pt>
                      <c:pt idx="29">
                        <c:v>-0.13330985891590463</c:v>
                      </c:pt>
                      <c:pt idx="30">
                        <c:v>-0.1426453805799387</c:v>
                      </c:pt>
                      <c:pt idx="31">
                        <c:v>-0.15056838721699395</c:v>
                      </c:pt>
                      <c:pt idx="32">
                        <c:v>-0.15982573229990216</c:v>
                      </c:pt>
                      <c:pt idx="33">
                        <c:v>-0.15485575446965005</c:v>
                      </c:pt>
                      <c:pt idx="34">
                        <c:v>-0.18657611252791007</c:v>
                      </c:pt>
                    </c:numCache>
                  </c:numRef>
                </c:val>
                <c:smooth val="0"/>
                <c:extLst xmlns:c15="http://schemas.microsoft.com/office/drawing/2012/chart">
                  <c:ext xmlns:c16="http://schemas.microsoft.com/office/drawing/2014/chart" uri="{C3380CC4-5D6E-409C-BE32-E72D297353CC}">
                    <c16:uniqueId val="{00000005-979D-48C2-9E38-68B09C3BF9A1}"/>
                  </c:ext>
                </c:extLst>
              </c15:ser>
            </c15:filteredLineSeries>
          </c:ext>
        </c:extLst>
      </c:lineChart>
      <c:catAx>
        <c:axId val="104969432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4864"/>
        <c:crosses val="autoZero"/>
        <c:auto val="1"/>
        <c:lblAlgn val="ctr"/>
        <c:lblOffset val="100"/>
        <c:noMultiLvlLbl val="0"/>
      </c:catAx>
      <c:valAx>
        <c:axId val="1045444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9694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'France Model Year by Year'!$X$2</c:f>
              <c:strCache>
                <c:ptCount val="1"/>
                <c:pt idx="0">
                  <c:v>PSI(1%) Pre-Tax</c:v>
                </c:pt>
              </c:strCache>
            </c:strRef>
          </c:tx>
          <c:spPr>
            <a:ln w="28575" cap="rnd">
              <a:solidFill>
                <a:srgbClr val="FF0000"/>
              </a:solidFill>
              <a:round/>
            </a:ln>
            <a:effectLst/>
          </c:spPr>
          <c:marker>
            <c:symbol val="none"/>
          </c:marker>
          <c:val>
            <c:numRef>
              <c:f>'France Model Year by Year'!$X$3:$X$37</c:f>
              <c:numCache>
                <c:formatCode>0.00%</c:formatCode>
                <c:ptCount val="35"/>
                <c:pt idx="0">
                  <c:v>0.90890932896940568</c:v>
                </c:pt>
                <c:pt idx="1">
                  <c:v>0.93397260799998438</c:v>
                </c:pt>
                <c:pt idx="2">
                  <c:v>0.84265186384299207</c:v>
                </c:pt>
                <c:pt idx="3">
                  <c:v>0.83045101159092893</c:v>
                </c:pt>
                <c:pt idx="4">
                  <c:v>0.8921532461314452</c:v>
                </c:pt>
                <c:pt idx="5">
                  <c:v>0.94471085439874969</c:v>
                </c:pt>
                <c:pt idx="6">
                  <c:v>1.0163050889855629</c:v>
                </c:pt>
                <c:pt idx="7">
                  <c:v>1.1300732140418819</c:v>
                </c:pt>
                <c:pt idx="8">
                  <c:v>1.2075592001553446</c:v>
                </c:pt>
                <c:pt idx="9">
                  <c:v>1.1825953418136574</c:v>
                </c:pt>
                <c:pt idx="10">
                  <c:v>1.1543526828643853</c:v>
                </c:pt>
                <c:pt idx="11">
                  <c:v>1.0735659216082016</c:v>
                </c:pt>
                <c:pt idx="12">
                  <c:v>1.0238388762503599</c:v>
                </c:pt>
                <c:pt idx="13">
                  <c:v>1.1483503940353108</c:v>
                </c:pt>
                <c:pt idx="14">
                  <c:v>1.1564317643697439</c:v>
                </c:pt>
                <c:pt idx="15">
                  <c:v>1.1574452382807308</c:v>
                </c:pt>
                <c:pt idx="16">
                  <c:v>1.2698256906668246</c:v>
                </c:pt>
                <c:pt idx="17">
                  <c:v>1.3146944303970822</c:v>
                </c:pt>
                <c:pt idx="18">
                  <c:v>1.3267763937004511</c:v>
                </c:pt>
                <c:pt idx="19">
                  <c:v>1.3088121605001062</c:v>
                </c:pt>
                <c:pt idx="20">
                  <c:v>1.3569891332177897</c:v>
                </c:pt>
                <c:pt idx="21">
                  <c:v>1.4145488701785864</c:v>
                </c:pt>
                <c:pt idx="22">
                  <c:v>1.3990027096257607</c:v>
                </c:pt>
                <c:pt idx="23">
                  <c:v>1.4592550297657199</c:v>
                </c:pt>
                <c:pt idx="24">
                  <c:v>1.489848679496744</c:v>
                </c:pt>
                <c:pt idx="25">
                  <c:v>1.4585391830925967</c:v>
                </c:pt>
                <c:pt idx="26">
                  <c:v>1.4543964130787912</c:v>
                </c:pt>
                <c:pt idx="27">
                  <c:v>1.5259048216852151</c:v>
                </c:pt>
                <c:pt idx="28">
                  <c:v>1.5600269233195063</c:v>
                </c:pt>
                <c:pt idx="29">
                  <c:v>1.4167007647121523</c:v>
                </c:pt>
                <c:pt idx="30">
                  <c:v>1.5268272302936254</c:v>
                </c:pt>
                <c:pt idx="31">
                  <c:v>1.622226416446205</c:v>
                </c:pt>
                <c:pt idx="32">
                  <c:v>1.4704487173959184</c:v>
                </c:pt>
                <c:pt idx="33">
                  <c:v>1.5684505254129162</c:v>
                </c:pt>
                <c:pt idx="34">
                  <c:v>1.5836225089348446</c:v>
                </c:pt>
              </c:numCache>
            </c:numRef>
          </c:val>
          <c:smooth val="0"/>
          <c:extLst>
            <c:ext xmlns:c16="http://schemas.microsoft.com/office/drawing/2014/chart" uri="{C3380CC4-5D6E-409C-BE32-E72D297353CC}">
              <c16:uniqueId val="{00000000-66F2-499A-A7F3-8EC037D7FC32}"/>
            </c:ext>
          </c:extLst>
        </c:ser>
        <c:ser>
          <c:idx val="1"/>
          <c:order val="1"/>
          <c:tx>
            <c:strRef>
              <c:f>'France Model Year by Year'!$Y$2</c:f>
              <c:strCache>
                <c:ptCount val="1"/>
                <c:pt idx="0">
                  <c:v>PSI(10% to 1%) Pre-Tax</c:v>
                </c:pt>
              </c:strCache>
            </c:strRef>
          </c:tx>
          <c:spPr>
            <a:ln w="28575" cap="rnd">
              <a:solidFill>
                <a:srgbClr val="00B050"/>
              </a:solidFill>
              <a:round/>
            </a:ln>
            <a:effectLst/>
          </c:spPr>
          <c:marker>
            <c:symbol val="none"/>
          </c:marker>
          <c:val>
            <c:numRef>
              <c:f>'France Model Year by Year'!$Y$3:$Y$37</c:f>
              <c:numCache>
                <c:formatCode>0.00%</c:formatCode>
                <c:ptCount val="35"/>
                <c:pt idx="0">
                  <c:v>8.3641667953094467E-2</c:v>
                </c:pt>
                <c:pt idx="1">
                  <c:v>6.494780806536693E-2</c:v>
                </c:pt>
                <c:pt idx="2">
                  <c:v>7.6008050909130764E-2</c:v>
                </c:pt>
                <c:pt idx="3">
                  <c:v>0.10314811133296664</c:v>
                </c:pt>
                <c:pt idx="4">
                  <c:v>0.11942434296239912</c:v>
                </c:pt>
                <c:pt idx="5">
                  <c:v>0.12922209242831717</c:v>
                </c:pt>
                <c:pt idx="6">
                  <c:v>0.13382306626032592</c:v>
                </c:pt>
                <c:pt idx="7">
                  <c:v>0.11919381213856006</c:v>
                </c:pt>
                <c:pt idx="8">
                  <c:v>0.14718838143159463</c:v>
                </c:pt>
                <c:pt idx="9">
                  <c:v>0.11042119377544335</c:v>
                </c:pt>
                <c:pt idx="10">
                  <c:v>9.6268984680438319E-2</c:v>
                </c:pt>
                <c:pt idx="11">
                  <c:v>8.9121134097967181E-2</c:v>
                </c:pt>
                <c:pt idx="12">
                  <c:v>0.10085946605579621</c:v>
                </c:pt>
                <c:pt idx="13">
                  <c:v>9.9279429790803064E-2</c:v>
                </c:pt>
                <c:pt idx="14">
                  <c:v>9.1959978528202146E-2</c:v>
                </c:pt>
                <c:pt idx="15">
                  <c:v>8.4831174662675091E-2</c:v>
                </c:pt>
                <c:pt idx="16">
                  <c:v>5.3696928890416551E-2</c:v>
                </c:pt>
                <c:pt idx="17">
                  <c:v>3.5698074953209868E-2</c:v>
                </c:pt>
                <c:pt idx="18">
                  <c:v>2.9337294516666557E-2</c:v>
                </c:pt>
                <c:pt idx="19">
                  <c:v>3.05895886874612E-2</c:v>
                </c:pt>
                <c:pt idx="20">
                  <c:v>1.6983924667562933E-2</c:v>
                </c:pt>
                <c:pt idx="21">
                  <c:v>1.7889834415367734E-2</c:v>
                </c:pt>
                <c:pt idx="22">
                  <c:v>2.2439629240202486E-2</c:v>
                </c:pt>
                <c:pt idx="23">
                  <c:v>1.6715702476663763E-2</c:v>
                </c:pt>
                <c:pt idx="24">
                  <c:v>1.1461321254052192E-2</c:v>
                </c:pt>
                <c:pt idx="25">
                  <c:v>1.1634121950788501E-2</c:v>
                </c:pt>
                <c:pt idx="26">
                  <c:v>2.2587318321715566E-2</c:v>
                </c:pt>
                <c:pt idx="27">
                  <c:v>2.8269094151288643E-2</c:v>
                </c:pt>
                <c:pt idx="28">
                  <c:v>3.9789866383708627E-2</c:v>
                </c:pt>
                <c:pt idx="29">
                  <c:v>6.9701875309926331E-2</c:v>
                </c:pt>
                <c:pt idx="30">
                  <c:v>4.8604583373476062E-2</c:v>
                </c:pt>
                <c:pt idx="31">
                  <c:v>4.0560164433895984E-2</c:v>
                </c:pt>
                <c:pt idx="32">
                  <c:v>5.873488123355175E-2</c:v>
                </c:pt>
                <c:pt idx="33">
                  <c:v>6.3889598615665122E-2</c:v>
                </c:pt>
                <c:pt idx="34">
                  <c:v>6.6132844932307311E-2</c:v>
                </c:pt>
              </c:numCache>
            </c:numRef>
          </c:val>
          <c:smooth val="0"/>
          <c:extLst>
            <c:ext xmlns:c16="http://schemas.microsoft.com/office/drawing/2014/chart" uri="{C3380CC4-5D6E-409C-BE32-E72D297353CC}">
              <c16:uniqueId val="{00000001-66F2-499A-A7F3-8EC037D7FC32}"/>
            </c:ext>
          </c:extLst>
        </c:ser>
        <c:ser>
          <c:idx val="2"/>
          <c:order val="2"/>
          <c:tx>
            <c:strRef>
              <c:f>'France Model Year by Year'!$Z$2</c:f>
              <c:strCache>
                <c:ptCount val="1"/>
                <c:pt idx="0">
                  <c:v>PSI(90%) Pre-Tax</c:v>
                </c:pt>
              </c:strCache>
            </c:strRef>
          </c:tx>
          <c:spPr>
            <a:ln w="28575" cap="rnd">
              <a:solidFill>
                <a:srgbClr val="0070C0"/>
              </a:solidFill>
              <a:round/>
            </a:ln>
            <a:effectLst/>
          </c:spPr>
          <c:marker>
            <c:symbol val="none"/>
          </c:marker>
          <c:val>
            <c:numRef>
              <c:f>'France Model Year by Year'!$Z$3:$Z$37</c:f>
              <c:numCache>
                <c:formatCode>0.00%</c:formatCode>
                <c:ptCount val="35"/>
                <c:pt idx="0">
                  <c:v>-7.4988478986709795E-2</c:v>
                </c:pt>
                <c:pt idx="1">
                  <c:v>-7.0629282003878635E-2</c:v>
                </c:pt>
                <c:pt idx="2">
                  <c:v>-6.5736980454788374E-2</c:v>
                </c:pt>
                <c:pt idx="3">
                  <c:v>-7.0961442958014764E-2</c:v>
                </c:pt>
                <c:pt idx="4">
                  <c:v>-7.7397636218650701E-2</c:v>
                </c:pt>
                <c:pt idx="5">
                  <c:v>-8.3347171261207609E-2</c:v>
                </c:pt>
                <c:pt idx="6">
                  <c:v>-9.0780331042475737E-2</c:v>
                </c:pt>
                <c:pt idx="7">
                  <c:v>-9.6368930679766263E-2</c:v>
                </c:pt>
                <c:pt idx="8">
                  <c:v>-0.10619767015278103</c:v>
                </c:pt>
                <c:pt idx="9">
                  <c:v>-9.9977279355717874E-2</c:v>
                </c:pt>
                <c:pt idx="10">
                  <c:v>-9.3651386822939164E-2</c:v>
                </c:pt>
                <c:pt idx="11">
                  <c:v>-8.8733612827757935E-2</c:v>
                </c:pt>
                <c:pt idx="12">
                  <c:v>-8.5871253214924836E-2</c:v>
                </c:pt>
                <c:pt idx="13">
                  <c:v>-9.1857803017259321E-2</c:v>
                </c:pt>
                <c:pt idx="14">
                  <c:v>-9.0893490756996154E-2</c:v>
                </c:pt>
                <c:pt idx="15">
                  <c:v>-8.9462698323542034E-2</c:v>
                </c:pt>
                <c:pt idx="16">
                  <c:v>-9.0487948161945386E-2</c:v>
                </c:pt>
                <c:pt idx="17">
                  <c:v>-9.0158010139269495E-2</c:v>
                </c:pt>
                <c:pt idx="18">
                  <c:v>-9.0800060464880872E-2</c:v>
                </c:pt>
                <c:pt idx="19">
                  <c:v>-9.0171819573481971E-2</c:v>
                </c:pt>
                <c:pt idx="20">
                  <c:v>-9.1251217136806728E-2</c:v>
                </c:pt>
                <c:pt idx="21">
                  <c:v>-9.5382525829545428E-2</c:v>
                </c:pt>
                <c:pt idx="22">
                  <c:v>-9.2766739148149258E-2</c:v>
                </c:pt>
                <c:pt idx="23">
                  <c:v>-9.6077626694261897E-2</c:v>
                </c:pt>
                <c:pt idx="24">
                  <c:v>-9.7749321851900439E-2</c:v>
                </c:pt>
                <c:pt idx="25">
                  <c:v>-9.5778034934306699E-2</c:v>
                </c:pt>
                <c:pt idx="26">
                  <c:v>-9.6600748401606484E-2</c:v>
                </c:pt>
                <c:pt idx="27">
                  <c:v>-0.10395049940319545</c:v>
                </c:pt>
                <c:pt idx="28">
                  <c:v>-0.10649421182760599</c:v>
                </c:pt>
                <c:pt idx="29">
                  <c:v>-9.8371201723759572E-2</c:v>
                </c:pt>
                <c:pt idx="30">
                  <c:v>-0.1008375693410406</c:v>
                </c:pt>
                <c:pt idx="31">
                  <c:v>-0.10620613230933529</c:v>
                </c:pt>
                <c:pt idx="32">
                  <c:v>-9.8633383172973654E-2</c:v>
                </c:pt>
                <c:pt idx="33">
                  <c:v>-0.10496236396519587</c:v>
                </c:pt>
                <c:pt idx="34">
                  <c:v>-0.10583398406841737</c:v>
                </c:pt>
              </c:numCache>
            </c:numRef>
          </c:val>
          <c:smooth val="0"/>
          <c:extLst>
            <c:ext xmlns:c16="http://schemas.microsoft.com/office/drawing/2014/chart" uri="{C3380CC4-5D6E-409C-BE32-E72D297353CC}">
              <c16:uniqueId val="{00000002-66F2-499A-A7F3-8EC037D7FC32}"/>
            </c:ext>
          </c:extLst>
        </c:ser>
        <c:dLbls>
          <c:showLegendKey val="0"/>
          <c:showVal val="0"/>
          <c:showCatName val="0"/>
          <c:showSerName val="0"/>
          <c:showPercent val="0"/>
          <c:showBubbleSize val="0"/>
        </c:dLbls>
        <c:smooth val="0"/>
        <c:axId val="952083472"/>
        <c:axId val="942416272"/>
      </c:lineChart>
      <c:catAx>
        <c:axId val="95208347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2416272"/>
        <c:crosses val="autoZero"/>
        <c:auto val="1"/>
        <c:lblAlgn val="ctr"/>
        <c:lblOffset val="100"/>
        <c:noMultiLvlLbl val="0"/>
      </c:catAx>
      <c:valAx>
        <c:axId val="942416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2083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Pre tax PSI - USA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'USA Labor Year by Year Thres'!$V$2</c:f>
              <c:strCache>
                <c:ptCount val="1"/>
                <c:pt idx="0">
                  <c:v>PSI(1%) Pre-Tax</c:v>
                </c:pt>
              </c:strCache>
            </c:strRef>
          </c:tx>
          <c:spPr>
            <a:ln w="28575" cap="rnd">
              <a:solidFill>
                <a:srgbClr val="FF0000"/>
              </a:solidFill>
              <a:prstDash val="dash"/>
              <a:round/>
            </a:ln>
            <a:effectLst/>
          </c:spPr>
          <c:marker>
            <c:symbol val="none"/>
          </c:marker>
          <c:cat>
            <c:numRef>
              <c:f>'USA Labor Year by Year Thres'!$A$3:$A$42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'USA Labor Year by Year Thres'!$V$3:$V$37</c:f>
              <c:numCache>
                <c:formatCode>0.00%</c:formatCode>
                <c:ptCount val="35"/>
                <c:pt idx="0">
                  <c:v>-1.7362251041042387E-2</c:v>
                </c:pt>
                <c:pt idx="1">
                  <c:v>5.9684468634384036E-2</c:v>
                </c:pt>
                <c:pt idx="2">
                  <c:v>0.11860431904796775</c:v>
                </c:pt>
                <c:pt idx="3">
                  <c:v>0.15429485136206145</c:v>
                </c:pt>
                <c:pt idx="4">
                  <c:v>0.20666679288460221</c:v>
                </c:pt>
                <c:pt idx="5">
                  <c:v>0.21894090074079964</c:v>
                </c:pt>
                <c:pt idx="6">
                  <c:v>0.2236844209726172</c:v>
                </c:pt>
                <c:pt idx="7">
                  <c:v>0.28696302536309837</c:v>
                </c:pt>
                <c:pt idx="8">
                  <c:v>0.39537546347991581</c:v>
                </c:pt>
                <c:pt idx="9">
                  <c:v>0.36207596735201952</c:v>
                </c:pt>
                <c:pt idx="10">
                  <c:v>0.46148897722086524</c:v>
                </c:pt>
                <c:pt idx="11">
                  <c:v>0.49753681653964699</c:v>
                </c:pt>
                <c:pt idx="12">
                  <c:v>0.61321530443315941</c:v>
                </c:pt>
                <c:pt idx="13">
                  <c:v>0.57176248081262293</c:v>
                </c:pt>
                <c:pt idx="14">
                  <c:v>0.55786767992608732</c:v>
                </c:pt>
                <c:pt idx="15">
                  <c:v>0.61327942280950043</c:v>
                </c:pt>
                <c:pt idx="16">
                  <c:v>0.75032099939147878</c:v>
                </c:pt>
                <c:pt idx="17">
                  <c:v>0.85911037754829733</c:v>
                </c:pt>
                <c:pt idx="18">
                  <c:v>0.88889981952555552</c:v>
                </c:pt>
                <c:pt idx="19">
                  <c:v>0.9761495761162946</c:v>
                </c:pt>
                <c:pt idx="20">
                  <c:v>1.0502074526767928</c:v>
                </c:pt>
                <c:pt idx="21">
                  <c:v>0.93820092456616111</c:v>
                </c:pt>
                <c:pt idx="22">
                  <c:v>0.88436491594211275</c:v>
                </c:pt>
                <c:pt idx="23">
                  <c:v>0.89107932743250196</c:v>
                </c:pt>
                <c:pt idx="24">
                  <c:v>0.98136927662155449</c:v>
                </c:pt>
                <c:pt idx="25">
                  <c:v>1.0623348544858966</c:v>
                </c:pt>
                <c:pt idx="26">
                  <c:v>1.1088145418300952</c:v>
                </c:pt>
                <c:pt idx="27">
                  <c:v>1.2287372510662111</c:v>
                </c:pt>
                <c:pt idx="28">
                  <c:v>1.3265769115040005</c:v>
                </c:pt>
                <c:pt idx="29">
                  <c:v>1.3227805463214559</c:v>
                </c:pt>
                <c:pt idx="30">
                  <c:v>1.4085488517089373</c:v>
                </c:pt>
                <c:pt idx="31">
                  <c:v>1.4362616175485559</c:v>
                </c:pt>
                <c:pt idx="32">
                  <c:v>1.5524665187015976</c:v>
                </c:pt>
                <c:pt idx="33">
                  <c:v>1.490706177924928</c:v>
                </c:pt>
                <c:pt idx="34">
                  <c:v>1.9383270902052003</c:v>
                </c:pt>
              </c:numCache>
            </c:numRef>
          </c:val>
          <c:smooth val="0"/>
          <c:extLst>
            <c:ext xmlns:c16="http://schemas.microsoft.com/office/drawing/2014/chart" uri="{C3380CC4-5D6E-409C-BE32-E72D297353CC}">
              <c16:uniqueId val="{00000000-8F9D-4C6E-BBAB-FE320D54C1BB}"/>
            </c:ext>
          </c:extLst>
        </c:ser>
        <c:ser>
          <c:idx val="1"/>
          <c:order val="1"/>
          <c:tx>
            <c:strRef>
              <c:f>'USA Labor Year by Year Thres'!$W$2</c:f>
              <c:strCache>
                <c:ptCount val="1"/>
                <c:pt idx="0">
                  <c:v>PSI(10% to 1%) Pre-Tax</c:v>
                </c:pt>
              </c:strCache>
            </c:strRef>
          </c:tx>
          <c:spPr>
            <a:ln w="28575" cap="rnd">
              <a:solidFill>
                <a:srgbClr val="00B050"/>
              </a:solidFill>
              <a:prstDash val="dash"/>
              <a:round/>
            </a:ln>
            <a:effectLst/>
          </c:spPr>
          <c:marker>
            <c:symbol val="none"/>
          </c:marker>
          <c:cat>
            <c:numRef>
              <c:f>'USA Labor Year by Year Thres'!$A$3:$A$42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'USA Labor Year by Year Thres'!$W$3:$W$37</c:f>
              <c:numCache>
                <c:formatCode>0.00%</c:formatCode>
                <c:ptCount val="35"/>
                <c:pt idx="0">
                  <c:v>-0.19060516126271676</c:v>
                </c:pt>
                <c:pt idx="1">
                  <c:v>-0.16091899932194498</c:v>
                </c:pt>
                <c:pt idx="2">
                  <c:v>-0.1403531455438064</c:v>
                </c:pt>
                <c:pt idx="3">
                  <c:v>-0.12157197000710207</c:v>
                </c:pt>
                <c:pt idx="4">
                  <c:v>-0.13521747070223811</c:v>
                </c:pt>
                <c:pt idx="5">
                  <c:v>-0.12674579105301098</c:v>
                </c:pt>
                <c:pt idx="6">
                  <c:v>-0.1171389128420639</c:v>
                </c:pt>
                <c:pt idx="7">
                  <c:v>-0.12979933207025973</c:v>
                </c:pt>
                <c:pt idx="8">
                  <c:v>-0.15019408449901805</c:v>
                </c:pt>
                <c:pt idx="9">
                  <c:v>-0.12951076746781043</c:v>
                </c:pt>
                <c:pt idx="10">
                  <c:v>-0.11052071299860544</c:v>
                </c:pt>
                <c:pt idx="11">
                  <c:v>-5.7906007595424192E-2</c:v>
                </c:pt>
                <c:pt idx="12">
                  <c:v>-6.5677386577641772E-2</c:v>
                </c:pt>
                <c:pt idx="13">
                  <c:v>-5.0674521838799169E-2</c:v>
                </c:pt>
                <c:pt idx="14">
                  <c:v>-4.001488721812696E-2</c:v>
                </c:pt>
                <c:pt idx="15">
                  <c:v>-3.9197200850129787E-2</c:v>
                </c:pt>
                <c:pt idx="16">
                  <c:v>-2.2554764455489873E-2</c:v>
                </c:pt>
                <c:pt idx="17">
                  <c:v>-2.1715054895823149E-2</c:v>
                </c:pt>
                <c:pt idx="18">
                  <c:v>-2.9183735867295835E-2</c:v>
                </c:pt>
                <c:pt idx="19">
                  <c:v>-3.7437770377883761E-2</c:v>
                </c:pt>
                <c:pt idx="20">
                  <c:v>-4.8658956172420109E-2</c:v>
                </c:pt>
                <c:pt idx="21">
                  <c:v>-3.2145279213117384E-2</c:v>
                </c:pt>
                <c:pt idx="22">
                  <c:v>-1.50169905815698E-2</c:v>
                </c:pt>
                <c:pt idx="23">
                  <c:v>-9.9245592958607798E-3</c:v>
                </c:pt>
                <c:pt idx="24">
                  <c:v>-1.9118131351341883E-2</c:v>
                </c:pt>
                <c:pt idx="25">
                  <c:v>-2.4879134224747634E-2</c:v>
                </c:pt>
                <c:pt idx="26">
                  <c:v>-2.280028484992247E-2</c:v>
                </c:pt>
                <c:pt idx="27">
                  <c:v>1.721921584265429E-3</c:v>
                </c:pt>
                <c:pt idx="28">
                  <c:v>4.007153983976508E-2</c:v>
                </c:pt>
                <c:pt idx="29">
                  <c:v>0.1022997214529866</c:v>
                </c:pt>
                <c:pt idx="30">
                  <c:v>0.10522456560802773</c:v>
                </c:pt>
                <c:pt idx="31">
                  <c:v>0.12402673359045124</c:v>
                </c:pt>
                <c:pt idx="32">
                  <c:v>0.11492135517161528</c:v>
                </c:pt>
                <c:pt idx="33">
                  <c:v>0.12349885012225847</c:v>
                </c:pt>
                <c:pt idx="34">
                  <c:v>0.20420730942597731</c:v>
                </c:pt>
              </c:numCache>
            </c:numRef>
          </c:val>
          <c:smooth val="0"/>
          <c:extLst>
            <c:ext xmlns:c16="http://schemas.microsoft.com/office/drawing/2014/chart" uri="{C3380CC4-5D6E-409C-BE32-E72D297353CC}">
              <c16:uniqueId val="{00000001-8F9D-4C6E-BBAB-FE320D54C1BB}"/>
            </c:ext>
          </c:extLst>
        </c:ser>
        <c:ser>
          <c:idx val="2"/>
          <c:order val="2"/>
          <c:tx>
            <c:strRef>
              <c:f>'USA Labor Year by Year Thres'!$X$2</c:f>
              <c:strCache>
                <c:ptCount val="1"/>
                <c:pt idx="0">
                  <c:v>PSI(90%) Pre-Tax</c:v>
                </c:pt>
              </c:strCache>
            </c:strRef>
          </c:tx>
          <c:spPr>
            <a:ln w="28575" cap="rnd">
              <a:solidFill>
                <a:srgbClr val="0070C0"/>
              </a:solidFill>
              <a:prstDash val="dash"/>
              <a:round/>
            </a:ln>
            <a:effectLst/>
          </c:spPr>
          <c:marker>
            <c:symbol val="none"/>
          </c:marker>
          <c:cat>
            <c:numRef>
              <c:f>'USA Labor Year by Year Thres'!$A$3:$A$42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'USA Labor Year by Year Thres'!$X$3:$X$37</c:f>
              <c:numCache>
                <c:formatCode>0.00%</c:formatCode>
                <c:ptCount val="35"/>
                <c:pt idx="0">
                  <c:v>8.0021643710974644E-2</c:v>
                </c:pt>
                <c:pt idx="1">
                  <c:v>5.7118631479106563E-2</c:v>
                </c:pt>
                <c:pt idx="2">
                  <c:v>4.2671158562777256E-2</c:v>
                </c:pt>
                <c:pt idx="3">
                  <c:v>3.1541562496928632E-2</c:v>
                </c:pt>
                <c:pt idx="4">
                  <c:v>3.182643870528401E-2</c:v>
                </c:pt>
                <c:pt idx="5">
                  <c:v>2.71537300501139E-2</c:v>
                </c:pt>
                <c:pt idx="6">
                  <c:v>2.2814058541125171E-2</c:v>
                </c:pt>
                <c:pt idx="7">
                  <c:v>2.1038271834391775E-2</c:v>
                </c:pt>
                <c:pt idx="8">
                  <c:v>1.6698496662933771E-2</c:v>
                </c:pt>
                <c:pt idx="9">
                  <c:v>1.2249769150188161E-2</c:v>
                </c:pt>
                <c:pt idx="10">
                  <c:v>-5.4077506243346285E-3</c:v>
                </c:pt>
                <c:pt idx="11">
                  <c:v>-2.6356499115098964E-2</c:v>
                </c:pt>
                <c:pt idx="12">
                  <c:v>-3.6100168326923088E-2</c:v>
                </c:pt>
                <c:pt idx="13">
                  <c:v>-3.644514002781174E-2</c:v>
                </c:pt>
                <c:pt idx="14">
                  <c:v>-3.8398998036613508E-2</c:v>
                </c:pt>
                <c:pt idx="15">
                  <c:v>-4.479378588622307E-2</c:v>
                </c:pt>
                <c:pt idx="16">
                  <c:v>-6.2581802251656438E-2</c:v>
                </c:pt>
                <c:pt idx="17">
                  <c:v>-7.3088537472670745E-2</c:v>
                </c:pt>
                <c:pt idx="18">
                  <c:v>-7.5389794970226798E-2</c:v>
                </c:pt>
                <c:pt idx="19">
                  <c:v>-8.2923447063290467E-2</c:v>
                </c:pt>
                <c:pt idx="20">
                  <c:v>-8.8911002432439878E-2</c:v>
                </c:pt>
                <c:pt idx="21">
                  <c:v>-8.1296837887824935E-2</c:v>
                </c:pt>
                <c:pt idx="22">
                  <c:v>-7.9200191012409049E-2</c:v>
                </c:pt>
                <c:pt idx="23">
                  <c:v>-8.1034997283525145E-2</c:v>
                </c:pt>
                <c:pt idx="24">
                  <c:v>-8.7209625494059972E-2</c:v>
                </c:pt>
                <c:pt idx="25">
                  <c:v>-9.4304987602664259E-2</c:v>
                </c:pt>
                <c:pt idx="26">
                  <c:v>-0.10050420973022411</c:v>
                </c:pt>
                <c:pt idx="27">
                  <c:v>-0.11382672421329521</c:v>
                </c:pt>
                <c:pt idx="28">
                  <c:v>-0.12657499498065683</c:v>
                </c:pt>
                <c:pt idx="29">
                  <c:v>-0.13330985891590463</c:v>
                </c:pt>
                <c:pt idx="30">
                  <c:v>-0.1426453805799387</c:v>
                </c:pt>
                <c:pt idx="31">
                  <c:v>-0.15056838721699395</c:v>
                </c:pt>
                <c:pt idx="32">
                  <c:v>-0.15982573229990216</c:v>
                </c:pt>
                <c:pt idx="33">
                  <c:v>-0.15485575446965005</c:v>
                </c:pt>
                <c:pt idx="34">
                  <c:v>-0.18657611252791007</c:v>
                </c:pt>
              </c:numCache>
            </c:numRef>
          </c:val>
          <c:smooth val="0"/>
          <c:extLst>
            <c:ext xmlns:c16="http://schemas.microsoft.com/office/drawing/2014/chart" uri="{C3380CC4-5D6E-409C-BE32-E72D297353CC}">
              <c16:uniqueId val="{00000002-8F9D-4C6E-BBAB-FE320D54C1BB}"/>
            </c:ext>
          </c:extLst>
        </c:ser>
        <c:dLbls>
          <c:showLegendKey val="0"/>
          <c:showVal val="0"/>
          <c:showCatName val="0"/>
          <c:showSerName val="0"/>
          <c:showPercent val="0"/>
          <c:showBubbleSize val="0"/>
        </c:dLbls>
        <c:smooth val="0"/>
        <c:axId val="1049694320"/>
        <c:axId val="1045444864"/>
      </c:lineChart>
      <c:catAx>
        <c:axId val="1049694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4864"/>
        <c:crosses val="autoZero"/>
        <c:auto val="1"/>
        <c:lblAlgn val="ctr"/>
        <c:lblOffset val="100"/>
        <c:noMultiLvlLbl val="0"/>
      </c:catAx>
      <c:valAx>
        <c:axId val="1045444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9694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a:t>
            </a:r>
            <a:r>
              <a:rPr lang="en-US" baseline="0"/>
              <a:t> </a:t>
            </a:r>
            <a:r>
              <a:rPr lang="en-US"/>
              <a:t>Tax PSI -USA using</a:t>
            </a:r>
            <a:r>
              <a:rPr lang="en-US" baseline="0"/>
              <a:t> average 99.9% - Labor Only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'USA Labor Year by Year Max Avg'!$U$2</c:f>
              <c:strCache>
                <c:ptCount val="1"/>
                <c:pt idx="0">
                  <c:v>PSI(1%) Pre-Tax</c:v>
                </c:pt>
              </c:strCache>
            </c:strRef>
          </c:tx>
          <c:spPr>
            <a:ln w="28575" cap="rnd">
              <a:solidFill>
                <a:srgbClr val="FF0000"/>
              </a:solidFill>
              <a:prstDash val="dash"/>
              <a:round/>
            </a:ln>
            <a:effectLst/>
          </c:spPr>
          <c:marker>
            <c:symbol val="none"/>
          </c:marker>
          <c:cat>
            <c:numRef>
              <c:f>'USA Labor Year by Year Max Avg'!$A$3:$A$42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'USA Labor Year by Year Max Avg'!$U$3:$U$37</c:f>
              <c:numCache>
                <c:formatCode>0.00%</c:formatCode>
                <c:ptCount val="35"/>
                <c:pt idx="0">
                  <c:v>0.21428521442432746</c:v>
                </c:pt>
                <c:pt idx="1">
                  <c:v>0.31141727209338033</c:v>
                </c:pt>
                <c:pt idx="2">
                  <c:v>0.33978084736896008</c:v>
                </c:pt>
                <c:pt idx="3">
                  <c:v>0.37103911695130143</c:v>
                </c:pt>
                <c:pt idx="4">
                  <c:v>0.42302692264734887</c:v>
                </c:pt>
                <c:pt idx="5">
                  <c:v>0.43528307793853904</c:v>
                </c:pt>
                <c:pt idx="6">
                  <c:v>0.39501716679470644</c:v>
                </c:pt>
                <c:pt idx="7">
                  <c:v>0.46379389065190324</c:v>
                </c:pt>
                <c:pt idx="8">
                  <c:v>0.52905808719433178</c:v>
                </c:pt>
                <c:pt idx="9">
                  <c:v>0.55617406447521023</c:v>
                </c:pt>
                <c:pt idx="10">
                  <c:v>0.63757282308279351</c:v>
                </c:pt>
                <c:pt idx="11">
                  <c:v>0.70437535219321235</c:v>
                </c:pt>
                <c:pt idx="12">
                  <c:v>0.74071339430033345</c:v>
                </c:pt>
                <c:pt idx="13">
                  <c:v>0.75775417972283621</c:v>
                </c:pt>
                <c:pt idx="14">
                  <c:v>0.80769234549720537</c:v>
                </c:pt>
                <c:pt idx="15">
                  <c:v>0.84213912125593104</c:v>
                </c:pt>
                <c:pt idx="16">
                  <c:v>0.93312860200767411</c:v>
                </c:pt>
                <c:pt idx="17">
                  <c:v>0.98805345910194231</c:v>
                </c:pt>
                <c:pt idx="18">
                  <c:v>0.95507240567227303</c:v>
                </c:pt>
                <c:pt idx="19">
                  <c:v>0.96203236711255213</c:v>
                </c:pt>
                <c:pt idx="20">
                  <c:v>0.95033165669636732</c:v>
                </c:pt>
                <c:pt idx="21">
                  <c:v>0.94999194474724846</c:v>
                </c:pt>
                <c:pt idx="22">
                  <c:v>1.0144015358447835</c:v>
                </c:pt>
                <c:pt idx="23">
                  <c:v>1.0420179727378662</c:v>
                </c:pt>
                <c:pt idx="24">
                  <c:v>1.1109232170572669</c:v>
                </c:pt>
                <c:pt idx="25">
                  <c:v>1.1864495820234984</c:v>
                </c:pt>
                <c:pt idx="26">
                  <c:v>1.253998390489655</c:v>
                </c:pt>
                <c:pt idx="27">
                  <c:v>1.3238058786431535</c:v>
                </c:pt>
                <c:pt idx="28">
                  <c:v>1.4219020386714565</c:v>
                </c:pt>
                <c:pt idx="29">
                  <c:v>1.5427318297908292</c:v>
                </c:pt>
                <c:pt idx="30">
                  <c:v>1.6935169583787673</c:v>
                </c:pt>
                <c:pt idx="31">
                  <c:v>1.6958587608570319</c:v>
                </c:pt>
                <c:pt idx="32">
                  <c:v>1.7581835413178215</c:v>
                </c:pt>
                <c:pt idx="33">
                  <c:v>1.6802634124412461</c:v>
                </c:pt>
                <c:pt idx="34">
                  <c:v>1.7118930894396422</c:v>
                </c:pt>
              </c:numCache>
            </c:numRef>
          </c:val>
          <c:smooth val="0"/>
          <c:extLst>
            <c:ext xmlns:c16="http://schemas.microsoft.com/office/drawing/2014/chart" uri="{C3380CC4-5D6E-409C-BE32-E72D297353CC}">
              <c16:uniqueId val="{00000000-B134-4E53-93F7-66EF72C6ECDE}"/>
            </c:ext>
          </c:extLst>
        </c:ser>
        <c:ser>
          <c:idx val="1"/>
          <c:order val="1"/>
          <c:tx>
            <c:strRef>
              <c:f>'USA Labor Year by Year Max Avg'!$V$2</c:f>
              <c:strCache>
                <c:ptCount val="1"/>
                <c:pt idx="0">
                  <c:v>PSI(10% to 1%) Pre-Tax</c:v>
                </c:pt>
              </c:strCache>
            </c:strRef>
          </c:tx>
          <c:spPr>
            <a:ln w="28575" cap="rnd">
              <a:solidFill>
                <a:srgbClr val="00B050"/>
              </a:solidFill>
              <a:prstDash val="dash"/>
              <a:round/>
            </a:ln>
            <a:effectLst/>
          </c:spPr>
          <c:marker>
            <c:symbol val="none"/>
          </c:marker>
          <c:cat>
            <c:numRef>
              <c:f>'USA Labor Year by Year Max Avg'!$A$3:$A$42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'USA Labor Year by Year Max Avg'!$V$3:$V$37</c:f>
              <c:numCache>
                <c:formatCode>0.00%</c:formatCode>
                <c:ptCount val="35"/>
                <c:pt idx="0">
                  <c:v>-0.18924997891839512</c:v>
                </c:pt>
                <c:pt idx="1">
                  <c:v>-0.171268283274148</c:v>
                </c:pt>
                <c:pt idx="2">
                  <c:v>-0.1714122316709743</c:v>
                </c:pt>
                <c:pt idx="3">
                  <c:v>-0.16155473706267387</c:v>
                </c:pt>
                <c:pt idx="4">
                  <c:v>-0.16883788020270918</c:v>
                </c:pt>
                <c:pt idx="5">
                  <c:v>-0.16896407755842979</c:v>
                </c:pt>
                <c:pt idx="6">
                  <c:v>-0.16414082388212148</c:v>
                </c:pt>
                <c:pt idx="7">
                  <c:v>-0.17593195969591102</c:v>
                </c:pt>
                <c:pt idx="8">
                  <c:v>-0.20593881888378585</c:v>
                </c:pt>
                <c:pt idx="9">
                  <c:v>-0.18625566580550101</c:v>
                </c:pt>
                <c:pt idx="10">
                  <c:v>-0.17221594454308431</c:v>
                </c:pt>
                <c:pt idx="11">
                  <c:v>-0.12383338970995428</c:v>
                </c:pt>
                <c:pt idx="12">
                  <c:v>-0.14119794871099745</c:v>
                </c:pt>
                <c:pt idx="13">
                  <c:v>-0.12317673697323728</c:v>
                </c:pt>
                <c:pt idx="14">
                  <c:v>-0.10497481156903088</c:v>
                </c:pt>
                <c:pt idx="15">
                  <c:v>-0.10542278739085942</c:v>
                </c:pt>
                <c:pt idx="16">
                  <c:v>-9.6809848225868911E-2</c:v>
                </c:pt>
                <c:pt idx="17">
                  <c:v>-9.951026987576983E-2</c:v>
                </c:pt>
                <c:pt idx="18">
                  <c:v>-0.10997587124153985</c:v>
                </c:pt>
                <c:pt idx="19">
                  <c:v>-0.12785095519506751</c:v>
                </c:pt>
                <c:pt idx="20">
                  <c:v>-0.14203961966311629</c:v>
                </c:pt>
                <c:pt idx="21">
                  <c:v>-0.12471104387148291</c:v>
                </c:pt>
                <c:pt idx="22">
                  <c:v>-0.10318758505777925</c:v>
                </c:pt>
                <c:pt idx="23">
                  <c:v>-0.10111029851589981</c:v>
                </c:pt>
                <c:pt idx="24">
                  <c:v>-0.11551822183954996</c:v>
                </c:pt>
                <c:pt idx="25">
                  <c:v>-0.11933595339816672</c:v>
                </c:pt>
                <c:pt idx="26">
                  <c:v>-0.1135362419717052</c:v>
                </c:pt>
                <c:pt idx="27">
                  <c:v>-9.7778547153668405E-2</c:v>
                </c:pt>
                <c:pt idx="28">
                  <c:v>-7.9661876854458025E-2</c:v>
                </c:pt>
                <c:pt idx="29">
                  <c:v>-3.7758620553468569E-2</c:v>
                </c:pt>
                <c:pt idx="30">
                  <c:v>-3.5684707771382329E-2</c:v>
                </c:pt>
                <c:pt idx="31">
                  <c:v>-1.7096821012208885E-2</c:v>
                </c:pt>
                <c:pt idx="32">
                  <c:v>-3.1108803989941758E-2</c:v>
                </c:pt>
                <c:pt idx="33">
                  <c:v>-4.1500371313974993E-3</c:v>
                </c:pt>
                <c:pt idx="34">
                  <c:v>-9.205199357304128E-3</c:v>
                </c:pt>
              </c:numCache>
            </c:numRef>
          </c:val>
          <c:smooth val="0"/>
          <c:extLst>
            <c:ext xmlns:c16="http://schemas.microsoft.com/office/drawing/2014/chart" uri="{C3380CC4-5D6E-409C-BE32-E72D297353CC}">
              <c16:uniqueId val="{00000001-B134-4E53-93F7-66EF72C6ECDE}"/>
            </c:ext>
          </c:extLst>
        </c:ser>
        <c:ser>
          <c:idx val="2"/>
          <c:order val="2"/>
          <c:tx>
            <c:strRef>
              <c:f>'USA Labor Year by Year Max Avg'!$W$2</c:f>
              <c:strCache>
                <c:ptCount val="1"/>
                <c:pt idx="0">
                  <c:v>PSI(90%) Pre-Tax</c:v>
                </c:pt>
              </c:strCache>
            </c:strRef>
          </c:tx>
          <c:spPr>
            <a:ln w="28575" cap="rnd">
              <a:solidFill>
                <a:srgbClr val="0070C0"/>
              </a:solidFill>
              <a:prstDash val="dash"/>
              <a:round/>
            </a:ln>
            <a:effectLst/>
          </c:spPr>
          <c:marker>
            <c:symbol val="none"/>
          </c:marker>
          <c:cat>
            <c:numRef>
              <c:f>'USA Labor Year by Year Max Avg'!$A$3:$A$42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'USA Labor Year by Year Max Avg'!$W$3:$W$37</c:f>
              <c:numCache>
                <c:formatCode>0.00%</c:formatCode>
                <c:ptCount val="35"/>
                <c:pt idx="0">
                  <c:v>5.8236972860597591E-2</c:v>
                </c:pt>
                <c:pt idx="1">
                  <c:v>3.5988455919408358E-2</c:v>
                </c:pt>
                <c:pt idx="2">
                  <c:v>3.2265539326003845E-2</c:v>
                </c:pt>
                <c:pt idx="3">
                  <c:v>2.3652099556089823E-2</c:v>
                </c:pt>
                <c:pt idx="4">
                  <c:v>1.9177190554634072E-2</c:v>
                </c:pt>
                <c:pt idx="5">
                  <c:v>1.7606543192010937E-2</c:v>
                </c:pt>
                <c:pt idx="6">
                  <c:v>2.0998663824342678E-2</c:v>
                </c:pt>
                <c:pt idx="7">
                  <c:v>1.5803925049117984E-2</c:v>
                </c:pt>
                <c:pt idx="8">
                  <c:v>1.8246827264179144E-2</c:v>
                </c:pt>
                <c:pt idx="9">
                  <c:v>6.1253211275789088E-3</c:v>
                </c:pt>
                <c:pt idx="10">
                  <c:v>-1.0215484961379806E-2</c:v>
                </c:pt>
                <c:pt idx="11">
                  <c:v>-3.5382519624027164E-2</c:v>
                </c:pt>
                <c:pt idx="12">
                  <c:v>-3.7013045670758138E-2</c:v>
                </c:pt>
                <c:pt idx="13">
                  <c:v>-4.4433096365099845E-2</c:v>
                </c:pt>
                <c:pt idx="14">
                  <c:v>-5.6649700148232118E-2</c:v>
                </c:pt>
                <c:pt idx="15">
                  <c:v>-6.3067682794747837E-2</c:v>
                </c:pt>
                <c:pt idx="16">
                  <c:v>-7.8322101225762553E-2</c:v>
                </c:pt>
                <c:pt idx="17">
                  <c:v>-8.5995846358433825E-2</c:v>
                </c:pt>
                <c:pt idx="18">
                  <c:v>-8.147350510087803E-2</c:v>
                </c:pt>
                <c:pt idx="19">
                  <c:v>-7.9983768274510259E-2</c:v>
                </c:pt>
                <c:pt idx="20">
                  <c:v>-7.6707911667961315E-2</c:v>
                </c:pt>
                <c:pt idx="21">
                  <c:v>-7.7062720724970668E-2</c:v>
                </c:pt>
                <c:pt idx="22">
                  <c:v>-8.9614015699760685E-2</c:v>
                </c:pt>
                <c:pt idx="23">
                  <c:v>-9.34553098814912E-2</c:v>
                </c:pt>
                <c:pt idx="24">
                  <c:v>-0.10096792192463311</c:v>
                </c:pt>
                <c:pt idx="25">
                  <c:v>-0.11343797500765296</c:v>
                </c:pt>
                <c:pt idx="26">
                  <c:v>-0.12714335893149875</c:v>
                </c:pt>
                <c:pt idx="27">
                  <c:v>-0.13569300204469958</c:v>
                </c:pt>
                <c:pt idx="28">
                  <c:v>-0.14437126205970485</c:v>
                </c:pt>
                <c:pt idx="29">
                  <c:v>-0.15533862335363713</c:v>
                </c:pt>
                <c:pt idx="30">
                  <c:v>-0.17476349828613269</c:v>
                </c:pt>
                <c:pt idx="31">
                  <c:v>-0.18000688261002185</c:v>
                </c:pt>
                <c:pt idx="32">
                  <c:v>-0.19000545415487602</c:v>
                </c:pt>
                <c:pt idx="33">
                  <c:v>-0.18480931009641632</c:v>
                </c:pt>
                <c:pt idx="34">
                  <c:v>-0.19092457747780278</c:v>
                </c:pt>
              </c:numCache>
            </c:numRef>
          </c:val>
          <c:smooth val="0"/>
          <c:extLst>
            <c:ext xmlns:c16="http://schemas.microsoft.com/office/drawing/2014/chart" uri="{C3380CC4-5D6E-409C-BE32-E72D297353CC}">
              <c16:uniqueId val="{00000002-B134-4E53-93F7-66EF72C6ECDE}"/>
            </c:ext>
          </c:extLst>
        </c:ser>
        <c:dLbls>
          <c:showLegendKey val="0"/>
          <c:showVal val="0"/>
          <c:showCatName val="0"/>
          <c:showSerName val="0"/>
          <c:showPercent val="0"/>
          <c:showBubbleSize val="0"/>
        </c:dLbls>
        <c:smooth val="0"/>
        <c:axId val="945029408"/>
        <c:axId val="1045442368"/>
      </c:lineChart>
      <c:catAx>
        <c:axId val="945029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2368"/>
        <c:crosses val="autoZero"/>
        <c:auto val="1"/>
        <c:lblAlgn val="ctr"/>
        <c:lblOffset val="100"/>
        <c:noMultiLvlLbl val="0"/>
      </c:catAx>
      <c:valAx>
        <c:axId val="1045442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5029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Post</a:t>
            </a:r>
            <a:r>
              <a:rPr lang="en-US" baseline="0"/>
              <a:t> and Pre tax PSI - USA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'USA Cpital Year by Year Thres'!$Y$2</c:f>
              <c:strCache>
                <c:ptCount val="1"/>
                <c:pt idx="0">
                  <c:v>PSI(1%) Pre-Tax</c:v>
                </c:pt>
              </c:strCache>
            </c:strRef>
          </c:tx>
          <c:spPr>
            <a:ln w="28575" cap="rnd">
              <a:solidFill>
                <a:srgbClr val="FF0000"/>
              </a:solidFill>
              <a:prstDash val="dash"/>
              <a:round/>
            </a:ln>
            <a:effectLst/>
          </c:spPr>
          <c:marker>
            <c:symbol val="none"/>
          </c:marker>
          <c:cat>
            <c:numRef>
              <c:f>'USA Cpital Year by Year Thres'!$A$3:$A$42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'USA Cpital Year by Year Thres'!$Y$3:$Y$37</c:f>
              <c:numCache>
                <c:formatCode>0.00%</c:formatCode>
                <c:ptCount val="35"/>
                <c:pt idx="0">
                  <c:v>0.17417987119520273</c:v>
                </c:pt>
                <c:pt idx="1">
                  <c:v>0.26436042064601151</c:v>
                </c:pt>
                <c:pt idx="2">
                  <c:v>0.31823704587431889</c:v>
                </c:pt>
                <c:pt idx="3">
                  <c:v>0.34083333422311579</c:v>
                </c:pt>
                <c:pt idx="4">
                  <c:v>0.39374853061684023</c:v>
                </c:pt>
                <c:pt idx="5">
                  <c:v>0.41681084371081956</c:v>
                </c:pt>
                <c:pt idx="6">
                  <c:v>0.38781224018258542</c:v>
                </c:pt>
                <c:pt idx="7">
                  <c:v>0.47706491457205291</c:v>
                </c:pt>
                <c:pt idx="8">
                  <c:v>0.58589463946678966</c:v>
                </c:pt>
                <c:pt idx="9">
                  <c:v>0.56115828439441717</c:v>
                </c:pt>
                <c:pt idx="10">
                  <c:v>0.65855912881701428</c:v>
                </c:pt>
                <c:pt idx="11">
                  <c:v>0.70188827219491268</c:v>
                </c:pt>
                <c:pt idx="12">
                  <c:v>0.8096645793273376</c:v>
                </c:pt>
                <c:pt idx="13">
                  <c:v>0.80269908171587323</c:v>
                </c:pt>
                <c:pt idx="14">
                  <c:v>0.79900123076528939</c:v>
                </c:pt>
                <c:pt idx="15">
                  <c:v>0.85425965716205488</c:v>
                </c:pt>
                <c:pt idx="16">
                  <c:v>0.98110151030991299</c:v>
                </c:pt>
                <c:pt idx="17">
                  <c:v>1.0655257038970949</c:v>
                </c:pt>
                <c:pt idx="18">
                  <c:v>1.0822316068197595</c:v>
                </c:pt>
                <c:pt idx="19">
                  <c:v>1.1501680715481735</c:v>
                </c:pt>
                <c:pt idx="20">
                  <c:v>1.1944801016153623</c:v>
                </c:pt>
                <c:pt idx="21">
                  <c:v>1.1240311628767943</c:v>
                </c:pt>
                <c:pt idx="22">
                  <c:v>1.1198938330539003</c:v>
                </c:pt>
                <c:pt idx="23">
                  <c:v>1.1402710463526491</c:v>
                </c:pt>
                <c:pt idx="24">
                  <c:v>1.2447736832608558</c:v>
                </c:pt>
                <c:pt idx="25">
                  <c:v>1.3464630841032847</c:v>
                </c:pt>
                <c:pt idx="26">
                  <c:v>1.4038583688379025</c:v>
                </c:pt>
                <c:pt idx="27">
                  <c:v>1.5230389314674961</c:v>
                </c:pt>
                <c:pt idx="28">
                  <c:v>1.6292627293727846</c:v>
                </c:pt>
                <c:pt idx="29">
                  <c:v>1.6971285065088333</c:v>
                </c:pt>
                <c:pt idx="30">
                  <c:v>1.8163928811149725</c:v>
                </c:pt>
                <c:pt idx="31">
                  <c:v>1.7867178032041173</c:v>
                </c:pt>
                <c:pt idx="32">
                  <c:v>1.8990219875863787</c:v>
                </c:pt>
                <c:pt idx="33">
                  <c:v>1.8079030708843935</c:v>
                </c:pt>
                <c:pt idx="34">
                  <c:v>1.8523559998476444</c:v>
                </c:pt>
              </c:numCache>
            </c:numRef>
          </c:val>
          <c:smooth val="0"/>
          <c:extLst>
            <c:ext xmlns:c16="http://schemas.microsoft.com/office/drawing/2014/chart" uri="{C3380CC4-5D6E-409C-BE32-E72D297353CC}">
              <c16:uniqueId val="{00000000-298E-4F2E-A5B4-7748DE85179B}"/>
            </c:ext>
          </c:extLst>
        </c:ser>
        <c:ser>
          <c:idx val="1"/>
          <c:order val="1"/>
          <c:tx>
            <c:strRef>
              <c:f>'USA Cpital Year by Year Thres'!$Z$2</c:f>
              <c:strCache>
                <c:ptCount val="1"/>
                <c:pt idx="0">
                  <c:v>PSI(10% to 1%) Pre-Tax</c:v>
                </c:pt>
              </c:strCache>
            </c:strRef>
          </c:tx>
          <c:spPr>
            <a:ln w="28575" cap="rnd">
              <a:solidFill>
                <a:srgbClr val="00B050"/>
              </a:solidFill>
              <a:prstDash val="dash"/>
              <a:round/>
            </a:ln>
            <a:effectLst/>
          </c:spPr>
          <c:marker>
            <c:symbol val="none"/>
          </c:marker>
          <c:cat>
            <c:numRef>
              <c:f>'USA Cpital Year by Year Thres'!$A$3:$A$42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'USA Cpital Year by Year Thres'!$Z$3:$Z$37</c:f>
              <c:numCache>
                <c:formatCode>0.00%</c:formatCode>
                <c:ptCount val="35"/>
                <c:pt idx="0">
                  <c:v>-0.20048414552361737</c:v>
                </c:pt>
                <c:pt idx="1">
                  <c:v>-0.18396111079173727</c:v>
                </c:pt>
                <c:pt idx="2">
                  <c:v>-0.17709474468669373</c:v>
                </c:pt>
                <c:pt idx="3">
                  <c:v>-0.16944068697479975</c:v>
                </c:pt>
                <c:pt idx="4">
                  <c:v>-0.17600583746218434</c:v>
                </c:pt>
                <c:pt idx="5">
                  <c:v>-0.17345266069018894</c:v>
                </c:pt>
                <c:pt idx="6">
                  <c:v>-0.16595060568201203</c:v>
                </c:pt>
                <c:pt idx="7">
                  <c:v>-0.17285296871575284</c:v>
                </c:pt>
                <c:pt idx="8">
                  <c:v>-0.19415890847300066</c:v>
                </c:pt>
                <c:pt idx="9">
                  <c:v>-0.1851910709133725</c:v>
                </c:pt>
                <c:pt idx="10">
                  <c:v>-0.16780156870586405</c:v>
                </c:pt>
                <c:pt idx="11">
                  <c:v>-0.12438437933142266</c:v>
                </c:pt>
                <c:pt idx="12">
                  <c:v>-0.12690789082646126</c:v>
                </c:pt>
                <c:pt idx="13">
                  <c:v>-0.11361867633373723</c:v>
                </c:pt>
                <c:pt idx="14">
                  <c:v>-0.10683186515673249</c:v>
                </c:pt>
                <c:pt idx="15">
                  <c:v>-0.10290503094873737</c:v>
                </c:pt>
                <c:pt idx="16">
                  <c:v>-8.7224156978999323E-2</c:v>
                </c:pt>
                <c:pt idx="17">
                  <c:v>-8.4593830110449408E-2</c:v>
                </c:pt>
                <c:pt idx="18">
                  <c:v>-8.5749346305028618E-2</c:v>
                </c:pt>
                <c:pt idx="19">
                  <c:v>-9.352995033928313E-2</c:v>
                </c:pt>
                <c:pt idx="20">
                  <c:v>-9.8742481100720036E-2</c:v>
                </c:pt>
                <c:pt idx="21">
                  <c:v>-9.2384640861326695E-2</c:v>
                </c:pt>
                <c:pt idx="22">
                  <c:v>-8.334295975137751E-2</c:v>
                </c:pt>
                <c:pt idx="23">
                  <c:v>-8.2789697978747023E-2</c:v>
                </c:pt>
                <c:pt idx="24">
                  <c:v>-9.2069121936642295E-2</c:v>
                </c:pt>
                <c:pt idx="25">
                  <c:v>-9.2631810179679697E-2</c:v>
                </c:pt>
                <c:pt idx="26">
                  <c:v>-8.9166960595007949E-2</c:v>
                </c:pt>
                <c:pt idx="27">
                  <c:v>-6.5315093711904249E-2</c:v>
                </c:pt>
                <c:pt idx="28">
                  <c:v>-4.5855252779336997E-2</c:v>
                </c:pt>
                <c:pt idx="29">
                  <c:v>-1.1748423775247319E-2</c:v>
                </c:pt>
                <c:pt idx="30">
                  <c:v>-1.6121350973986925E-2</c:v>
                </c:pt>
                <c:pt idx="31">
                  <c:v>-2.2921621287289584E-3</c:v>
                </c:pt>
                <c:pt idx="32">
                  <c:v>-9.3001746612432212E-3</c:v>
                </c:pt>
                <c:pt idx="33">
                  <c:v>1.6975280312244045E-2</c:v>
                </c:pt>
                <c:pt idx="34">
                  <c:v>1.3501609434445339E-2</c:v>
                </c:pt>
              </c:numCache>
            </c:numRef>
          </c:val>
          <c:smooth val="0"/>
          <c:extLst>
            <c:ext xmlns:c16="http://schemas.microsoft.com/office/drawing/2014/chart" uri="{C3380CC4-5D6E-409C-BE32-E72D297353CC}">
              <c16:uniqueId val="{00000001-298E-4F2E-A5B4-7748DE85179B}"/>
            </c:ext>
          </c:extLst>
        </c:ser>
        <c:ser>
          <c:idx val="2"/>
          <c:order val="2"/>
          <c:tx>
            <c:strRef>
              <c:f>'USA Cpital Year by Year Thres'!$AA$2</c:f>
              <c:strCache>
                <c:ptCount val="1"/>
                <c:pt idx="0">
                  <c:v>PSI(90%) Pre-Tax</c:v>
                </c:pt>
              </c:strCache>
            </c:strRef>
          </c:tx>
          <c:spPr>
            <a:ln w="28575" cap="rnd">
              <a:solidFill>
                <a:srgbClr val="0070C0"/>
              </a:solidFill>
              <a:prstDash val="dash"/>
              <a:round/>
            </a:ln>
            <a:effectLst/>
          </c:spPr>
          <c:marker>
            <c:symbol val="none"/>
          </c:marker>
          <c:cat>
            <c:numRef>
              <c:f>'USA Cpital Year by Year Thres'!$A$3:$A$42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'USA Cpital Year by Year Thres'!$AA$3:$AA$37</c:f>
              <c:numCache>
                <c:formatCode>0.00%</c:formatCode>
                <c:ptCount val="35"/>
                <c:pt idx="0">
                  <c:v>7.044378000944862E-2</c:v>
                </c:pt>
                <c:pt idx="1">
                  <c:v>4.8600031903202723E-2</c:v>
                </c:pt>
                <c:pt idx="2">
                  <c:v>3.7767703474521186E-2</c:v>
                </c:pt>
                <c:pt idx="3">
                  <c:v>3.1168886367417992E-2</c:v>
                </c:pt>
                <c:pt idx="4">
                  <c:v>2.6400825106886572E-2</c:v>
                </c:pt>
                <c:pt idx="5">
                  <c:v>2.2065511901272705E-2</c:v>
                </c:pt>
                <c:pt idx="6">
                  <c:v>2.2780758314457694E-2</c:v>
                </c:pt>
                <c:pt idx="7">
                  <c:v>1.2647196785428472E-2</c:v>
                </c:pt>
                <c:pt idx="8">
                  <c:v>4.9734897472324402E-3</c:v>
                </c:pt>
                <c:pt idx="9">
                  <c:v>4.9953317813669074E-3</c:v>
                </c:pt>
                <c:pt idx="10">
                  <c:v>-1.44686163199782E-2</c:v>
                </c:pt>
                <c:pt idx="11">
                  <c:v>-3.4933613426703647E-2</c:v>
                </c:pt>
                <c:pt idx="12">
                  <c:v>-4.9186114124476155E-2</c:v>
                </c:pt>
                <c:pt idx="13">
                  <c:v>-5.213765974024609E-2</c:v>
                </c:pt>
                <c:pt idx="14">
                  <c:v>-5.5201339298996732E-2</c:v>
                </c:pt>
                <c:pt idx="15">
                  <c:v>-6.5043519483628631E-2</c:v>
                </c:pt>
                <c:pt idx="16">
                  <c:v>-8.5495936529516925E-2</c:v>
                </c:pt>
                <c:pt idx="17">
                  <c:v>-9.7113213796812148E-2</c:v>
                </c:pt>
                <c:pt idx="18">
                  <c:v>-0.10011671189992744</c:v>
                </c:pt>
                <c:pt idx="19">
                  <c:v>-0.10756326327183696</c:v>
                </c:pt>
                <c:pt idx="20">
                  <c:v>-0.11284948662070227</c:v>
                </c:pt>
                <c:pt idx="21">
                  <c:v>-0.10261247345520141</c:v>
                </c:pt>
                <c:pt idx="22">
                  <c:v>-0.1044355550606304</c:v>
                </c:pt>
                <c:pt idx="23">
                  <c:v>-0.10701720917697966</c:v>
                </c:pt>
                <c:pt idx="24">
                  <c:v>-0.11882330138973951</c:v>
                </c:pt>
                <c:pt idx="25">
                  <c:v>-0.13388070197161461</c:v>
                </c:pt>
                <c:pt idx="26">
                  <c:v>-0.14563873208441236</c:v>
                </c:pt>
                <c:pt idx="27">
                  <c:v>-0.15815773314403003</c:v>
                </c:pt>
                <c:pt idx="28">
                  <c:v>-0.16562953485157983</c:v>
                </c:pt>
                <c:pt idx="29">
                  <c:v>-0.1694930832162026</c:v>
                </c:pt>
                <c:pt idx="30">
                  <c:v>-0.18536849299267566</c:v>
                </c:pt>
                <c:pt idx="31">
                  <c:v>-0.18781929658628493</c:v>
                </c:pt>
                <c:pt idx="32">
                  <c:v>-0.20180731831806309</c:v>
                </c:pt>
                <c:pt idx="33">
                  <c:v>-0.19567797510833984</c:v>
                </c:pt>
                <c:pt idx="34">
                  <c:v>-0.20277388779765626</c:v>
                </c:pt>
              </c:numCache>
            </c:numRef>
          </c:val>
          <c:smooth val="0"/>
          <c:extLst>
            <c:ext xmlns:c16="http://schemas.microsoft.com/office/drawing/2014/chart" uri="{C3380CC4-5D6E-409C-BE32-E72D297353CC}">
              <c16:uniqueId val="{00000002-298E-4F2E-A5B4-7748DE85179B}"/>
            </c:ext>
          </c:extLst>
        </c:ser>
        <c:ser>
          <c:idx val="3"/>
          <c:order val="3"/>
          <c:tx>
            <c:strRef>
              <c:f>'USA Cpital Year by Year Thres'!$AB$2</c:f>
              <c:strCache>
                <c:ptCount val="1"/>
                <c:pt idx="0">
                  <c:v>PSI(1%) Post-Tax</c:v>
                </c:pt>
              </c:strCache>
            </c:strRef>
          </c:tx>
          <c:spPr>
            <a:ln w="28575" cap="rnd">
              <a:solidFill>
                <a:srgbClr val="FF0000"/>
              </a:solidFill>
              <a:round/>
            </a:ln>
            <a:effectLst/>
          </c:spPr>
          <c:marker>
            <c:symbol val="none"/>
          </c:marker>
          <c:cat>
            <c:numRef>
              <c:f>'USA Cpital Year by Year Thres'!$A$3:$A$42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'USA Cpital Year by Year Thres'!$AB$3:$AB$37</c:f>
              <c:numCache>
                <c:formatCode>0.00%</c:formatCode>
                <c:ptCount val="35"/>
                <c:pt idx="0">
                  <c:v>-5.6914595941245261E-2</c:v>
                </c:pt>
                <c:pt idx="1">
                  <c:v>6.1833898385424746E-2</c:v>
                </c:pt>
                <c:pt idx="2">
                  <c:v>0.10282353216128626</c:v>
                </c:pt>
                <c:pt idx="3">
                  <c:v>0.13114607063913586</c:v>
                </c:pt>
                <c:pt idx="4">
                  <c:v>0.2053137292774434</c:v>
                </c:pt>
                <c:pt idx="5">
                  <c:v>0.20795834547124414</c:v>
                </c:pt>
                <c:pt idx="6">
                  <c:v>0.13320945778013771</c:v>
                </c:pt>
                <c:pt idx="7">
                  <c:v>0.21849532396702798</c:v>
                </c:pt>
                <c:pt idx="8">
                  <c:v>0.32371044503881241</c:v>
                </c:pt>
                <c:pt idx="9">
                  <c:v>0.3020448761961736</c:v>
                </c:pt>
                <c:pt idx="10">
                  <c:v>0.37795008776544248</c:v>
                </c:pt>
                <c:pt idx="11">
                  <c:v>0.40905076531616236</c:v>
                </c:pt>
                <c:pt idx="12">
                  <c:v>0.48775898711914278</c:v>
                </c:pt>
                <c:pt idx="13">
                  <c:v>0.44437569866989013</c:v>
                </c:pt>
                <c:pt idx="14">
                  <c:v>0.42426033449968115</c:v>
                </c:pt>
                <c:pt idx="15">
                  <c:v>0.46229256093555771</c:v>
                </c:pt>
                <c:pt idx="16">
                  <c:v>0.54816188481564354</c:v>
                </c:pt>
                <c:pt idx="17">
                  <c:v>0.61217833446241698</c:v>
                </c:pt>
                <c:pt idx="18">
                  <c:v>0.61336030528410435</c:v>
                </c:pt>
                <c:pt idx="19">
                  <c:v>0.66210043756783854</c:v>
                </c:pt>
                <c:pt idx="20">
                  <c:v>0.69120314843718944</c:v>
                </c:pt>
                <c:pt idx="21">
                  <c:v>0.69356752963778923</c:v>
                </c:pt>
                <c:pt idx="22">
                  <c:v>0.73219942278225081</c:v>
                </c:pt>
                <c:pt idx="23">
                  <c:v>0.75328007499004346</c:v>
                </c:pt>
                <c:pt idx="24">
                  <c:v>0.81223814276354034</c:v>
                </c:pt>
                <c:pt idx="25">
                  <c:v>0.84858177645220478</c:v>
                </c:pt>
                <c:pt idx="26">
                  <c:v>0.88720811806238697</c:v>
                </c:pt>
                <c:pt idx="27">
                  <c:v>0.93767370997649357</c:v>
                </c:pt>
                <c:pt idx="28">
                  <c:v>1.0635402158806895</c:v>
                </c:pt>
                <c:pt idx="29">
                  <c:v>1.1952359253280869</c:v>
                </c:pt>
                <c:pt idx="30">
                  <c:v>1.2673385113622553</c:v>
                </c:pt>
                <c:pt idx="31">
                  <c:v>1.2507012793582883</c:v>
                </c:pt>
                <c:pt idx="32">
                  <c:v>1.3256351988492261</c:v>
                </c:pt>
                <c:pt idx="33">
                  <c:v>1.2001693285425135</c:v>
                </c:pt>
                <c:pt idx="34">
                  <c:v>1.2112818191253605</c:v>
                </c:pt>
              </c:numCache>
            </c:numRef>
          </c:val>
          <c:smooth val="0"/>
          <c:extLst>
            <c:ext xmlns:c16="http://schemas.microsoft.com/office/drawing/2014/chart" uri="{C3380CC4-5D6E-409C-BE32-E72D297353CC}">
              <c16:uniqueId val="{00000003-298E-4F2E-A5B4-7748DE85179B}"/>
            </c:ext>
          </c:extLst>
        </c:ser>
        <c:ser>
          <c:idx val="4"/>
          <c:order val="4"/>
          <c:tx>
            <c:strRef>
              <c:f>'USA Cpital Year by Year Thres'!$AC$2</c:f>
              <c:strCache>
                <c:ptCount val="1"/>
                <c:pt idx="0">
                  <c:v>PSI(10% to 1%) Post-Tax</c:v>
                </c:pt>
              </c:strCache>
            </c:strRef>
          </c:tx>
          <c:spPr>
            <a:ln w="28575" cap="rnd">
              <a:solidFill>
                <a:srgbClr val="92D050"/>
              </a:solidFill>
              <a:round/>
            </a:ln>
            <a:effectLst/>
          </c:spPr>
          <c:marker>
            <c:symbol val="none"/>
          </c:marker>
          <c:cat>
            <c:numRef>
              <c:f>'USA Cpital Year by Year Thres'!$A$3:$A$42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'USA Cpital Year by Year Thres'!$AC$3:$AC$37</c:f>
              <c:numCache>
                <c:formatCode>0.00%</c:formatCode>
                <c:ptCount val="35"/>
                <c:pt idx="0">
                  <c:v>-0.2869825240363425</c:v>
                </c:pt>
                <c:pt idx="1">
                  <c:v>-0.26670272404873852</c:v>
                </c:pt>
                <c:pt idx="2">
                  <c:v>-0.25263218763921858</c:v>
                </c:pt>
                <c:pt idx="3">
                  <c:v>-0.2399566182302052</c:v>
                </c:pt>
                <c:pt idx="4">
                  <c:v>-0.23807831104391741</c:v>
                </c:pt>
                <c:pt idx="5">
                  <c:v>-0.23824635603663558</c:v>
                </c:pt>
                <c:pt idx="6">
                  <c:v>-0.23470981935783364</c:v>
                </c:pt>
                <c:pt idx="7">
                  <c:v>-0.25182335083231344</c:v>
                </c:pt>
                <c:pt idx="8">
                  <c:v>-0.26479967133467708</c:v>
                </c:pt>
                <c:pt idx="9">
                  <c:v>-0.26259956831487241</c:v>
                </c:pt>
                <c:pt idx="10">
                  <c:v>-0.24802597619811861</c:v>
                </c:pt>
                <c:pt idx="11">
                  <c:v>-0.21276224799170385</c:v>
                </c:pt>
                <c:pt idx="12">
                  <c:v>-0.21714274974586467</c:v>
                </c:pt>
                <c:pt idx="13">
                  <c:v>-0.20609823683255424</c:v>
                </c:pt>
                <c:pt idx="14">
                  <c:v>-0.20193287002821525</c:v>
                </c:pt>
                <c:pt idx="15">
                  <c:v>-0.19940109344317614</c:v>
                </c:pt>
                <c:pt idx="16">
                  <c:v>-0.18535284888726533</c:v>
                </c:pt>
                <c:pt idx="17">
                  <c:v>-0.18277503720761412</c:v>
                </c:pt>
                <c:pt idx="18">
                  <c:v>-0.18496204598495936</c:v>
                </c:pt>
                <c:pt idx="19">
                  <c:v>-0.19252037253508392</c:v>
                </c:pt>
                <c:pt idx="20">
                  <c:v>-0.19481568051359288</c:v>
                </c:pt>
                <c:pt idx="21">
                  <c:v>-0.19050529132953875</c:v>
                </c:pt>
                <c:pt idx="22">
                  <c:v>-0.18368608464695924</c:v>
                </c:pt>
                <c:pt idx="23">
                  <c:v>-0.18212136224600228</c:v>
                </c:pt>
                <c:pt idx="24">
                  <c:v>-0.19109676270165887</c:v>
                </c:pt>
                <c:pt idx="25">
                  <c:v>-0.19470631654716619</c:v>
                </c:pt>
                <c:pt idx="26">
                  <c:v>-0.19279043375486749</c:v>
                </c:pt>
                <c:pt idx="27">
                  <c:v>-0.17237313869302862</c:v>
                </c:pt>
                <c:pt idx="28">
                  <c:v>-0.16868427801286168</c:v>
                </c:pt>
                <c:pt idx="29">
                  <c:v>-0.13585446916725252</c:v>
                </c:pt>
                <c:pt idx="30">
                  <c:v>-0.14503033986254577</c:v>
                </c:pt>
                <c:pt idx="31">
                  <c:v>-0.13307077300880954</c:v>
                </c:pt>
                <c:pt idx="32">
                  <c:v>-0.12994302630314147</c:v>
                </c:pt>
                <c:pt idx="33">
                  <c:v>-0.10933821906200636</c:v>
                </c:pt>
                <c:pt idx="34">
                  <c:v>-0.11346943857702241</c:v>
                </c:pt>
              </c:numCache>
            </c:numRef>
          </c:val>
          <c:smooth val="0"/>
          <c:extLst>
            <c:ext xmlns:c16="http://schemas.microsoft.com/office/drawing/2014/chart" uri="{C3380CC4-5D6E-409C-BE32-E72D297353CC}">
              <c16:uniqueId val="{00000004-298E-4F2E-A5B4-7748DE85179B}"/>
            </c:ext>
          </c:extLst>
        </c:ser>
        <c:ser>
          <c:idx val="5"/>
          <c:order val="5"/>
          <c:tx>
            <c:strRef>
              <c:f>'USA Cpital Year by Year Thres'!$AD$2</c:f>
              <c:strCache>
                <c:ptCount val="1"/>
                <c:pt idx="0">
                  <c:v>PSI(90%) Post-Tax</c:v>
                </c:pt>
              </c:strCache>
            </c:strRef>
          </c:tx>
          <c:spPr>
            <a:ln w="28575" cap="rnd">
              <a:solidFill>
                <a:srgbClr val="0070C0"/>
              </a:solidFill>
              <a:round/>
            </a:ln>
            <a:effectLst/>
          </c:spPr>
          <c:marker>
            <c:symbol val="none"/>
          </c:marker>
          <c:cat>
            <c:numRef>
              <c:f>'USA Cpital Year by Year Thres'!$A$3:$A$42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'USA Cpital Year by Year Thres'!$AD$3:$AD$37</c:f>
              <c:numCache>
                <c:formatCode>0.00%</c:formatCode>
                <c:ptCount val="35"/>
                <c:pt idx="0">
                  <c:v>0.14613669049643785</c:v>
                </c:pt>
                <c:pt idx="1">
                  <c:v>0.11558323117739988</c:v>
                </c:pt>
                <c:pt idx="2">
                  <c:v>0.10169166035047361</c:v>
                </c:pt>
                <c:pt idx="3">
                  <c:v>9.2323700971179479E-2</c:v>
                </c:pt>
                <c:pt idx="4">
                  <c:v>8.3279085381674722E-2</c:v>
                </c:pt>
                <c:pt idx="5">
                  <c:v>8.2414834555607941E-2</c:v>
                </c:pt>
                <c:pt idx="6">
                  <c:v>9.1041270623489545E-2</c:v>
                </c:pt>
                <c:pt idx="7">
                  <c:v>8.8120965857475975E-2</c:v>
                </c:pt>
                <c:pt idx="8">
                  <c:v>8.0202429353603222E-2</c:v>
                </c:pt>
                <c:pt idx="9">
                  <c:v>8.2012730352654994E-2</c:v>
                </c:pt>
                <c:pt idx="10">
                  <c:v>6.2553693614960215E-2</c:v>
                </c:pt>
                <c:pt idx="11">
                  <c:v>4.1718779174391818E-2</c:v>
                </c:pt>
                <c:pt idx="12">
                  <c:v>3.3390398229274698E-2</c:v>
                </c:pt>
                <c:pt idx="13">
                  <c:v>3.4273995795115475E-2</c:v>
                </c:pt>
                <c:pt idx="14">
                  <c:v>3.497402305877606E-2</c:v>
                </c:pt>
                <c:pt idx="15">
                  <c:v>2.8861782570257066E-2</c:v>
                </c:pt>
                <c:pt idx="16">
                  <c:v>1.2134591168023068E-2</c:v>
                </c:pt>
                <c:pt idx="17">
                  <c:v>2.9815987067738359E-3</c:v>
                </c:pt>
                <c:pt idx="18">
                  <c:v>3.4082784792288656E-3</c:v>
                </c:pt>
                <c:pt idx="19">
                  <c:v>-1.2429514102718642E-4</c:v>
                </c:pt>
                <c:pt idx="20">
                  <c:v>-3.4574240917052412E-3</c:v>
                </c:pt>
                <c:pt idx="21">
                  <c:v>-4.4018648265657934E-3</c:v>
                </c:pt>
                <c:pt idx="22">
                  <c:v>-1.1704663725100595E-2</c:v>
                </c:pt>
                <c:pt idx="23">
                  <c:v>-1.4952293406848671E-2</c:v>
                </c:pt>
                <c:pt idx="24">
                  <c:v>-1.95534825931859E-2</c:v>
                </c:pt>
                <c:pt idx="25">
                  <c:v>-2.3526966622517409E-2</c:v>
                </c:pt>
                <c:pt idx="26">
                  <c:v>-3.0552454193985779E-2</c:v>
                </c:pt>
                <c:pt idx="27">
                  <c:v>-4.0424072945353662E-2</c:v>
                </c:pt>
                <c:pt idx="28">
                  <c:v>-5.0901688848359439E-2</c:v>
                </c:pt>
                <c:pt idx="29">
                  <c:v>-6.9671120536060838E-2</c:v>
                </c:pt>
                <c:pt idx="30">
                  <c:v>-7.6350508393179695E-2</c:v>
                </c:pt>
                <c:pt idx="31">
                  <c:v>-7.9388368882584937E-2</c:v>
                </c:pt>
                <c:pt idx="32">
                  <c:v>-9.1274425336725362E-2</c:v>
                </c:pt>
                <c:pt idx="33">
                  <c:v>-8.2401624359812353E-2</c:v>
                </c:pt>
                <c:pt idx="34">
                  <c:v>-8.3897226997874941E-2</c:v>
                </c:pt>
              </c:numCache>
            </c:numRef>
          </c:val>
          <c:smooth val="0"/>
          <c:extLst>
            <c:ext xmlns:c16="http://schemas.microsoft.com/office/drawing/2014/chart" uri="{C3380CC4-5D6E-409C-BE32-E72D297353CC}">
              <c16:uniqueId val="{00000005-298E-4F2E-A5B4-7748DE85179B}"/>
            </c:ext>
          </c:extLst>
        </c:ser>
        <c:dLbls>
          <c:showLegendKey val="0"/>
          <c:showVal val="0"/>
          <c:showCatName val="0"/>
          <c:showSerName val="0"/>
          <c:showPercent val="0"/>
          <c:showBubbleSize val="0"/>
        </c:dLbls>
        <c:smooth val="0"/>
        <c:axId val="1049694320"/>
        <c:axId val="1045444864"/>
      </c:lineChart>
      <c:catAx>
        <c:axId val="1049694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4864"/>
        <c:crosses val="autoZero"/>
        <c:auto val="1"/>
        <c:lblAlgn val="ctr"/>
        <c:lblOffset val="100"/>
        <c:noMultiLvlLbl val="0"/>
      </c:catAx>
      <c:valAx>
        <c:axId val="1045444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9694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 tax PSI Capital VS Non-Capital- USA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6"/>
          <c:tx>
            <c:strRef>
              <c:f>'USA Cpital Year by Year Thres'!$Y$2</c:f>
              <c:strCache>
                <c:ptCount val="1"/>
                <c:pt idx="0">
                  <c:v>PSI(1%) Pre-Tax</c:v>
                </c:pt>
              </c:strCache>
            </c:strRef>
          </c:tx>
          <c:spPr>
            <a:ln w="28575" cap="rnd">
              <a:solidFill>
                <a:srgbClr val="FF0000"/>
              </a:solidFill>
              <a:prstDash val="dash"/>
              <a:round/>
            </a:ln>
            <a:effectLst/>
          </c:spPr>
          <c:marker>
            <c:symbol val="none"/>
          </c:marker>
          <c:dLbls>
            <c:dLbl>
              <c:idx val="10"/>
              <c:layout>
                <c:manualLayout>
                  <c:x val="-7.4399768217086409E-2"/>
                  <c:y val="-0.135952770473117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63F-4801-AF96-4847765587D8}"/>
                </c:ext>
              </c:extLst>
            </c:dLbl>
            <c:dLbl>
              <c:idx val="20"/>
              <c:layout>
                <c:manualLayout>
                  <c:x val="-4.8521587967665014E-3"/>
                  <c:y val="-0.1489006533753194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63F-4801-AF96-4847765587D8}"/>
                </c:ext>
              </c:extLst>
            </c:dLbl>
            <c:dLbl>
              <c:idx val="34"/>
              <c:layout>
                <c:manualLayout>
                  <c:x val="-1.1321703859121835E-2"/>
                  <c:y val="-8.416123886431096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63F-4801-AF96-4847765587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'USA Cpital Year by Year Thres'!$A$3:$A$42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'USA Cpital Year by Year Thres'!$Y$3:$Y$37</c:f>
              <c:numCache>
                <c:formatCode>0.00%</c:formatCode>
                <c:ptCount val="35"/>
                <c:pt idx="0">
                  <c:v>0.17417987119520273</c:v>
                </c:pt>
                <c:pt idx="1">
                  <c:v>0.26436042064601151</c:v>
                </c:pt>
                <c:pt idx="2">
                  <c:v>0.31823704587431889</c:v>
                </c:pt>
                <c:pt idx="3">
                  <c:v>0.34083333422311579</c:v>
                </c:pt>
                <c:pt idx="4">
                  <c:v>0.39374853061684023</c:v>
                </c:pt>
                <c:pt idx="5">
                  <c:v>0.41681084371081956</c:v>
                </c:pt>
                <c:pt idx="6">
                  <c:v>0.38781224018258542</c:v>
                </c:pt>
                <c:pt idx="7">
                  <c:v>0.47706491457205291</c:v>
                </c:pt>
                <c:pt idx="8">
                  <c:v>0.58589463946678966</c:v>
                </c:pt>
                <c:pt idx="9">
                  <c:v>0.56115828439441717</c:v>
                </c:pt>
                <c:pt idx="10">
                  <c:v>0.65855912881701428</c:v>
                </c:pt>
                <c:pt idx="11">
                  <c:v>0.70188827219491268</c:v>
                </c:pt>
                <c:pt idx="12">
                  <c:v>0.8096645793273376</c:v>
                </c:pt>
                <c:pt idx="13">
                  <c:v>0.80269908171587323</c:v>
                </c:pt>
                <c:pt idx="14">
                  <c:v>0.79900123076528939</c:v>
                </c:pt>
                <c:pt idx="15">
                  <c:v>0.85425965716205488</c:v>
                </c:pt>
                <c:pt idx="16">
                  <c:v>0.98110151030991299</c:v>
                </c:pt>
                <c:pt idx="17">
                  <c:v>1.0655257038970949</c:v>
                </c:pt>
                <c:pt idx="18">
                  <c:v>1.0822316068197595</c:v>
                </c:pt>
                <c:pt idx="19">
                  <c:v>1.1501680715481735</c:v>
                </c:pt>
                <c:pt idx="20">
                  <c:v>1.1944801016153623</c:v>
                </c:pt>
                <c:pt idx="21">
                  <c:v>1.1240311628767943</c:v>
                </c:pt>
                <c:pt idx="22">
                  <c:v>1.1198938330539003</c:v>
                </c:pt>
                <c:pt idx="23">
                  <c:v>1.1402710463526491</c:v>
                </c:pt>
                <c:pt idx="24">
                  <c:v>1.2447736832608558</c:v>
                </c:pt>
                <c:pt idx="25">
                  <c:v>1.3464630841032847</c:v>
                </c:pt>
                <c:pt idx="26">
                  <c:v>1.4038583688379025</c:v>
                </c:pt>
                <c:pt idx="27">
                  <c:v>1.5230389314674961</c:v>
                </c:pt>
                <c:pt idx="28">
                  <c:v>1.6292627293727846</c:v>
                </c:pt>
                <c:pt idx="29">
                  <c:v>1.6971285065088333</c:v>
                </c:pt>
                <c:pt idx="30">
                  <c:v>1.8163928811149725</c:v>
                </c:pt>
                <c:pt idx="31">
                  <c:v>1.7867178032041173</c:v>
                </c:pt>
                <c:pt idx="32">
                  <c:v>1.8990219875863787</c:v>
                </c:pt>
                <c:pt idx="33">
                  <c:v>1.8079030708843935</c:v>
                </c:pt>
                <c:pt idx="34">
                  <c:v>1.8523559998476444</c:v>
                </c:pt>
              </c:numCache>
            </c:numRef>
          </c:val>
          <c:smooth val="0"/>
          <c:extLst>
            <c:ext xmlns:c16="http://schemas.microsoft.com/office/drawing/2014/chart" uri="{C3380CC4-5D6E-409C-BE32-E72D297353CC}">
              <c16:uniqueId val="{00000004-A63F-4801-AF96-4847765587D8}"/>
            </c:ext>
          </c:extLst>
        </c:ser>
        <c:ser>
          <c:idx val="1"/>
          <c:order val="7"/>
          <c:tx>
            <c:strRef>
              <c:f>'USA Cpital Year by Year Thres'!$Z$2</c:f>
              <c:strCache>
                <c:ptCount val="1"/>
                <c:pt idx="0">
                  <c:v>PSI(10% to 1%) Pre-Tax</c:v>
                </c:pt>
              </c:strCache>
            </c:strRef>
          </c:tx>
          <c:spPr>
            <a:ln w="28575" cap="rnd">
              <a:solidFill>
                <a:srgbClr val="00B050"/>
              </a:solidFill>
              <a:prstDash val="dash"/>
              <a:round/>
            </a:ln>
            <a:effectLst/>
          </c:spPr>
          <c:marker>
            <c:symbol val="none"/>
          </c:marker>
          <c:dLbls>
            <c:dLbl>
              <c:idx val="10"/>
              <c:layout>
                <c:manualLayout>
                  <c:x val="-2.4260793983832504E-2"/>
                  <c:y val="5.394951209250701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63F-4801-AF96-4847765587D8}"/>
                </c:ext>
              </c:extLst>
            </c:dLbl>
            <c:dLbl>
              <c:idx val="20"/>
              <c:layout>
                <c:manualLayout>
                  <c:x val="-2.2634563946653211E-2"/>
                  <c:y val="-9.487567771676282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63F-4801-AF96-4847765587D8}"/>
                </c:ext>
              </c:extLst>
            </c:dLbl>
            <c:dLbl>
              <c:idx val="34"/>
              <c:layout>
                <c:manualLayout>
                  <c:x val="0"/>
                  <c:y val="2.832244170669100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63F-4801-AF96-4847765587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'USA Cpital Year by Year Thres'!$A$3:$A$42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'USA Cpital Year by Year Thres'!$Z$3:$Z$37</c:f>
              <c:numCache>
                <c:formatCode>0.00%</c:formatCode>
                <c:ptCount val="35"/>
                <c:pt idx="0">
                  <c:v>-0.20048414552361737</c:v>
                </c:pt>
                <c:pt idx="1">
                  <c:v>-0.18396111079173727</c:v>
                </c:pt>
                <c:pt idx="2">
                  <c:v>-0.17709474468669373</c:v>
                </c:pt>
                <c:pt idx="3">
                  <c:v>-0.16944068697479975</c:v>
                </c:pt>
                <c:pt idx="4">
                  <c:v>-0.17600583746218434</c:v>
                </c:pt>
                <c:pt idx="5">
                  <c:v>-0.17345266069018894</c:v>
                </c:pt>
                <c:pt idx="6">
                  <c:v>-0.16595060568201203</c:v>
                </c:pt>
                <c:pt idx="7">
                  <c:v>-0.17285296871575284</c:v>
                </c:pt>
                <c:pt idx="8">
                  <c:v>-0.19415890847300066</c:v>
                </c:pt>
                <c:pt idx="9">
                  <c:v>-0.1851910709133725</c:v>
                </c:pt>
                <c:pt idx="10">
                  <c:v>-0.16780156870586405</c:v>
                </c:pt>
                <c:pt idx="11">
                  <c:v>-0.12438437933142266</c:v>
                </c:pt>
                <c:pt idx="12">
                  <c:v>-0.12690789082646126</c:v>
                </c:pt>
                <c:pt idx="13">
                  <c:v>-0.11361867633373723</c:v>
                </c:pt>
                <c:pt idx="14">
                  <c:v>-0.10683186515673249</c:v>
                </c:pt>
                <c:pt idx="15">
                  <c:v>-0.10290503094873737</c:v>
                </c:pt>
                <c:pt idx="16">
                  <c:v>-8.7224156978999323E-2</c:v>
                </c:pt>
                <c:pt idx="17">
                  <c:v>-8.4593830110449408E-2</c:v>
                </c:pt>
                <c:pt idx="18">
                  <c:v>-8.5749346305028618E-2</c:v>
                </c:pt>
                <c:pt idx="19">
                  <c:v>-9.352995033928313E-2</c:v>
                </c:pt>
                <c:pt idx="20">
                  <c:v>-9.8742481100720036E-2</c:v>
                </c:pt>
                <c:pt idx="21">
                  <c:v>-9.2384640861326695E-2</c:v>
                </c:pt>
                <c:pt idx="22">
                  <c:v>-8.334295975137751E-2</c:v>
                </c:pt>
                <c:pt idx="23">
                  <c:v>-8.2789697978747023E-2</c:v>
                </c:pt>
                <c:pt idx="24">
                  <c:v>-9.2069121936642295E-2</c:v>
                </c:pt>
                <c:pt idx="25">
                  <c:v>-9.2631810179679697E-2</c:v>
                </c:pt>
                <c:pt idx="26">
                  <c:v>-8.9166960595007949E-2</c:v>
                </c:pt>
                <c:pt idx="27">
                  <c:v>-6.5315093711904249E-2</c:v>
                </c:pt>
                <c:pt idx="28">
                  <c:v>-4.5855252779336997E-2</c:v>
                </c:pt>
                <c:pt idx="29">
                  <c:v>-1.1748423775247319E-2</c:v>
                </c:pt>
                <c:pt idx="30">
                  <c:v>-1.6121350973986925E-2</c:v>
                </c:pt>
                <c:pt idx="31">
                  <c:v>-2.2921621287289584E-3</c:v>
                </c:pt>
                <c:pt idx="32">
                  <c:v>-9.3001746612432212E-3</c:v>
                </c:pt>
                <c:pt idx="33">
                  <c:v>1.6975280312244045E-2</c:v>
                </c:pt>
                <c:pt idx="34">
                  <c:v>1.3501609434445339E-2</c:v>
                </c:pt>
              </c:numCache>
            </c:numRef>
          </c:val>
          <c:smooth val="0"/>
          <c:extLst>
            <c:ext xmlns:c16="http://schemas.microsoft.com/office/drawing/2014/chart" uri="{C3380CC4-5D6E-409C-BE32-E72D297353CC}">
              <c16:uniqueId val="{00000009-A63F-4801-AF96-4847765587D8}"/>
            </c:ext>
          </c:extLst>
        </c:ser>
        <c:ser>
          <c:idx val="2"/>
          <c:order val="8"/>
          <c:tx>
            <c:strRef>
              <c:f>'USA Cpital Year by Year Thres'!$AA$2</c:f>
              <c:strCache>
                <c:ptCount val="1"/>
                <c:pt idx="0">
                  <c:v>PSI(90%) Pre-Tax</c:v>
                </c:pt>
              </c:strCache>
            </c:strRef>
          </c:tx>
          <c:spPr>
            <a:ln w="28575" cap="rnd">
              <a:solidFill>
                <a:srgbClr val="0070C0"/>
              </a:solidFill>
              <a:prstDash val="dash"/>
              <a:round/>
            </a:ln>
            <a:effectLst/>
          </c:spPr>
          <c:marker>
            <c:symbol val="none"/>
          </c:marker>
          <c:dLbls>
            <c:dLbl>
              <c:idx val="10"/>
              <c:layout>
                <c:manualLayout>
                  <c:x val="-8.8239998162464986E-2"/>
                  <c:y val="-5.179155428486693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63F-4801-AF96-4847765587D8}"/>
                </c:ext>
              </c:extLst>
            </c:dLbl>
            <c:dLbl>
              <c:idx val="20"/>
              <c:layout>
                <c:manualLayout>
                  <c:x val="-7.3131134959911345E-2"/>
                  <c:y val="5.266591095344866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63F-4801-AF96-4847765587D8}"/>
                </c:ext>
              </c:extLst>
            </c:dLbl>
            <c:dLbl>
              <c:idx val="34"/>
              <c:layout>
                <c:manualLayout>
                  <c:x val="-4.8521587967665014E-3"/>
                  <c:y val="6.473941451100842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63F-4801-AF96-4847765587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'USA Cpital Year by Year Thres'!$A$3:$A$42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'USA Cpital Year by Year Thres'!$AA$3:$AA$37</c:f>
              <c:numCache>
                <c:formatCode>0.00%</c:formatCode>
                <c:ptCount val="35"/>
                <c:pt idx="0">
                  <c:v>7.044378000944862E-2</c:v>
                </c:pt>
                <c:pt idx="1">
                  <c:v>4.8600031903202723E-2</c:v>
                </c:pt>
                <c:pt idx="2">
                  <c:v>3.7767703474521186E-2</c:v>
                </c:pt>
                <c:pt idx="3">
                  <c:v>3.1168886367417992E-2</c:v>
                </c:pt>
                <c:pt idx="4">
                  <c:v>2.6400825106886572E-2</c:v>
                </c:pt>
                <c:pt idx="5">
                  <c:v>2.2065511901272705E-2</c:v>
                </c:pt>
                <c:pt idx="6">
                  <c:v>2.2780758314457694E-2</c:v>
                </c:pt>
                <c:pt idx="7">
                  <c:v>1.2647196785428472E-2</c:v>
                </c:pt>
                <c:pt idx="8">
                  <c:v>4.9734897472324402E-3</c:v>
                </c:pt>
                <c:pt idx="9">
                  <c:v>4.9953317813669074E-3</c:v>
                </c:pt>
                <c:pt idx="10">
                  <c:v>-1.44686163199782E-2</c:v>
                </c:pt>
                <c:pt idx="11">
                  <c:v>-3.4933613426703647E-2</c:v>
                </c:pt>
                <c:pt idx="12">
                  <c:v>-4.9186114124476155E-2</c:v>
                </c:pt>
                <c:pt idx="13">
                  <c:v>-5.213765974024609E-2</c:v>
                </c:pt>
                <c:pt idx="14">
                  <c:v>-5.5201339298996732E-2</c:v>
                </c:pt>
                <c:pt idx="15">
                  <c:v>-6.5043519483628631E-2</c:v>
                </c:pt>
                <c:pt idx="16">
                  <c:v>-8.5495936529516925E-2</c:v>
                </c:pt>
                <c:pt idx="17">
                  <c:v>-9.7113213796812148E-2</c:v>
                </c:pt>
                <c:pt idx="18">
                  <c:v>-0.10011671189992744</c:v>
                </c:pt>
                <c:pt idx="19">
                  <c:v>-0.10756326327183696</c:v>
                </c:pt>
                <c:pt idx="20">
                  <c:v>-0.11284948662070227</c:v>
                </c:pt>
                <c:pt idx="21">
                  <c:v>-0.10261247345520141</c:v>
                </c:pt>
                <c:pt idx="22">
                  <c:v>-0.1044355550606304</c:v>
                </c:pt>
                <c:pt idx="23">
                  <c:v>-0.10701720917697966</c:v>
                </c:pt>
                <c:pt idx="24">
                  <c:v>-0.11882330138973951</c:v>
                </c:pt>
                <c:pt idx="25">
                  <c:v>-0.13388070197161461</c:v>
                </c:pt>
                <c:pt idx="26">
                  <c:v>-0.14563873208441236</c:v>
                </c:pt>
                <c:pt idx="27">
                  <c:v>-0.15815773314403003</c:v>
                </c:pt>
                <c:pt idx="28">
                  <c:v>-0.16562953485157983</c:v>
                </c:pt>
                <c:pt idx="29">
                  <c:v>-0.1694930832162026</c:v>
                </c:pt>
                <c:pt idx="30">
                  <c:v>-0.18536849299267566</c:v>
                </c:pt>
                <c:pt idx="31">
                  <c:v>-0.18781929658628493</c:v>
                </c:pt>
                <c:pt idx="32">
                  <c:v>-0.20180731831806309</c:v>
                </c:pt>
                <c:pt idx="33">
                  <c:v>-0.19567797510833984</c:v>
                </c:pt>
                <c:pt idx="34">
                  <c:v>-0.20277388779765626</c:v>
                </c:pt>
              </c:numCache>
            </c:numRef>
          </c:val>
          <c:smooth val="0"/>
          <c:extLst>
            <c:ext xmlns:c16="http://schemas.microsoft.com/office/drawing/2014/chart" uri="{C3380CC4-5D6E-409C-BE32-E72D297353CC}">
              <c16:uniqueId val="{0000000E-A63F-4801-AF96-4847765587D8}"/>
            </c:ext>
          </c:extLst>
        </c:ser>
        <c:ser>
          <c:idx val="3"/>
          <c:order val="9"/>
          <c:tx>
            <c:v>PSI(1%) Pre-Tax Non-Capital</c:v>
          </c:tx>
          <c:spPr>
            <a:ln w="28575" cap="rnd">
              <a:solidFill>
                <a:srgbClr val="FF0000"/>
              </a:solidFill>
              <a:round/>
            </a:ln>
            <a:effectLst/>
          </c:spPr>
          <c:marker>
            <c:symbol val="none"/>
          </c:marker>
          <c:dLbls>
            <c:dLbl>
              <c:idx val="10"/>
              <c:layout>
                <c:manualLayout>
                  <c:x val="1.2049122469684233E-2"/>
                  <c:y val="3.965141838936727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A63F-4801-AF96-4847765587D8}"/>
                </c:ext>
              </c:extLst>
            </c:dLbl>
            <c:dLbl>
              <c:idx val="20"/>
              <c:layout>
                <c:manualLayout>
                  <c:x val="-6.6939569276023786E-3"/>
                  <c:y val="6.797386009605828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A63F-4801-AF96-4847765587D8}"/>
                </c:ext>
              </c:extLst>
            </c:dLbl>
            <c:dLbl>
              <c:idx val="34"/>
              <c:layout>
                <c:manualLayout>
                  <c:x val="-9.3715396986433306E-3"/>
                  <c:y val="6.608569731561235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A63F-4801-AF96-4847765587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'USA Labor Year by Year Thres'!$V$3:$V$37</c:f>
              <c:numCache>
                <c:formatCode>0.00%</c:formatCode>
                <c:ptCount val="35"/>
                <c:pt idx="0">
                  <c:v>-1.7362251041042387E-2</c:v>
                </c:pt>
                <c:pt idx="1">
                  <c:v>5.9684468634384036E-2</c:v>
                </c:pt>
                <c:pt idx="2">
                  <c:v>0.11860431904796775</c:v>
                </c:pt>
                <c:pt idx="3">
                  <c:v>0.15429485136206145</c:v>
                </c:pt>
                <c:pt idx="4">
                  <c:v>0.20666679288460221</c:v>
                </c:pt>
                <c:pt idx="5">
                  <c:v>0.21894090074079964</c:v>
                </c:pt>
                <c:pt idx="6">
                  <c:v>0.2236844209726172</c:v>
                </c:pt>
                <c:pt idx="7">
                  <c:v>0.28696302536309837</c:v>
                </c:pt>
                <c:pt idx="8">
                  <c:v>0.39537546347991581</c:v>
                </c:pt>
                <c:pt idx="9">
                  <c:v>0.36207596735201952</c:v>
                </c:pt>
                <c:pt idx="10">
                  <c:v>0.46148897722086524</c:v>
                </c:pt>
                <c:pt idx="11">
                  <c:v>0.49753681653964699</c:v>
                </c:pt>
                <c:pt idx="12">
                  <c:v>0.61321530443315941</c:v>
                </c:pt>
                <c:pt idx="13">
                  <c:v>0.57176248081262293</c:v>
                </c:pt>
                <c:pt idx="14">
                  <c:v>0.55786767992608732</c:v>
                </c:pt>
                <c:pt idx="15">
                  <c:v>0.61327942280950043</c:v>
                </c:pt>
                <c:pt idx="16">
                  <c:v>0.75032099939147878</c:v>
                </c:pt>
                <c:pt idx="17">
                  <c:v>0.85911037754829733</c:v>
                </c:pt>
                <c:pt idx="18">
                  <c:v>0.88889981952555552</c:v>
                </c:pt>
                <c:pt idx="19">
                  <c:v>0.9761495761162946</c:v>
                </c:pt>
                <c:pt idx="20">
                  <c:v>1.0502074526767928</c:v>
                </c:pt>
                <c:pt idx="21">
                  <c:v>0.93820092456616111</c:v>
                </c:pt>
                <c:pt idx="22">
                  <c:v>0.88436491594211275</c:v>
                </c:pt>
                <c:pt idx="23">
                  <c:v>0.89107932743250196</c:v>
                </c:pt>
                <c:pt idx="24">
                  <c:v>0.98136927662155449</c:v>
                </c:pt>
                <c:pt idx="25">
                  <c:v>1.0623348544858966</c:v>
                </c:pt>
                <c:pt idx="26">
                  <c:v>1.1088145418300952</c:v>
                </c:pt>
                <c:pt idx="27">
                  <c:v>1.2287372510662111</c:v>
                </c:pt>
                <c:pt idx="28">
                  <c:v>1.3265769115040005</c:v>
                </c:pt>
                <c:pt idx="29">
                  <c:v>1.3227805463214559</c:v>
                </c:pt>
                <c:pt idx="30">
                  <c:v>1.4085488517089373</c:v>
                </c:pt>
                <c:pt idx="31">
                  <c:v>1.4362616175485559</c:v>
                </c:pt>
                <c:pt idx="32">
                  <c:v>1.5524665187015976</c:v>
                </c:pt>
                <c:pt idx="33">
                  <c:v>1.490706177924928</c:v>
                </c:pt>
                <c:pt idx="34">
                  <c:v>1.9383270902052003</c:v>
                </c:pt>
              </c:numCache>
            </c:numRef>
          </c:val>
          <c:smooth val="0"/>
          <c:extLst>
            <c:ext xmlns:c16="http://schemas.microsoft.com/office/drawing/2014/chart" uri="{C3380CC4-5D6E-409C-BE32-E72D297353CC}">
              <c16:uniqueId val="{00000013-A63F-4801-AF96-4847765587D8}"/>
            </c:ext>
          </c:extLst>
        </c:ser>
        <c:ser>
          <c:idx val="4"/>
          <c:order val="10"/>
          <c:tx>
            <c:v>PSI(10% to 1%) Non-Capital</c:v>
          </c:tx>
          <c:spPr>
            <a:ln w="28575" cap="rnd">
              <a:solidFill>
                <a:srgbClr val="00B050"/>
              </a:solidFill>
              <a:prstDash val="solid"/>
              <a:round/>
            </a:ln>
            <a:effectLst/>
          </c:spPr>
          <c:marker>
            <c:symbol val="none"/>
          </c:marker>
          <c:dLbls>
            <c:dLbl>
              <c:idx val="10"/>
              <c:layout>
                <c:manualLayout>
                  <c:x val="-8.0656779048798311E-2"/>
                  <c:y val="-1.474557578819580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A63F-4801-AF96-4847765587D8}"/>
                </c:ext>
              </c:extLst>
            </c:dLbl>
            <c:dLbl>
              <c:idx val="20"/>
              <c:layout>
                <c:manualLayout>
                  <c:x val="5.7658186517528846E-2"/>
                  <c:y val="-0.1028271807054106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A63F-4801-AF96-4847765587D8}"/>
                </c:ext>
              </c:extLst>
            </c:dLbl>
            <c:dLbl>
              <c:idx val="34"/>
              <c:layout>
                <c:manualLayout>
                  <c:x val="-1.4726705240725233E-2"/>
                  <c:y val="-3.965141838936741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A63F-4801-AF96-4847765587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'USA Labor Year by Year Thres'!$W$3:$W$37</c:f>
              <c:numCache>
                <c:formatCode>0.00%</c:formatCode>
                <c:ptCount val="35"/>
                <c:pt idx="0">
                  <c:v>-0.19060516126271676</c:v>
                </c:pt>
                <c:pt idx="1">
                  <c:v>-0.16091899932194498</c:v>
                </c:pt>
                <c:pt idx="2">
                  <c:v>-0.1403531455438064</c:v>
                </c:pt>
                <c:pt idx="3">
                  <c:v>-0.12157197000710207</c:v>
                </c:pt>
                <c:pt idx="4">
                  <c:v>-0.13521747070223811</c:v>
                </c:pt>
                <c:pt idx="5">
                  <c:v>-0.12674579105301098</c:v>
                </c:pt>
                <c:pt idx="6">
                  <c:v>-0.1171389128420639</c:v>
                </c:pt>
                <c:pt idx="7">
                  <c:v>-0.12979933207025973</c:v>
                </c:pt>
                <c:pt idx="8">
                  <c:v>-0.15019408449901805</c:v>
                </c:pt>
                <c:pt idx="9">
                  <c:v>-0.12951076746781043</c:v>
                </c:pt>
                <c:pt idx="10">
                  <c:v>-0.11052071299860544</c:v>
                </c:pt>
                <c:pt idx="11">
                  <c:v>-5.7906007595424192E-2</c:v>
                </c:pt>
                <c:pt idx="12">
                  <c:v>-6.5677386577641772E-2</c:v>
                </c:pt>
                <c:pt idx="13">
                  <c:v>-5.0674521838799169E-2</c:v>
                </c:pt>
                <c:pt idx="14">
                  <c:v>-4.001488721812696E-2</c:v>
                </c:pt>
                <c:pt idx="15">
                  <c:v>-3.9197200850129787E-2</c:v>
                </c:pt>
                <c:pt idx="16">
                  <c:v>-2.2554764455489873E-2</c:v>
                </c:pt>
                <c:pt idx="17">
                  <c:v>-2.1715054895823149E-2</c:v>
                </c:pt>
                <c:pt idx="18">
                  <c:v>-2.9183735867295835E-2</c:v>
                </c:pt>
                <c:pt idx="19">
                  <c:v>-3.7437770377883761E-2</c:v>
                </c:pt>
                <c:pt idx="20">
                  <c:v>-4.8658956172420109E-2</c:v>
                </c:pt>
                <c:pt idx="21">
                  <c:v>-3.2145279213117384E-2</c:v>
                </c:pt>
                <c:pt idx="22">
                  <c:v>-1.50169905815698E-2</c:v>
                </c:pt>
                <c:pt idx="23">
                  <c:v>-9.9245592958607798E-3</c:v>
                </c:pt>
                <c:pt idx="24">
                  <c:v>-1.9118131351341883E-2</c:v>
                </c:pt>
                <c:pt idx="25">
                  <c:v>-2.4879134224747634E-2</c:v>
                </c:pt>
                <c:pt idx="26">
                  <c:v>-2.280028484992247E-2</c:v>
                </c:pt>
                <c:pt idx="27">
                  <c:v>1.721921584265429E-3</c:v>
                </c:pt>
                <c:pt idx="28">
                  <c:v>4.007153983976508E-2</c:v>
                </c:pt>
                <c:pt idx="29">
                  <c:v>0.1022997214529866</c:v>
                </c:pt>
                <c:pt idx="30">
                  <c:v>0.10522456560802773</c:v>
                </c:pt>
                <c:pt idx="31">
                  <c:v>0.12402673359045124</c:v>
                </c:pt>
                <c:pt idx="32">
                  <c:v>0.11492135517161528</c:v>
                </c:pt>
                <c:pt idx="33">
                  <c:v>0.12349885012225847</c:v>
                </c:pt>
                <c:pt idx="34">
                  <c:v>0.20420730942597731</c:v>
                </c:pt>
              </c:numCache>
            </c:numRef>
          </c:val>
          <c:smooth val="0"/>
          <c:extLst>
            <c:ext xmlns:c16="http://schemas.microsoft.com/office/drawing/2014/chart" uri="{C3380CC4-5D6E-409C-BE32-E72D297353CC}">
              <c16:uniqueId val="{00000018-A63F-4801-AF96-4847765587D8}"/>
            </c:ext>
          </c:extLst>
        </c:ser>
        <c:ser>
          <c:idx val="5"/>
          <c:order val="11"/>
          <c:tx>
            <c:v>PSI(90%) Non-Capital</c:v>
          </c:tx>
          <c:spPr>
            <a:ln w="28575" cap="rnd">
              <a:solidFill>
                <a:srgbClr val="0070C0"/>
              </a:solidFill>
              <a:prstDash val="solid"/>
              <a:round/>
            </a:ln>
            <a:effectLst/>
          </c:spPr>
          <c:marker>
            <c:symbol val="none"/>
          </c:marker>
          <c:dLbls>
            <c:dLbl>
              <c:idx val="10"/>
              <c:layout>
                <c:manualLayout>
                  <c:x val="1.6131355809759662E-2"/>
                  <c:y val="-2.21183636822937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A63F-4801-AF96-4847765587D8}"/>
                </c:ext>
              </c:extLst>
            </c:dLbl>
            <c:dLbl>
              <c:idx val="20"/>
              <c:layout>
                <c:manualLayout>
                  <c:x val="-7.6597460189477926E-2"/>
                  <c:y val="-7.214206437291897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A63F-4801-AF96-4847765587D8}"/>
                </c:ext>
              </c:extLst>
            </c:dLbl>
            <c:dLbl>
              <c:idx val="34"/>
              <c:layout>
                <c:manualLayout>
                  <c:x val="-3.8984109873585845E-2"/>
                  <c:y val="-1.474557578819580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A63F-4801-AF96-4847765587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'USA Labor Year by Year Thres'!$X$3:$X$37</c:f>
              <c:numCache>
                <c:formatCode>0.00%</c:formatCode>
                <c:ptCount val="35"/>
                <c:pt idx="0">
                  <c:v>8.0021643710974644E-2</c:v>
                </c:pt>
                <c:pt idx="1">
                  <c:v>5.7118631479106563E-2</c:v>
                </c:pt>
                <c:pt idx="2">
                  <c:v>4.2671158562777256E-2</c:v>
                </c:pt>
                <c:pt idx="3">
                  <c:v>3.1541562496928632E-2</c:v>
                </c:pt>
                <c:pt idx="4">
                  <c:v>3.182643870528401E-2</c:v>
                </c:pt>
                <c:pt idx="5">
                  <c:v>2.71537300501139E-2</c:v>
                </c:pt>
                <c:pt idx="6">
                  <c:v>2.2814058541125171E-2</c:v>
                </c:pt>
                <c:pt idx="7">
                  <c:v>2.1038271834391775E-2</c:v>
                </c:pt>
                <c:pt idx="8">
                  <c:v>1.6698496662933771E-2</c:v>
                </c:pt>
                <c:pt idx="9">
                  <c:v>1.2249769150188161E-2</c:v>
                </c:pt>
                <c:pt idx="10">
                  <c:v>-5.4077506243346285E-3</c:v>
                </c:pt>
                <c:pt idx="11">
                  <c:v>-2.6356499115098964E-2</c:v>
                </c:pt>
                <c:pt idx="12">
                  <c:v>-3.6100168326923088E-2</c:v>
                </c:pt>
                <c:pt idx="13">
                  <c:v>-3.644514002781174E-2</c:v>
                </c:pt>
                <c:pt idx="14">
                  <c:v>-3.8398998036613508E-2</c:v>
                </c:pt>
                <c:pt idx="15">
                  <c:v>-4.479378588622307E-2</c:v>
                </c:pt>
                <c:pt idx="16">
                  <c:v>-6.2581802251656438E-2</c:v>
                </c:pt>
                <c:pt idx="17">
                  <c:v>-7.3088537472670745E-2</c:v>
                </c:pt>
                <c:pt idx="18">
                  <c:v>-7.5389794970226798E-2</c:v>
                </c:pt>
                <c:pt idx="19">
                  <c:v>-8.2923447063290467E-2</c:v>
                </c:pt>
                <c:pt idx="20">
                  <c:v>-8.8911002432439878E-2</c:v>
                </c:pt>
                <c:pt idx="21">
                  <c:v>-8.1296837887824935E-2</c:v>
                </c:pt>
                <c:pt idx="22">
                  <c:v>-7.9200191012409049E-2</c:v>
                </c:pt>
                <c:pt idx="23">
                  <c:v>-8.1034997283525145E-2</c:v>
                </c:pt>
                <c:pt idx="24">
                  <c:v>-8.7209625494059972E-2</c:v>
                </c:pt>
                <c:pt idx="25">
                  <c:v>-9.4304987602664259E-2</c:v>
                </c:pt>
                <c:pt idx="26">
                  <c:v>-0.10050420973022411</c:v>
                </c:pt>
                <c:pt idx="27">
                  <c:v>-0.11382672421329521</c:v>
                </c:pt>
                <c:pt idx="28">
                  <c:v>-0.12657499498065683</c:v>
                </c:pt>
                <c:pt idx="29">
                  <c:v>-0.13330985891590463</c:v>
                </c:pt>
                <c:pt idx="30">
                  <c:v>-0.1426453805799387</c:v>
                </c:pt>
                <c:pt idx="31">
                  <c:v>-0.15056838721699395</c:v>
                </c:pt>
                <c:pt idx="32">
                  <c:v>-0.15982573229990216</c:v>
                </c:pt>
                <c:pt idx="33">
                  <c:v>-0.15485575446965005</c:v>
                </c:pt>
                <c:pt idx="34">
                  <c:v>-0.18657611252791007</c:v>
                </c:pt>
              </c:numCache>
            </c:numRef>
          </c:val>
          <c:smooth val="0"/>
          <c:extLst>
            <c:ext xmlns:c16="http://schemas.microsoft.com/office/drawing/2014/chart" uri="{C3380CC4-5D6E-409C-BE32-E72D297353CC}">
              <c16:uniqueId val="{0000001D-A63F-4801-AF96-4847765587D8}"/>
            </c:ext>
          </c:extLst>
        </c:ser>
        <c:ser>
          <c:idx val="12"/>
          <c:order val="12"/>
          <c:tx>
            <c:v>0 Reference</c:v>
          </c:tx>
          <c:spPr>
            <a:ln w="28575" cap="rnd">
              <a:solidFill>
                <a:schemeClr val="accent1">
                  <a:lumMod val="80000"/>
                  <a:lumOff val="20000"/>
                </a:schemeClr>
              </a:solidFill>
              <a:round/>
            </a:ln>
            <a:effectLst/>
          </c:spPr>
          <c:marker>
            <c:symbol val="none"/>
          </c:marker>
          <c:val>
            <c:numRef>
              <c:f>'USA Cpital Year by Year Thres'!$AE$3:$AE$37</c:f>
              <c:numCache>
                <c:formatCode>General</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smooth val="0"/>
          <c:extLst>
            <c:ext xmlns:c16="http://schemas.microsoft.com/office/drawing/2014/chart" uri="{C3380CC4-5D6E-409C-BE32-E72D297353CC}">
              <c16:uniqueId val="{00000025-A63F-4801-AF96-4847765587D8}"/>
            </c:ext>
          </c:extLst>
        </c:ser>
        <c:dLbls>
          <c:showLegendKey val="0"/>
          <c:showVal val="0"/>
          <c:showCatName val="0"/>
          <c:showSerName val="0"/>
          <c:showPercent val="0"/>
          <c:showBubbleSize val="0"/>
        </c:dLbls>
        <c:smooth val="0"/>
        <c:axId val="1049694320"/>
        <c:axId val="1045444864"/>
        <c:extLst>
          <c:ext xmlns:c15="http://schemas.microsoft.com/office/drawing/2012/chart" uri="{02D57815-91ED-43cb-92C2-25804820EDAC}">
            <c15:filteredLineSeries>
              <c15:ser>
                <c:idx val="6"/>
                <c:order val="0"/>
                <c:tx>
                  <c:strRef>
                    <c:extLst>
                      <c:ext uri="{02D57815-91ED-43cb-92C2-25804820EDAC}">
                        <c15:formulaRef>
                          <c15:sqref>'USA Cpital Year by Year Thres'!$Y$2</c15:sqref>
                        </c15:formulaRef>
                      </c:ext>
                    </c:extLst>
                    <c:strCache>
                      <c:ptCount val="1"/>
                      <c:pt idx="0">
                        <c:v>PSI(1%) Pre-Tax</c:v>
                      </c:pt>
                    </c:strCache>
                  </c:strRef>
                </c:tx>
                <c:spPr>
                  <a:ln w="28575" cap="rnd">
                    <a:solidFill>
                      <a:schemeClr val="accent1">
                        <a:lumMod val="60000"/>
                      </a:schemeClr>
                    </a:solidFill>
                    <a:round/>
                  </a:ln>
                  <a:effectLst/>
                </c:spPr>
                <c:marker>
                  <c:symbol val="none"/>
                </c:marker>
                <c:cat>
                  <c:numRef>
                    <c:extLst>
                      <c:ext uri="{02D57815-91ED-43cb-92C2-25804820EDAC}">
                        <c15:formulaRef>
                          <c15:sqref>'USA Cpital Year by Year Thres'!$A$3:$A$42</c15:sqref>
                        </c15:formulaRef>
                      </c:ext>
                    </c:extLst>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extLst>
                      <c:ext uri="{02D57815-91ED-43cb-92C2-25804820EDAC}">
                        <c15:formulaRef>
                          <c15:sqref>'USA Cpital Year by Year Thres'!$Y$3:$Y$37</c15:sqref>
                        </c15:formulaRef>
                      </c:ext>
                    </c:extLst>
                    <c:numCache>
                      <c:formatCode>0.00%</c:formatCode>
                      <c:ptCount val="35"/>
                      <c:pt idx="0">
                        <c:v>0.17417987119520273</c:v>
                      </c:pt>
                      <c:pt idx="1">
                        <c:v>0.26436042064601151</c:v>
                      </c:pt>
                      <c:pt idx="2">
                        <c:v>0.31823704587431889</c:v>
                      </c:pt>
                      <c:pt idx="3">
                        <c:v>0.34083333422311579</c:v>
                      </c:pt>
                      <c:pt idx="4">
                        <c:v>0.39374853061684023</c:v>
                      </c:pt>
                      <c:pt idx="5">
                        <c:v>0.41681084371081956</c:v>
                      </c:pt>
                      <c:pt idx="6">
                        <c:v>0.38781224018258542</c:v>
                      </c:pt>
                      <c:pt idx="7">
                        <c:v>0.47706491457205291</c:v>
                      </c:pt>
                      <c:pt idx="8">
                        <c:v>0.58589463946678966</c:v>
                      </c:pt>
                      <c:pt idx="9">
                        <c:v>0.56115828439441717</c:v>
                      </c:pt>
                      <c:pt idx="10">
                        <c:v>0.65855912881701428</c:v>
                      </c:pt>
                      <c:pt idx="11">
                        <c:v>0.70188827219491268</c:v>
                      </c:pt>
                      <c:pt idx="12">
                        <c:v>0.8096645793273376</c:v>
                      </c:pt>
                      <c:pt idx="13">
                        <c:v>0.80269908171587323</c:v>
                      </c:pt>
                      <c:pt idx="14">
                        <c:v>0.79900123076528939</c:v>
                      </c:pt>
                      <c:pt idx="15">
                        <c:v>0.85425965716205488</c:v>
                      </c:pt>
                      <c:pt idx="16">
                        <c:v>0.98110151030991299</c:v>
                      </c:pt>
                      <c:pt idx="17">
                        <c:v>1.0655257038970949</c:v>
                      </c:pt>
                      <c:pt idx="18">
                        <c:v>1.0822316068197595</c:v>
                      </c:pt>
                      <c:pt idx="19">
                        <c:v>1.1501680715481735</c:v>
                      </c:pt>
                      <c:pt idx="20">
                        <c:v>1.1944801016153623</c:v>
                      </c:pt>
                      <c:pt idx="21">
                        <c:v>1.1240311628767943</c:v>
                      </c:pt>
                      <c:pt idx="22">
                        <c:v>1.1198938330539003</c:v>
                      </c:pt>
                      <c:pt idx="23">
                        <c:v>1.1402710463526491</c:v>
                      </c:pt>
                      <c:pt idx="24">
                        <c:v>1.2447736832608558</c:v>
                      </c:pt>
                      <c:pt idx="25">
                        <c:v>1.3464630841032847</c:v>
                      </c:pt>
                      <c:pt idx="26">
                        <c:v>1.4038583688379025</c:v>
                      </c:pt>
                      <c:pt idx="27">
                        <c:v>1.5230389314674961</c:v>
                      </c:pt>
                      <c:pt idx="28">
                        <c:v>1.6292627293727846</c:v>
                      </c:pt>
                      <c:pt idx="29">
                        <c:v>1.6971285065088333</c:v>
                      </c:pt>
                      <c:pt idx="30">
                        <c:v>1.8163928811149725</c:v>
                      </c:pt>
                      <c:pt idx="31">
                        <c:v>1.7867178032041173</c:v>
                      </c:pt>
                      <c:pt idx="32">
                        <c:v>1.8990219875863787</c:v>
                      </c:pt>
                      <c:pt idx="33">
                        <c:v>1.8079030708843935</c:v>
                      </c:pt>
                      <c:pt idx="34">
                        <c:v>1.8523559998476444</c:v>
                      </c:pt>
                    </c:numCache>
                  </c:numRef>
                </c:val>
                <c:smooth val="0"/>
                <c:extLst>
                  <c:ext xmlns:c16="http://schemas.microsoft.com/office/drawing/2014/chart" uri="{C3380CC4-5D6E-409C-BE32-E72D297353CC}">
                    <c16:uniqueId val="{0000001E-A63F-4801-AF96-4847765587D8}"/>
                  </c:ext>
                </c:extLst>
              </c15:ser>
            </c15:filteredLineSeries>
            <c15:filteredLineSeries>
              <c15:ser>
                <c:idx val="7"/>
                <c:order val="1"/>
                <c:tx>
                  <c:strRef>
                    <c:extLst xmlns:c15="http://schemas.microsoft.com/office/drawing/2012/chart">
                      <c:ext xmlns:c15="http://schemas.microsoft.com/office/drawing/2012/chart" uri="{02D57815-91ED-43cb-92C2-25804820EDAC}">
                        <c15:formulaRef>
                          <c15:sqref>'USA Cpital Year by Year Thres'!$Z$2</c15:sqref>
                        </c15:formulaRef>
                      </c:ext>
                    </c:extLst>
                    <c:strCache>
                      <c:ptCount val="1"/>
                      <c:pt idx="0">
                        <c:v>PSI(10% to 1%) Pre-Tax</c:v>
                      </c:pt>
                    </c:strCache>
                  </c:strRef>
                </c:tx>
                <c:spPr>
                  <a:ln w="28575" cap="rnd">
                    <a:solidFill>
                      <a:schemeClr val="accent2">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'USA Cpital Year by Year Thres'!$A$3:$A$42</c15:sqref>
                        </c15:formulaRef>
                      </c:ext>
                    </c:extLst>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extLst xmlns:c15="http://schemas.microsoft.com/office/drawing/2012/chart">
                      <c:ext xmlns:c15="http://schemas.microsoft.com/office/drawing/2012/chart" uri="{02D57815-91ED-43cb-92C2-25804820EDAC}">
                        <c15:formulaRef>
                          <c15:sqref>'USA Cpital Year by Year Thres'!$Z$3:$Z$37</c15:sqref>
                        </c15:formulaRef>
                      </c:ext>
                    </c:extLst>
                    <c:numCache>
                      <c:formatCode>0.00%</c:formatCode>
                      <c:ptCount val="35"/>
                      <c:pt idx="0">
                        <c:v>-0.20048414552361737</c:v>
                      </c:pt>
                      <c:pt idx="1">
                        <c:v>-0.18396111079173727</c:v>
                      </c:pt>
                      <c:pt idx="2">
                        <c:v>-0.17709474468669373</c:v>
                      </c:pt>
                      <c:pt idx="3">
                        <c:v>-0.16944068697479975</c:v>
                      </c:pt>
                      <c:pt idx="4">
                        <c:v>-0.17600583746218434</c:v>
                      </c:pt>
                      <c:pt idx="5">
                        <c:v>-0.17345266069018894</c:v>
                      </c:pt>
                      <c:pt idx="6">
                        <c:v>-0.16595060568201203</c:v>
                      </c:pt>
                      <c:pt idx="7">
                        <c:v>-0.17285296871575284</c:v>
                      </c:pt>
                      <c:pt idx="8">
                        <c:v>-0.19415890847300066</c:v>
                      </c:pt>
                      <c:pt idx="9">
                        <c:v>-0.1851910709133725</c:v>
                      </c:pt>
                      <c:pt idx="10">
                        <c:v>-0.16780156870586405</c:v>
                      </c:pt>
                      <c:pt idx="11">
                        <c:v>-0.12438437933142266</c:v>
                      </c:pt>
                      <c:pt idx="12">
                        <c:v>-0.12690789082646126</c:v>
                      </c:pt>
                      <c:pt idx="13">
                        <c:v>-0.11361867633373723</c:v>
                      </c:pt>
                      <c:pt idx="14">
                        <c:v>-0.10683186515673249</c:v>
                      </c:pt>
                      <c:pt idx="15">
                        <c:v>-0.10290503094873737</c:v>
                      </c:pt>
                      <c:pt idx="16">
                        <c:v>-8.7224156978999323E-2</c:v>
                      </c:pt>
                      <c:pt idx="17">
                        <c:v>-8.4593830110449408E-2</c:v>
                      </c:pt>
                      <c:pt idx="18">
                        <c:v>-8.5749346305028618E-2</c:v>
                      </c:pt>
                      <c:pt idx="19">
                        <c:v>-9.352995033928313E-2</c:v>
                      </c:pt>
                      <c:pt idx="20">
                        <c:v>-9.8742481100720036E-2</c:v>
                      </c:pt>
                      <c:pt idx="21">
                        <c:v>-9.2384640861326695E-2</c:v>
                      </c:pt>
                      <c:pt idx="22">
                        <c:v>-8.334295975137751E-2</c:v>
                      </c:pt>
                      <c:pt idx="23">
                        <c:v>-8.2789697978747023E-2</c:v>
                      </c:pt>
                      <c:pt idx="24">
                        <c:v>-9.2069121936642295E-2</c:v>
                      </c:pt>
                      <c:pt idx="25">
                        <c:v>-9.2631810179679697E-2</c:v>
                      </c:pt>
                      <c:pt idx="26">
                        <c:v>-8.9166960595007949E-2</c:v>
                      </c:pt>
                      <c:pt idx="27">
                        <c:v>-6.5315093711904249E-2</c:v>
                      </c:pt>
                      <c:pt idx="28">
                        <c:v>-4.5855252779336997E-2</c:v>
                      </c:pt>
                      <c:pt idx="29">
                        <c:v>-1.1748423775247319E-2</c:v>
                      </c:pt>
                      <c:pt idx="30">
                        <c:v>-1.6121350973986925E-2</c:v>
                      </c:pt>
                      <c:pt idx="31">
                        <c:v>-2.2921621287289584E-3</c:v>
                      </c:pt>
                      <c:pt idx="32">
                        <c:v>-9.3001746612432212E-3</c:v>
                      </c:pt>
                      <c:pt idx="33">
                        <c:v>1.6975280312244045E-2</c:v>
                      </c:pt>
                      <c:pt idx="34">
                        <c:v>1.3501609434445339E-2</c:v>
                      </c:pt>
                    </c:numCache>
                  </c:numRef>
                </c:val>
                <c:smooth val="0"/>
                <c:extLst xmlns:c15="http://schemas.microsoft.com/office/drawing/2012/chart">
                  <c:ext xmlns:c16="http://schemas.microsoft.com/office/drawing/2014/chart" uri="{C3380CC4-5D6E-409C-BE32-E72D297353CC}">
                    <c16:uniqueId val="{0000001F-A63F-4801-AF96-4847765587D8}"/>
                  </c:ext>
                </c:extLst>
              </c15:ser>
            </c15:filteredLineSeries>
            <c15:filteredLineSeries>
              <c15:ser>
                <c:idx val="8"/>
                <c:order val="2"/>
                <c:tx>
                  <c:strRef>
                    <c:extLst xmlns:c15="http://schemas.microsoft.com/office/drawing/2012/chart">
                      <c:ext xmlns:c15="http://schemas.microsoft.com/office/drawing/2012/chart" uri="{02D57815-91ED-43cb-92C2-25804820EDAC}">
                        <c15:formulaRef>
                          <c15:sqref>'USA Cpital Year by Year Thres'!$AA$2</c15:sqref>
                        </c15:formulaRef>
                      </c:ext>
                    </c:extLst>
                    <c:strCache>
                      <c:ptCount val="1"/>
                      <c:pt idx="0">
                        <c:v>PSI(90%) Pre-Tax</c:v>
                      </c:pt>
                    </c:strCache>
                  </c:strRef>
                </c:tx>
                <c:spPr>
                  <a:ln w="28575" cap="rnd">
                    <a:solidFill>
                      <a:schemeClr val="accent3">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'USA Cpital Year by Year Thres'!$A$3:$A$42</c15:sqref>
                        </c15:formulaRef>
                      </c:ext>
                    </c:extLst>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extLst xmlns:c15="http://schemas.microsoft.com/office/drawing/2012/chart">
                      <c:ext xmlns:c15="http://schemas.microsoft.com/office/drawing/2012/chart" uri="{02D57815-91ED-43cb-92C2-25804820EDAC}">
                        <c15:formulaRef>
                          <c15:sqref>'USA Cpital Year by Year Thres'!$AA$3:$AA$37</c15:sqref>
                        </c15:formulaRef>
                      </c:ext>
                    </c:extLst>
                    <c:numCache>
                      <c:formatCode>0.00%</c:formatCode>
                      <c:ptCount val="35"/>
                      <c:pt idx="0">
                        <c:v>7.044378000944862E-2</c:v>
                      </c:pt>
                      <c:pt idx="1">
                        <c:v>4.8600031903202723E-2</c:v>
                      </c:pt>
                      <c:pt idx="2">
                        <c:v>3.7767703474521186E-2</c:v>
                      </c:pt>
                      <c:pt idx="3">
                        <c:v>3.1168886367417992E-2</c:v>
                      </c:pt>
                      <c:pt idx="4">
                        <c:v>2.6400825106886572E-2</c:v>
                      </c:pt>
                      <c:pt idx="5">
                        <c:v>2.2065511901272705E-2</c:v>
                      </c:pt>
                      <c:pt idx="6">
                        <c:v>2.2780758314457694E-2</c:v>
                      </c:pt>
                      <c:pt idx="7">
                        <c:v>1.2647196785428472E-2</c:v>
                      </c:pt>
                      <c:pt idx="8">
                        <c:v>4.9734897472324402E-3</c:v>
                      </c:pt>
                      <c:pt idx="9">
                        <c:v>4.9953317813669074E-3</c:v>
                      </c:pt>
                      <c:pt idx="10">
                        <c:v>-1.44686163199782E-2</c:v>
                      </c:pt>
                      <c:pt idx="11">
                        <c:v>-3.4933613426703647E-2</c:v>
                      </c:pt>
                      <c:pt idx="12">
                        <c:v>-4.9186114124476155E-2</c:v>
                      </c:pt>
                      <c:pt idx="13">
                        <c:v>-5.213765974024609E-2</c:v>
                      </c:pt>
                      <c:pt idx="14">
                        <c:v>-5.5201339298996732E-2</c:v>
                      </c:pt>
                      <c:pt idx="15">
                        <c:v>-6.5043519483628631E-2</c:v>
                      </c:pt>
                      <c:pt idx="16">
                        <c:v>-8.5495936529516925E-2</c:v>
                      </c:pt>
                      <c:pt idx="17">
                        <c:v>-9.7113213796812148E-2</c:v>
                      </c:pt>
                      <c:pt idx="18">
                        <c:v>-0.10011671189992744</c:v>
                      </c:pt>
                      <c:pt idx="19">
                        <c:v>-0.10756326327183696</c:v>
                      </c:pt>
                      <c:pt idx="20">
                        <c:v>-0.11284948662070227</c:v>
                      </c:pt>
                      <c:pt idx="21">
                        <c:v>-0.10261247345520141</c:v>
                      </c:pt>
                      <c:pt idx="22">
                        <c:v>-0.1044355550606304</c:v>
                      </c:pt>
                      <c:pt idx="23">
                        <c:v>-0.10701720917697966</c:v>
                      </c:pt>
                      <c:pt idx="24">
                        <c:v>-0.11882330138973951</c:v>
                      </c:pt>
                      <c:pt idx="25">
                        <c:v>-0.13388070197161461</c:v>
                      </c:pt>
                      <c:pt idx="26">
                        <c:v>-0.14563873208441236</c:v>
                      </c:pt>
                      <c:pt idx="27">
                        <c:v>-0.15815773314403003</c:v>
                      </c:pt>
                      <c:pt idx="28">
                        <c:v>-0.16562953485157983</c:v>
                      </c:pt>
                      <c:pt idx="29">
                        <c:v>-0.1694930832162026</c:v>
                      </c:pt>
                      <c:pt idx="30">
                        <c:v>-0.18536849299267566</c:v>
                      </c:pt>
                      <c:pt idx="31">
                        <c:v>-0.18781929658628493</c:v>
                      </c:pt>
                      <c:pt idx="32">
                        <c:v>-0.20180731831806309</c:v>
                      </c:pt>
                      <c:pt idx="33">
                        <c:v>-0.19567797510833984</c:v>
                      </c:pt>
                      <c:pt idx="34">
                        <c:v>-0.20277388779765626</c:v>
                      </c:pt>
                    </c:numCache>
                  </c:numRef>
                </c:val>
                <c:smooth val="0"/>
                <c:extLst xmlns:c15="http://schemas.microsoft.com/office/drawing/2012/chart">
                  <c:ext xmlns:c16="http://schemas.microsoft.com/office/drawing/2014/chart" uri="{C3380CC4-5D6E-409C-BE32-E72D297353CC}">
                    <c16:uniqueId val="{00000020-A63F-4801-AF96-4847765587D8}"/>
                  </c:ext>
                </c:extLst>
              </c15:ser>
            </c15:filteredLineSeries>
            <c15:filteredLineSeries>
              <c15:ser>
                <c:idx val="9"/>
                <c:order val="3"/>
                <c:tx>
                  <c:v>PSI(1%) Pre-Tax Non-Capital</c:v>
                </c:tx>
                <c:spPr>
                  <a:ln w="28575" cap="rnd">
                    <a:solidFill>
                      <a:schemeClr val="accent4">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'USA Labor Year by Year Thres'!$V$3:$V$37</c15:sqref>
                        </c15:formulaRef>
                      </c:ext>
                    </c:extLst>
                    <c:numCache>
                      <c:formatCode>0.00%</c:formatCode>
                      <c:ptCount val="35"/>
                      <c:pt idx="0">
                        <c:v>-1.7362251041042387E-2</c:v>
                      </c:pt>
                      <c:pt idx="1">
                        <c:v>5.9684468634384036E-2</c:v>
                      </c:pt>
                      <c:pt idx="2">
                        <c:v>0.11860431904796775</c:v>
                      </c:pt>
                      <c:pt idx="3">
                        <c:v>0.15429485136206145</c:v>
                      </c:pt>
                      <c:pt idx="4">
                        <c:v>0.20666679288460221</c:v>
                      </c:pt>
                      <c:pt idx="5">
                        <c:v>0.21894090074079964</c:v>
                      </c:pt>
                      <c:pt idx="6">
                        <c:v>0.2236844209726172</c:v>
                      </c:pt>
                      <c:pt idx="7">
                        <c:v>0.28696302536309837</c:v>
                      </c:pt>
                      <c:pt idx="8">
                        <c:v>0.39537546347991581</c:v>
                      </c:pt>
                      <c:pt idx="9">
                        <c:v>0.36207596735201952</c:v>
                      </c:pt>
                      <c:pt idx="10">
                        <c:v>0.46148897722086524</c:v>
                      </c:pt>
                      <c:pt idx="11">
                        <c:v>0.49753681653964699</c:v>
                      </c:pt>
                      <c:pt idx="12">
                        <c:v>0.61321530443315941</c:v>
                      </c:pt>
                      <c:pt idx="13">
                        <c:v>0.57176248081262293</c:v>
                      </c:pt>
                      <c:pt idx="14">
                        <c:v>0.55786767992608732</c:v>
                      </c:pt>
                      <c:pt idx="15">
                        <c:v>0.61327942280950043</c:v>
                      </c:pt>
                      <c:pt idx="16">
                        <c:v>0.75032099939147878</c:v>
                      </c:pt>
                      <c:pt idx="17">
                        <c:v>0.85911037754829733</c:v>
                      </c:pt>
                      <c:pt idx="18">
                        <c:v>0.88889981952555552</c:v>
                      </c:pt>
                      <c:pt idx="19">
                        <c:v>0.9761495761162946</c:v>
                      </c:pt>
                      <c:pt idx="20">
                        <c:v>1.0502074526767928</c:v>
                      </c:pt>
                      <c:pt idx="21">
                        <c:v>0.93820092456616111</c:v>
                      </c:pt>
                      <c:pt idx="22">
                        <c:v>0.88436491594211275</c:v>
                      </c:pt>
                      <c:pt idx="23">
                        <c:v>0.89107932743250196</c:v>
                      </c:pt>
                      <c:pt idx="24">
                        <c:v>0.98136927662155449</c:v>
                      </c:pt>
                      <c:pt idx="25">
                        <c:v>1.0623348544858966</c:v>
                      </c:pt>
                      <c:pt idx="26">
                        <c:v>1.1088145418300952</c:v>
                      </c:pt>
                      <c:pt idx="27">
                        <c:v>1.2287372510662111</c:v>
                      </c:pt>
                      <c:pt idx="28">
                        <c:v>1.3265769115040005</c:v>
                      </c:pt>
                      <c:pt idx="29">
                        <c:v>1.3227805463214559</c:v>
                      </c:pt>
                      <c:pt idx="30">
                        <c:v>1.4085488517089373</c:v>
                      </c:pt>
                      <c:pt idx="31">
                        <c:v>1.4362616175485559</c:v>
                      </c:pt>
                      <c:pt idx="32">
                        <c:v>1.5524665187015976</c:v>
                      </c:pt>
                      <c:pt idx="33">
                        <c:v>1.490706177924928</c:v>
                      </c:pt>
                      <c:pt idx="34">
                        <c:v>1.9383270902052003</c:v>
                      </c:pt>
                    </c:numCache>
                  </c:numRef>
                </c:val>
                <c:smooth val="0"/>
                <c:extLst xmlns:c15="http://schemas.microsoft.com/office/drawing/2012/chart">
                  <c:ext xmlns:c16="http://schemas.microsoft.com/office/drawing/2014/chart" uri="{C3380CC4-5D6E-409C-BE32-E72D297353CC}">
                    <c16:uniqueId val="{00000021-A63F-4801-AF96-4847765587D8}"/>
                  </c:ext>
                </c:extLst>
              </c15:ser>
            </c15:filteredLineSeries>
            <c15:filteredLineSeries>
              <c15:ser>
                <c:idx val="10"/>
                <c:order val="4"/>
                <c:tx>
                  <c:v>PSI(10% to 1%) Non-Capital</c:v>
                </c:tx>
                <c:spPr>
                  <a:ln w="28575" cap="rnd">
                    <a:solidFill>
                      <a:schemeClr val="accent5">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'USA Labor Year by Year Thres'!$W$3:$W$37</c15:sqref>
                        </c15:formulaRef>
                      </c:ext>
                    </c:extLst>
                    <c:numCache>
                      <c:formatCode>0.00%</c:formatCode>
                      <c:ptCount val="35"/>
                      <c:pt idx="0">
                        <c:v>-0.19060516126271676</c:v>
                      </c:pt>
                      <c:pt idx="1">
                        <c:v>-0.16091899932194498</c:v>
                      </c:pt>
                      <c:pt idx="2">
                        <c:v>-0.1403531455438064</c:v>
                      </c:pt>
                      <c:pt idx="3">
                        <c:v>-0.12157197000710207</c:v>
                      </c:pt>
                      <c:pt idx="4">
                        <c:v>-0.13521747070223811</c:v>
                      </c:pt>
                      <c:pt idx="5">
                        <c:v>-0.12674579105301098</c:v>
                      </c:pt>
                      <c:pt idx="6">
                        <c:v>-0.1171389128420639</c:v>
                      </c:pt>
                      <c:pt idx="7">
                        <c:v>-0.12979933207025973</c:v>
                      </c:pt>
                      <c:pt idx="8">
                        <c:v>-0.15019408449901805</c:v>
                      </c:pt>
                      <c:pt idx="9">
                        <c:v>-0.12951076746781043</c:v>
                      </c:pt>
                      <c:pt idx="10">
                        <c:v>-0.11052071299860544</c:v>
                      </c:pt>
                      <c:pt idx="11">
                        <c:v>-5.7906007595424192E-2</c:v>
                      </c:pt>
                      <c:pt idx="12">
                        <c:v>-6.5677386577641772E-2</c:v>
                      </c:pt>
                      <c:pt idx="13">
                        <c:v>-5.0674521838799169E-2</c:v>
                      </c:pt>
                      <c:pt idx="14">
                        <c:v>-4.001488721812696E-2</c:v>
                      </c:pt>
                      <c:pt idx="15">
                        <c:v>-3.9197200850129787E-2</c:v>
                      </c:pt>
                      <c:pt idx="16">
                        <c:v>-2.2554764455489873E-2</c:v>
                      </c:pt>
                      <c:pt idx="17">
                        <c:v>-2.1715054895823149E-2</c:v>
                      </c:pt>
                      <c:pt idx="18">
                        <c:v>-2.9183735867295835E-2</c:v>
                      </c:pt>
                      <c:pt idx="19">
                        <c:v>-3.7437770377883761E-2</c:v>
                      </c:pt>
                      <c:pt idx="20">
                        <c:v>-4.8658956172420109E-2</c:v>
                      </c:pt>
                      <c:pt idx="21">
                        <c:v>-3.2145279213117384E-2</c:v>
                      </c:pt>
                      <c:pt idx="22">
                        <c:v>-1.50169905815698E-2</c:v>
                      </c:pt>
                      <c:pt idx="23">
                        <c:v>-9.9245592958607798E-3</c:v>
                      </c:pt>
                      <c:pt idx="24">
                        <c:v>-1.9118131351341883E-2</c:v>
                      </c:pt>
                      <c:pt idx="25">
                        <c:v>-2.4879134224747634E-2</c:v>
                      </c:pt>
                      <c:pt idx="26">
                        <c:v>-2.280028484992247E-2</c:v>
                      </c:pt>
                      <c:pt idx="27">
                        <c:v>1.721921584265429E-3</c:v>
                      </c:pt>
                      <c:pt idx="28">
                        <c:v>4.007153983976508E-2</c:v>
                      </c:pt>
                      <c:pt idx="29">
                        <c:v>0.1022997214529866</c:v>
                      </c:pt>
                      <c:pt idx="30">
                        <c:v>0.10522456560802773</c:v>
                      </c:pt>
                      <c:pt idx="31">
                        <c:v>0.12402673359045124</c:v>
                      </c:pt>
                      <c:pt idx="32">
                        <c:v>0.11492135517161528</c:v>
                      </c:pt>
                      <c:pt idx="33">
                        <c:v>0.12349885012225847</c:v>
                      </c:pt>
                      <c:pt idx="34">
                        <c:v>0.20420730942597731</c:v>
                      </c:pt>
                    </c:numCache>
                  </c:numRef>
                </c:val>
                <c:smooth val="0"/>
                <c:extLst xmlns:c15="http://schemas.microsoft.com/office/drawing/2012/chart">
                  <c:ext xmlns:c16="http://schemas.microsoft.com/office/drawing/2014/chart" uri="{C3380CC4-5D6E-409C-BE32-E72D297353CC}">
                    <c16:uniqueId val="{00000022-A63F-4801-AF96-4847765587D8}"/>
                  </c:ext>
                </c:extLst>
              </c15:ser>
            </c15:filteredLineSeries>
            <c15:filteredLineSeries>
              <c15:ser>
                <c:idx val="11"/>
                <c:order val="5"/>
                <c:tx>
                  <c:v>PSI(90%) Non-Capital</c:v>
                </c:tx>
                <c:spPr>
                  <a:ln w="28575" cap="rnd">
                    <a:solidFill>
                      <a:schemeClr val="accent6">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'USA Labor Year by Year Thres'!$X$3:$X$37</c15:sqref>
                        </c15:formulaRef>
                      </c:ext>
                    </c:extLst>
                    <c:numCache>
                      <c:formatCode>0.00%</c:formatCode>
                      <c:ptCount val="35"/>
                      <c:pt idx="0">
                        <c:v>8.0021643710974644E-2</c:v>
                      </c:pt>
                      <c:pt idx="1">
                        <c:v>5.7118631479106563E-2</c:v>
                      </c:pt>
                      <c:pt idx="2">
                        <c:v>4.2671158562777256E-2</c:v>
                      </c:pt>
                      <c:pt idx="3">
                        <c:v>3.1541562496928632E-2</c:v>
                      </c:pt>
                      <c:pt idx="4">
                        <c:v>3.182643870528401E-2</c:v>
                      </c:pt>
                      <c:pt idx="5">
                        <c:v>2.71537300501139E-2</c:v>
                      </c:pt>
                      <c:pt idx="6">
                        <c:v>2.2814058541125171E-2</c:v>
                      </c:pt>
                      <c:pt idx="7">
                        <c:v>2.1038271834391775E-2</c:v>
                      </c:pt>
                      <c:pt idx="8">
                        <c:v>1.6698496662933771E-2</c:v>
                      </c:pt>
                      <c:pt idx="9">
                        <c:v>1.2249769150188161E-2</c:v>
                      </c:pt>
                      <c:pt idx="10">
                        <c:v>-5.4077506243346285E-3</c:v>
                      </c:pt>
                      <c:pt idx="11">
                        <c:v>-2.6356499115098964E-2</c:v>
                      </c:pt>
                      <c:pt idx="12">
                        <c:v>-3.6100168326923088E-2</c:v>
                      </c:pt>
                      <c:pt idx="13">
                        <c:v>-3.644514002781174E-2</c:v>
                      </c:pt>
                      <c:pt idx="14">
                        <c:v>-3.8398998036613508E-2</c:v>
                      </c:pt>
                      <c:pt idx="15">
                        <c:v>-4.479378588622307E-2</c:v>
                      </c:pt>
                      <c:pt idx="16">
                        <c:v>-6.2581802251656438E-2</c:v>
                      </c:pt>
                      <c:pt idx="17">
                        <c:v>-7.3088537472670745E-2</c:v>
                      </c:pt>
                      <c:pt idx="18">
                        <c:v>-7.5389794970226798E-2</c:v>
                      </c:pt>
                      <c:pt idx="19">
                        <c:v>-8.2923447063290467E-2</c:v>
                      </c:pt>
                      <c:pt idx="20">
                        <c:v>-8.8911002432439878E-2</c:v>
                      </c:pt>
                      <c:pt idx="21">
                        <c:v>-8.1296837887824935E-2</c:v>
                      </c:pt>
                      <c:pt idx="22">
                        <c:v>-7.9200191012409049E-2</c:v>
                      </c:pt>
                      <c:pt idx="23">
                        <c:v>-8.1034997283525145E-2</c:v>
                      </c:pt>
                      <c:pt idx="24">
                        <c:v>-8.7209625494059972E-2</c:v>
                      </c:pt>
                      <c:pt idx="25">
                        <c:v>-9.4304987602664259E-2</c:v>
                      </c:pt>
                      <c:pt idx="26">
                        <c:v>-0.10050420973022411</c:v>
                      </c:pt>
                      <c:pt idx="27">
                        <c:v>-0.11382672421329521</c:v>
                      </c:pt>
                      <c:pt idx="28">
                        <c:v>-0.12657499498065683</c:v>
                      </c:pt>
                      <c:pt idx="29">
                        <c:v>-0.13330985891590463</c:v>
                      </c:pt>
                      <c:pt idx="30">
                        <c:v>-0.1426453805799387</c:v>
                      </c:pt>
                      <c:pt idx="31">
                        <c:v>-0.15056838721699395</c:v>
                      </c:pt>
                      <c:pt idx="32">
                        <c:v>-0.15982573229990216</c:v>
                      </c:pt>
                      <c:pt idx="33">
                        <c:v>-0.15485575446965005</c:v>
                      </c:pt>
                      <c:pt idx="34">
                        <c:v>-0.18657611252791007</c:v>
                      </c:pt>
                    </c:numCache>
                  </c:numRef>
                </c:val>
                <c:smooth val="0"/>
                <c:extLst xmlns:c15="http://schemas.microsoft.com/office/drawing/2012/chart">
                  <c:ext xmlns:c16="http://schemas.microsoft.com/office/drawing/2014/chart" uri="{C3380CC4-5D6E-409C-BE32-E72D297353CC}">
                    <c16:uniqueId val="{00000023-A63F-4801-AF96-4847765587D8}"/>
                  </c:ext>
                </c:extLst>
              </c15:ser>
            </c15:filteredLineSeries>
          </c:ext>
        </c:extLst>
      </c:lineChart>
      <c:catAx>
        <c:axId val="104969432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4864"/>
        <c:crosses val="autoZero"/>
        <c:auto val="1"/>
        <c:lblAlgn val="ctr"/>
        <c:lblOffset val="100"/>
        <c:noMultiLvlLbl val="0"/>
      </c:catAx>
      <c:valAx>
        <c:axId val="1045444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9694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a:t>
            </a:r>
            <a:r>
              <a:rPr lang="en-US" baseline="0"/>
              <a:t> </a:t>
            </a:r>
            <a:r>
              <a:rPr lang="en-US"/>
              <a:t>Tax PSI -USA using</a:t>
            </a:r>
            <a:r>
              <a:rPr lang="en-US" baseline="0"/>
              <a:t> average 99.9%</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'USA Capital Year by Year Avg'!$X$2</c:f>
              <c:strCache>
                <c:ptCount val="1"/>
                <c:pt idx="0">
                  <c:v>PSI(1%) Pre-Tax</c:v>
                </c:pt>
              </c:strCache>
            </c:strRef>
          </c:tx>
          <c:spPr>
            <a:ln w="28575" cap="rnd">
              <a:solidFill>
                <a:srgbClr val="FF0000"/>
              </a:solidFill>
              <a:prstDash val="dash"/>
              <a:round/>
            </a:ln>
            <a:effectLst/>
          </c:spPr>
          <c:marker>
            <c:symbol val="none"/>
          </c:marker>
          <c:cat>
            <c:numRef>
              <c:f>'USA Capital Year by Year Avg'!$A$3:$A$92</c:f>
              <c:numCache>
                <c:formatCode>General</c:formatCode>
                <c:ptCount val="90"/>
                <c:pt idx="0">
                  <c:v>1930</c:v>
                </c:pt>
                <c:pt idx="1">
                  <c:v>1931</c:v>
                </c:pt>
                <c:pt idx="2">
                  <c:v>1932</c:v>
                </c:pt>
                <c:pt idx="3">
                  <c:v>1933</c:v>
                </c:pt>
                <c:pt idx="4">
                  <c:v>1934</c:v>
                </c:pt>
                <c:pt idx="5">
                  <c:v>1935</c:v>
                </c:pt>
                <c:pt idx="6">
                  <c:v>1936</c:v>
                </c:pt>
                <c:pt idx="7">
                  <c:v>1937</c:v>
                </c:pt>
                <c:pt idx="8">
                  <c:v>1938</c:v>
                </c:pt>
                <c:pt idx="9">
                  <c:v>1939</c:v>
                </c:pt>
                <c:pt idx="10">
                  <c:v>1940</c:v>
                </c:pt>
                <c:pt idx="11">
                  <c:v>1941</c:v>
                </c:pt>
                <c:pt idx="12">
                  <c:v>1942</c:v>
                </c:pt>
                <c:pt idx="13">
                  <c:v>1943</c:v>
                </c:pt>
                <c:pt idx="14">
                  <c:v>1944</c:v>
                </c:pt>
                <c:pt idx="15">
                  <c:v>1945</c:v>
                </c:pt>
                <c:pt idx="16">
                  <c:v>1946</c:v>
                </c:pt>
                <c:pt idx="17">
                  <c:v>1947</c:v>
                </c:pt>
                <c:pt idx="18">
                  <c:v>1948</c:v>
                </c:pt>
                <c:pt idx="19">
                  <c:v>1949</c:v>
                </c:pt>
                <c:pt idx="20">
                  <c:v>1950</c:v>
                </c:pt>
                <c:pt idx="21">
                  <c:v>1951</c:v>
                </c:pt>
                <c:pt idx="22">
                  <c:v>1952</c:v>
                </c:pt>
                <c:pt idx="23">
                  <c:v>1953</c:v>
                </c:pt>
                <c:pt idx="24">
                  <c:v>1954</c:v>
                </c:pt>
                <c:pt idx="25">
                  <c:v>1955</c:v>
                </c:pt>
                <c:pt idx="26">
                  <c:v>1956</c:v>
                </c:pt>
                <c:pt idx="27">
                  <c:v>1957</c:v>
                </c:pt>
                <c:pt idx="28">
                  <c:v>1958</c:v>
                </c:pt>
                <c:pt idx="29">
                  <c:v>1959</c:v>
                </c:pt>
                <c:pt idx="30">
                  <c:v>1960</c:v>
                </c:pt>
                <c:pt idx="31">
                  <c:v>1961</c:v>
                </c:pt>
                <c:pt idx="32">
                  <c:v>1962</c:v>
                </c:pt>
                <c:pt idx="33">
                  <c:v>1963</c:v>
                </c:pt>
                <c:pt idx="34">
                  <c:v>1964</c:v>
                </c:pt>
                <c:pt idx="35">
                  <c:v>1965</c:v>
                </c:pt>
                <c:pt idx="36">
                  <c:v>1966</c:v>
                </c:pt>
                <c:pt idx="37">
                  <c:v>1967</c:v>
                </c:pt>
                <c:pt idx="38">
                  <c:v>1968</c:v>
                </c:pt>
                <c:pt idx="39">
                  <c:v>1969</c:v>
                </c:pt>
                <c:pt idx="40">
                  <c:v>1970</c:v>
                </c:pt>
                <c:pt idx="41">
                  <c:v>1971</c:v>
                </c:pt>
                <c:pt idx="42">
                  <c:v>1972</c:v>
                </c:pt>
                <c:pt idx="43">
                  <c:v>1973</c:v>
                </c:pt>
                <c:pt idx="44">
                  <c:v>1974</c:v>
                </c:pt>
                <c:pt idx="45">
                  <c:v>1975</c:v>
                </c:pt>
                <c:pt idx="46">
                  <c:v>1976</c:v>
                </c:pt>
                <c:pt idx="47">
                  <c:v>1977</c:v>
                </c:pt>
                <c:pt idx="48">
                  <c:v>1978</c:v>
                </c:pt>
                <c:pt idx="49">
                  <c:v>1979</c:v>
                </c:pt>
                <c:pt idx="50">
                  <c:v>1980</c:v>
                </c:pt>
                <c:pt idx="51">
                  <c:v>1981</c:v>
                </c:pt>
                <c:pt idx="52">
                  <c:v>1982</c:v>
                </c:pt>
                <c:pt idx="53">
                  <c:v>1983</c:v>
                </c:pt>
                <c:pt idx="54">
                  <c:v>1984</c:v>
                </c:pt>
                <c:pt idx="55">
                  <c:v>1985</c:v>
                </c:pt>
                <c:pt idx="56">
                  <c:v>1986</c:v>
                </c:pt>
                <c:pt idx="57">
                  <c:v>1987</c:v>
                </c:pt>
                <c:pt idx="58">
                  <c:v>1988</c:v>
                </c:pt>
                <c:pt idx="59">
                  <c:v>1989</c:v>
                </c:pt>
                <c:pt idx="60">
                  <c:v>1990</c:v>
                </c:pt>
                <c:pt idx="61">
                  <c:v>1991</c:v>
                </c:pt>
                <c:pt idx="62">
                  <c:v>1992</c:v>
                </c:pt>
                <c:pt idx="63">
                  <c:v>1993</c:v>
                </c:pt>
                <c:pt idx="64">
                  <c:v>1994</c:v>
                </c:pt>
                <c:pt idx="65">
                  <c:v>1995</c:v>
                </c:pt>
                <c:pt idx="66">
                  <c:v>1996</c:v>
                </c:pt>
                <c:pt idx="67">
                  <c:v>1997</c:v>
                </c:pt>
                <c:pt idx="68">
                  <c:v>1998</c:v>
                </c:pt>
                <c:pt idx="69">
                  <c:v>1999</c:v>
                </c:pt>
                <c:pt idx="70">
                  <c:v>2000</c:v>
                </c:pt>
                <c:pt idx="71">
                  <c:v>2001</c:v>
                </c:pt>
                <c:pt idx="72">
                  <c:v>2002</c:v>
                </c:pt>
                <c:pt idx="73">
                  <c:v>2003</c:v>
                </c:pt>
                <c:pt idx="74">
                  <c:v>2004</c:v>
                </c:pt>
                <c:pt idx="75">
                  <c:v>2005</c:v>
                </c:pt>
                <c:pt idx="76">
                  <c:v>2006</c:v>
                </c:pt>
                <c:pt idx="77">
                  <c:v>2007</c:v>
                </c:pt>
                <c:pt idx="78">
                  <c:v>2008</c:v>
                </c:pt>
                <c:pt idx="79">
                  <c:v>2009</c:v>
                </c:pt>
                <c:pt idx="80">
                  <c:v>2010</c:v>
                </c:pt>
                <c:pt idx="81">
                  <c:v>2011</c:v>
                </c:pt>
                <c:pt idx="82">
                  <c:v>2012</c:v>
                </c:pt>
                <c:pt idx="83">
                  <c:v>2013</c:v>
                </c:pt>
                <c:pt idx="84">
                  <c:v>2014</c:v>
                </c:pt>
                <c:pt idx="85">
                  <c:v>2015</c:v>
                </c:pt>
                <c:pt idx="86">
                  <c:v>2016</c:v>
                </c:pt>
                <c:pt idx="87">
                  <c:v>2017</c:v>
                </c:pt>
                <c:pt idx="88">
                  <c:v>2018</c:v>
                </c:pt>
                <c:pt idx="89">
                  <c:v>2019</c:v>
                </c:pt>
              </c:numCache>
            </c:numRef>
          </c:cat>
          <c:val>
            <c:numRef>
              <c:f>'USA Capital Year by Year Avg'!$X$3:$X$87</c:f>
              <c:numCache>
                <c:formatCode>0.00%</c:formatCode>
                <c:ptCount val="85"/>
                <c:pt idx="0">
                  <c:v>-8.4515287800717154E-2</c:v>
                </c:pt>
                <c:pt idx="1">
                  <c:v>-0.16697248764906081</c:v>
                </c:pt>
                <c:pt idx="2">
                  <c:v>-0.18396132244774765</c:v>
                </c:pt>
                <c:pt idx="3">
                  <c:v>-0.140247092716971</c:v>
                </c:pt>
                <c:pt idx="4">
                  <c:v>-8.6940685924702166E-2</c:v>
                </c:pt>
                <c:pt idx="5">
                  <c:v>-9.7515111253132503E-2</c:v>
                </c:pt>
                <c:pt idx="6">
                  <c:v>-4.5085675810701997E-2</c:v>
                </c:pt>
                <c:pt idx="7">
                  <c:v>-5.1310317192842181E-2</c:v>
                </c:pt>
                <c:pt idx="8">
                  <c:v>-9.6160194806632848E-2</c:v>
                </c:pt>
                <c:pt idx="9">
                  <c:v>-6.2033567218573227E-2</c:v>
                </c:pt>
                <c:pt idx="10">
                  <c:v>-5.3737227909416485E-2</c:v>
                </c:pt>
                <c:pt idx="11">
                  <c:v>-7.0956669706641495E-2</c:v>
                </c:pt>
                <c:pt idx="12">
                  <c:v>-0.1221398617253403</c:v>
                </c:pt>
                <c:pt idx="13">
                  <c:v>-0.17464361328410949</c:v>
                </c:pt>
                <c:pt idx="14">
                  <c:v>-0.25752559036956346</c:v>
                </c:pt>
                <c:pt idx="15">
                  <c:v>-0.25236721304785625</c:v>
                </c:pt>
                <c:pt idx="16">
                  <c:v>-0.20281457642551093</c:v>
                </c:pt>
                <c:pt idx="17">
                  <c:v>-0.16252312236017785</c:v>
                </c:pt>
                <c:pt idx="18">
                  <c:v>-0.11004098635154924</c:v>
                </c:pt>
                <c:pt idx="19">
                  <c:v>-0.130556955903811</c:v>
                </c:pt>
                <c:pt idx="20">
                  <c:v>-0.10961815398302266</c:v>
                </c:pt>
                <c:pt idx="21">
                  <c:v>-0.13344625083228756</c:v>
                </c:pt>
                <c:pt idx="22">
                  <c:v>-0.16282586700177692</c:v>
                </c:pt>
                <c:pt idx="23">
                  <c:v>-0.20458069149136915</c:v>
                </c:pt>
                <c:pt idx="24">
                  <c:v>-0.18381673651684827</c:v>
                </c:pt>
                <c:pt idx="25">
                  <c:v>-0.17429265162250762</c:v>
                </c:pt>
                <c:pt idx="26">
                  <c:v>-0.20042715670881117</c:v>
                </c:pt>
                <c:pt idx="27">
                  <c:v>-0.19747406095838937</c:v>
                </c:pt>
                <c:pt idx="28">
                  <c:v>-0.20712999384850872</c:v>
                </c:pt>
                <c:pt idx="29">
                  <c:v>-0.19183256833111972</c:v>
                </c:pt>
                <c:pt idx="30">
                  <c:v>-0.21562356930375015</c:v>
                </c:pt>
                <c:pt idx="31">
                  <c:v>-0.21975883788014605</c:v>
                </c:pt>
                <c:pt idx="32">
                  <c:v>-0.21848251012931452</c:v>
                </c:pt>
                <c:pt idx="33">
                  <c:v>-0.21354463354211684</c:v>
                </c:pt>
                <c:pt idx="34">
                  <c:v>-0.20985887697340044</c:v>
                </c:pt>
                <c:pt idx="35">
                  <c:v>-0.21992453464089012</c:v>
                </c:pt>
                <c:pt idx="36">
                  <c:v>-0.22658675025593589</c:v>
                </c:pt>
                <c:pt idx="37">
                  <c:v>-0.23353234288585623</c:v>
                </c:pt>
                <c:pt idx="38">
                  <c:v>-0.2173799232663356</c:v>
                </c:pt>
                <c:pt idx="39">
                  <c:v>-0.25416167934692679</c:v>
                </c:pt>
                <c:pt idx="40">
                  <c:v>-0.25228747746528268</c:v>
                </c:pt>
                <c:pt idx="41">
                  <c:v>-0.22879778442716192</c:v>
                </c:pt>
                <c:pt idx="42">
                  <c:v>-0.22409781481536784</c:v>
                </c:pt>
                <c:pt idx="43">
                  <c:v>-0.21098618921729395</c:v>
                </c:pt>
                <c:pt idx="44">
                  <c:v>-0.19980312177864212</c:v>
                </c:pt>
                <c:pt idx="45">
                  <c:v>-0.16728404122570639</c:v>
                </c:pt>
                <c:pt idx="46">
                  <c:v>-0.16634023340561532</c:v>
                </c:pt>
                <c:pt idx="47">
                  <c:v>-0.1394922681133921</c:v>
                </c:pt>
                <c:pt idx="48">
                  <c:v>-0.13276158495505064</c:v>
                </c:pt>
                <c:pt idx="49">
                  <c:v>-9.0421396289740108E-2</c:v>
                </c:pt>
                <c:pt idx="50">
                  <c:v>-6.5799422557029974E-2</c:v>
                </c:pt>
                <c:pt idx="51">
                  <c:v>-6.864250049425924E-3</c:v>
                </c:pt>
                <c:pt idx="52">
                  <c:v>2.1789831853835429E-2</c:v>
                </c:pt>
                <c:pt idx="53">
                  <c:v>4.5159904809427998E-2</c:v>
                </c:pt>
                <c:pt idx="54">
                  <c:v>8.6074529237928576E-2</c:v>
                </c:pt>
                <c:pt idx="55">
                  <c:v>9.625362003017357E-2</c:v>
                </c:pt>
                <c:pt idx="56">
                  <c:v>9.425282852364858E-2</c:v>
                </c:pt>
                <c:pt idx="57">
                  <c:v>0.15873067736592028</c:v>
                </c:pt>
                <c:pt idx="58">
                  <c:v>0.22178424339620384</c:v>
                </c:pt>
                <c:pt idx="59">
                  <c:v>0.2245613121776604</c:v>
                </c:pt>
                <c:pt idx="60">
                  <c:v>0.29410628867268884</c:v>
                </c:pt>
                <c:pt idx="61">
                  <c:v>0.32839320080040224</c:v>
                </c:pt>
                <c:pt idx="62">
                  <c:v>0.39129165279712308</c:v>
                </c:pt>
                <c:pt idx="63">
                  <c:v>0.37685512507207419</c:v>
                </c:pt>
                <c:pt idx="64">
                  <c:v>0.37909323745441337</c:v>
                </c:pt>
                <c:pt idx="65">
                  <c:v>0.41549197571780772</c:v>
                </c:pt>
                <c:pt idx="66">
                  <c:v>0.49308110307264141</c:v>
                </c:pt>
                <c:pt idx="67">
                  <c:v>0.55422795620977627</c:v>
                </c:pt>
                <c:pt idx="68">
                  <c:v>0.56693620167909153</c:v>
                </c:pt>
                <c:pt idx="69">
                  <c:v>0.60246297583998398</c:v>
                </c:pt>
                <c:pt idx="70">
                  <c:v>0.62636992389140267</c:v>
                </c:pt>
                <c:pt idx="71">
                  <c:v>0.58776073467701595</c:v>
                </c:pt>
                <c:pt idx="72">
                  <c:v>0.58915952720434706</c:v>
                </c:pt>
                <c:pt idx="73">
                  <c:v>0.59708887736059979</c:v>
                </c:pt>
                <c:pt idx="74">
                  <c:v>0.65334505280521937</c:v>
                </c:pt>
                <c:pt idx="75">
                  <c:v>0.70664257420233145</c:v>
                </c:pt>
                <c:pt idx="76">
                  <c:v>0.75587179976226881</c:v>
                </c:pt>
                <c:pt idx="77">
                  <c:v>0.82354152096559807</c:v>
                </c:pt>
                <c:pt idx="78">
                  <c:v>0.89036372617626491</c:v>
                </c:pt>
                <c:pt idx="79">
                  <c:v>0.89701671145615469</c:v>
                </c:pt>
                <c:pt idx="80">
                  <c:v>0.96241030670026007</c:v>
                </c:pt>
                <c:pt idx="81">
                  <c:v>0.97597226017943783</c:v>
                </c:pt>
                <c:pt idx="82">
                  <c:v>1.0426702293944348</c:v>
                </c:pt>
                <c:pt idx="83">
                  <c:v>0.99387293406483934</c:v>
                </c:pt>
                <c:pt idx="84">
                  <c:v>1.0237743579630028</c:v>
                </c:pt>
              </c:numCache>
            </c:numRef>
          </c:val>
          <c:smooth val="0"/>
          <c:extLst>
            <c:ext xmlns:c16="http://schemas.microsoft.com/office/drawing/2014/chart" uri="{C3380CC4-5D6E-409C-BE32-E72D297353CC}">
              <c16:uniqueId val="{00000000-305C-4E81-9B3F-2991DAE6CAED}"/>
            </c:ext>
          </c:extLst>
        </c:ser>
        <c:ser>
          <c:idx val="1"/>
          <c:order val="1"/>
          <c:tx>
            <c:strRef>
              <c:f>'USA Capital Year by Year Avg'!$Y$2</c:f>
              <c:strCache>
                <c:ptCount val="1"/>
                <c:pt idx="0">
                  <c:v>PSI(10% to 1%) Pre-Tax</c:v>
                </c:pt>
              </c:strCache>
            </c:strRef>
          </c:tx>
          <c:spPr>
            <a:ln w="28575" cap="rnd">
              <a:solidFill>
                <a:srgbClr val="00B050"/>
              </a:solidFill>
              <a:prstDash val="dash"/>
              <a:round/>
            </a:ln>
            <a:effectLst/>
          </c:spPr>
          <c:marker>
            <c:symbol val="none"/>
          </c:marker>
          <c:cat>
            <c:numRef>
              <c:f>'USA Capital Year by Year Avg'!$A$3:$A$92</c:f>
              <c:numCache>
                <c:formatCode>General</c:formatCode>
                <c:ptCount val="90"/>
                <c:pt idx="0">
                  <c:v>1930</c:v>
                </c:pt>
                <c:pt idx="1">
                  <c:v>1931</c:v>
                </c:pt>
                <c:pt idx="2">
                  <c:v>1932</c:v>
                </c:pt>
                <c:pt idx="3">
                  <c:v>1933</c:v>
                </c:pt>
                <c:pt idx="4">
                  <c:v>1934</c:v>
                </c:pt>
                <c:pt idx="5">
                  <c:v>1935</c:v>
                </c:pt>
                <c:pt idx="6">
                  <c:v>1936</c:v>
                </c:pt>
                <c:pt idx="7">
                  <c:v>1937</c:v>
                </c:pt>
                <c:pt idx="8">
                  <c:v>1938</c:v>
                </c:pt>
                <c:pt idx="9">
                  <c:v>1939</c:v>
                </c:pt>
                <c:pt idx="10">
                  <c:v>1940</c:v>
                </c:pt>
                <c:pt idx="11">
                  <c:v>1941</c:v>
                </c:pt>
                <c:pt idx="12">
                  <c:v>1942</c:v>
                </c:pt>
                <c:pt idx="13">
                  <c:v>1943</c:v>
                </c:pt>
                <c:pt idx="14">
                  <c:v>1944</c:v>
                </c:pt>
                <c:pt idx="15">
                  <c:v>1945</c:v>
                </c:pt>
                <c:pt idx="16">
                  <c:v>1946</c:v>
                </c:pt>
                <c:pt idx="17">
                  <c:v>1947</c:v>
                </c:pt>
                <c:pt idx="18">
                  <c:v>1948</c:v>
                </c:pt>
                <c:pt idx="19">
                  <c:v>1949</c:v>
                </c:pt>
                <c:pt idx="20">
                  <c:v>1950</c:v>
                </c:pt>
                <c:pt idx="21">
                  <c:v>1951</c:v>
                </c:pt>
                <c:pt idx="22">
                  <c:v>1952</c:v>
                </c:pt>
                <c:pt idx="23">
                  <c:v>1953</c:v>
                </c:pt>
                <c:pt idx="24">
                  <c:v>1954</c:v>
                </c:pt>
                <c:pt idx="25">
                  <c:v>1955</c:v>
                </c:pt>
                <c:pt idx="26">
                  <c:v>1956</c:v>
                </c:pt>
                <c:pt idx="27">
                  <c:v>1957</c:v>
                </c:pt>
                <c:pt idx="28">
                  <c:v>1958</c:v>
                </c:pt>
                <c:pt idx="29">
                  <c:v>1959</c:v>
                </c:pt>
                <c:pt idx="30">
                  <c:v>1960</c:v>
                </c:pt>
                <c:pt idx="31">
                  <c:v>1961</c:v>
                </c:pt>
                <c:pt idx="32">
                  <c:v>1962</c:v>
                </c:pt>
                <c:pt idx="33">
                  <c:v>1963</c:v>
                </c:pt>
                <c:pt idx="34">
                  <c:v>1964</c:v>
                </c:pt>
                <c:pt idx="35">
                  <c:v>1965</c:v>
                </c:pt>
                <c:pt idx="36">
                  <c:v>1966</c:v>
                </c:pt>
                <c:pt idx="37">
                  <c:v>1967</c:v>
                </c:pt>
                <c:pt idx="38">
                  <c:v>1968</c:v>
                </c:pt>
                <c:pt idx="39">
                  <c:v>1969</c:v>
                </c:pt>
                <c:pt idx="40">
                  <c:v>1970</c:v>
                </c:pt>
                <c:pt idx="41">
                  <c:v>1971</c:v>
                </c:pt>
                <c:pt idx="42">
                  <c:v>1972</c:v>
                </c:pt>
                <c:pt idx="43">
                  <c:v>1973</c:v>
                </c:pt>
                <c:pt idx="44">
                  <c:v>1974</c:v>
                </c:pt>
                <c:pt idx="45">
                  <c:v>1975</c:v>
                </c:pt>
                <c:pt idx="46">
                  <c:v>1976</c:v>
                </c:pt>
                <c:pt idx="47">
                  <c:v>1977</c:v>
                </c:pt>
                <c:pt idx="48">
                  <c:v>1978</c:v>
                </c:pt>
                <c:pt idx="49">
                  <c:v>1979</c:v>
                </c:pt>
                <c:pt idx="50">
                  <c:v>1980</c:v>
                </c:pt>
                <c:pt idx="51">
                  <c:v>1981</c:v>
                </c:pt>
                <c:pt idx="52">
                  <c:v>1982</c:v>
                </c:pt>
                <c:pt idx="53">
                  <c:v>1983</c:v>
                </c:pt>
                <c:pt idx="54">
                  <c:v>1984</c:v>
                </c:pt>
                <c:pt idx="55">
                  <c:v>1985</c:v>
                </c:pt>
                <c:pt idx="56">
                  <c:v>1986</c:v>
                </c:pt>
                <c:pt idx="57">
                  <c:v>1987</c:v>
                </c:pt>
                <c:pt idx="58">
                  <c:v>1988</c:v>
                </c:pt>
                <c:pt idx="59">
                  <c:v>1989</c:v>
                </c:pt>
                <c:pt idx="60">
                  <c:v>1990</c:v>
                </c:pt>
                <c:pt idx="61">
                  <c:v>1991</c:v>
                </c:pt>
                <c:pt idx="62">
                  <c:v>1992</c:v>
                </c:pt>
                <c:pt idx="63">
                  <c:v>1993</c:v>
                </c:pt>
                <c:pt idx="64">
                  <c:v>1994</c:v>
                </c:pt>
                <c:pt idx="65">
                  <c:v>1995</c:v>
                </c:pt>
                <c:pt idx="66">
                  <c:v>1996</c:v>
                </c:pt>
                <c:pt idx="67">
                  <c:v>1997</c:v>
                </c:pt>
                <c:pt idx="68">
                  <c:v>1998</c:v>
                </c:pt>
                <c:pt idx="69">
                  <c:v>1999</c:v>
                </c:pt>
                <c:pt idx="70">
                  <c:v>2000</c:v>
                </c:pt>
                <c:pt idx="71">
                  <c:v>2001</c:v>
                </c:pt>
                <c:pt idx="72">
                  <c:v>2002</c:v>
                </c:pt>
                <c:pt idx="73">
                  <c:v>2003</c:v>
                </c:pt>
                <c:pt idx="74">
                  <c:v>2004</c:v>
                </c:pt>
                <c:pt idx="75">
                  <c:v>2005</c:v>
                </c:pt>
                <c:pt idx="76">
                  <c:v>2006</c:v>
                </c:pt>
                <c:pt idx="77">
                  <c:v>2007</c:v>
                </c:pt>
                <c:pt idx="78">
                  <c:v>2008</c:v>
                </c:pt>
                <c:pt idx="79">
                  <c:v>2009</c:v>
                </c:pt>
                <c:pt idx="80">
                  <c:v>2010</c:v>
                </c:pt>
                <c:pt idx="81">
                  <c:v>2011</c:v>
                </c:pt>
                <c:pt idx="82">
                  <c:v>2012</c:v>
                </c:pt>
                <c:pt idx="83">
                  <c:v>2013</c:v>
                </c:pt>
                <c:pt idx="84">
                  <c:v>2014</c:v>
                </c:pt>
                <c:pt idx="85">
                  <c:v>2015</c:v>
                </c:pt>
                <c:pt idx="86">
                  <c:v>2016</c:v>
                </c:pt>
                <c:pt idx="87">
                  <c:v>2017</c:v>
                </c:pt>
                <c:pt idx="88">
                  <c:v>2018</c:v>
                </c:pt>
                <c:pt idx="89">
                  <c:v>2019</c:v>
                </c:pt>
              </c:numCache>
            </c:numRef>
          </c:cat>
          <c:val>
            <c:numRef>
              <c:f>'USA Capital Year by Year Avg'!$Y$3:$Y$87</c:f>
              <c:numCache>
                <c:formatCode>0.00%</c:formatCode>
                <c:ptCount val="85"/>
                <c:pt idx="0">
                  <c:v>-0.28201767880678719</c:v>
                </c:pt>
                <c:pt idx="1">
                  <c:v>-0.19372113905529365</c:v>
                </c:pt>
                <c:pt idx="2">
                  <c:v>-0.10636127681473084</c:v>
                </c:pt>
                <c:pt idx="3">
                  <c:v>-0.14201683024135647</c:v>
                </c:pt>
                <c:pt idx="4">
                  <c:v>-0.17716174716693589</c:v>
                </c:pt>
                <c:pt idx="5">
                  <c:v>-0.21287121982374291</c:v>
                </c:pt>
                <c:pt idx="6">
                  <c:v>-0.25213077320405008</c:v>
                </c:pt>
                <c:pt idx="7">
                  <c:v>-0.27831565957715909</c:v>
                </c:pt>
                <c:pt idx="8">
                  <c:v>-0.2222879107982102</c:v>
                </c:pt>
                <c:pt idx="9">
                  <c:v>-0.22514894456536017</c:v>
                </c:pt>
                <c:pt idx="10">
                  <c:v>-0.25615311201745961</c:v>
                </c:pt>
                <c:pt idx="11">
                  <c:v>-0.31533734387291201</c:v>
                </c:pt>
                <c:pt idx="12">
                  <c:v>-0.41262185487286995</c:v>
                </c:pt>
                <c:pt idx="13">
                  <c:v>-0.45562376771827184</c:v>
                </c:pt>
                <c:pt idx="14">
                  <c:v>-0.43855999217543329</c:v>
                </c:pt>
                <c:pt idx="15">
                  <c:v>-0.42822847702032152</c:v>
                </c:pt>
                <c:pt idx="16">
                  <c:v>-0.37747956912412817</c:v>
                </c:pt>
                <c:pt idx="17">
                  <c:v>-0.38885057538902179</c:v>
                </c:pt>
                <c:pt idx="18">
                  <c:v>-0.37467261532076135</c:v>
                </c:pt>
                <c:pt idx="19">
                  <c:v>-0.37085657244017245</c:v>
                </c:pt>
                <c:pt idx="20">
                  <c:v>-0.37539034569787677</c:v>
                </c:pt>
                <c:pt idx="21">
                  <c:v>-0.38034179114639488</c:v>
                </c:pt>
                <c:pt idx="22">
                  <c:v>-0.39025227604008794</c:v>
                </c:pt>
                <c:pt idx="23">
                  <c:v>-0.38960935518713147</c:v>
                </c:pt>
                <c:pt idx="24">
                  <c:v>-0.38322956329103053</c:v>
                </c:pt>
                <c:pt idx="25">
                  <c:v>-0.38894855769780312</c:v>
                </c:pt>
                <c:pt idx="26">
                  <c:v>-0.38651943818658796</c:v>
                </c:pt>
                <c:pt idx="27">
                  <c:v>-0.37705674057644445</c:v>
                </c:pt>
                <c:pt idx="28">
                  <c:v>-0.35168078369641553</c:v>
                </c:pt>
                <c:pt idx="29">
                  <c:v>-0.36067533518651174</c:v>
                </c:pt>
                <c:pt idx="30">
                  <c:v>-0.36070620450237467</c:v>
                </c:pt>
                <c:pt idx="31">
                  <c:v>-0.35018790028263536</c:v>
                </c:pt>
                <c:pt idx="32">
                  <c:v>-0.34776693733679676</c:v>
                </c:pt>
                <c:pt idx="33">
                  <c:v>-0.34291694149295049</c:v>
                </c:pt>
                <c:pt idx="34">
                  <c:v>-0.33585759836836748</c:v>
                </c:pt>
                <c:pt idx="35">
                  <c:v>-0.34185974634687888</c:v>
                </c:pt>
                <c:pt idx="36">
                  <c:v>-0.34708250344820157</c:v>
                </c:pt>
                <c:pt idx="37">
                  <c:v>-0.3552202621261028</c:v>
                </c:pt>
                <c:pt idx="38">
                  <c:v>-0.35724946327469009</c:v>
                </c:pt>
                <c:pt idx="39">
                  <c:v>-0.36521132695525804</c:v>
                </c:pt>
                <c:pt idx="40">
                  <c:v>-0.33984826442508842</c:v>
                </c:pt>
                <c:pt idx="41">
                  <c:v>-0.33234028592560072</c:v>
                </c:pt>
                <c:pt idx="42">
                  <c:v>-0.32464655120679553</c:v>
                </c:pt>
                <c:pt idx="43">
                  <c:v>-0.30693854463219095</c:v>
                </c:pt>
                <c:pt idx="44">
                  <c:v>-0.30696758572859673</c:v>
                </c:pt>
                <c:pt idx="45">
                  <c:v>-0.28834365494109304</c:v>
                </c:pt>
                <c:pt idx="46">
                  <c:v>-0.2828577337560596</c:v>
                </c:pt>
                <c:pt idx="47">
                  <c:v>-0.27876250434683791</c:v>
                </c:pt>
                <c:pt idx="48">
                  <c:v>-0.27363780373625668</c:v>
                </c:pt>
                <c:pt idx="49">
                  <c:v>-0.28212827318430167</c:v>
                </c:pt>
                <c:pt idx="50">
                  <c:v>-0.26886803770124745</c:v>
                </c:pt>
                <c:pt idx="51">
                  <c:v>-0.25860013483638644</c:v>
                </c:pt>
                <c:pt idx="52">
                  <c:v>-0.25686647820557984</c:v>
                </c:pt>
                <c:pt idx="53">
                  <c:v>-0.24819403868638534</c:v>
                </c:pt>
                <c:pt idx="54">
                  <c:v>-0.25267204665840315</c:v>
                </c:pt>
                <c:pt idx="55">
                  <c:v>-0.25275605946368584</c:v>
                </c:pt>
                <c:pt idx="56">
                  <c:v>-0.24093257453514383</c:v>
                </c:pt>
                <c:pt idx="57">
                  <c:v>-0.24779872265730019</c:v>
                </c:pt>
                <c:pt idx="58">
                  <c:v>-0.27047398792165567</c:v>
                </c:pt>
                <c:pt idx="59">
                  <c:v>-0.25807891056074383</c:v>
                </c:pt>
                <c:pt idx="60">
                  <c:v>-0.24568910753868534</c:v>
                </c:pt>
                <c:pt idx="61">
                  <c:v>-0.20881631458577044</c:v>
                </c:pt>
                <c:pt idx="62">
                  <c:v>-0.21507626366883581</c:v>
                </c:pt>
                <c:pt idx="63">
                  <c:v>-0.20593358545171225</c:v>
                </c:pt>
                <c:pt idx="64">
                  <c:v>-0.19851532224537982</c:v>
                </c:pt>
                <c:pt idx="65">
                  <c:v>-0.19592461438251252</c:v>
                </c:pt>
                <c:pt idx="66">
                  <c:v>-0.18674448024111401</c:v>
                </c:pt>
                <c:pt idx="67">
                  <c:v>-0.18494866170253144</c:v>
                </c:pt>
                <c:pt idx="68">
                  <c:v>-0.18556465299579639</c:v>
                </c:pt>
                <c:pt idx="69">
                  <c:v>-0.19486873752348799</c:v>
                </c:pt>
                <c:pt idx="70">
                  <c:v>-0.20069726356017392</c:v>
                </c:pt>
                <c:pt idx="71">
                  <c:v>-0.1934933752404151</c:v>
                </c:pt>
                <c:pt idx="72">
                  <c:v>-0.18502195028336399</c:v>
                </c:pt>
                <c:pt idx="73">
                  <c:v>-0.1860130271914795</c:v>
                </c:pt>
                <c:pt idx="74">
                  <c:v>-0.19753677663368208</c:v>
                </c:pt>
                <c:pt idx="75">
                  <c:v>-0.20125174093233467</c:v>
                </c:pt>
                <c:pt idx="76">
                  <c:v>-0.19632870479046172</c:v>
                </c:pt>
                <c:pt idx="77">
                  <c:v>-0.18140978908706129</c:v>
                </c:pt>
                <c:pt idx="78">
                  <c:v>-0.1688711185627223</c:v>
                </c:pt>
                <c:pt idx="79">
                  <c:v>-0.15032217585947949</c:v>
                </c:pt>
                <c:pt idx="80">
                  <c:v>-0.1561056538314346</c:v>
                </c:pt>
                <c:pt idx="81">
                  <c:v>-0.13829410245022644</c:v>
                </c:pt>
                <c:pt idx="82">
                  <c:v>-0.14553534470803875</c:v>
                </c:pt>
                <c:pt idx="83">
                  <c:v>-0.12155036525709018</c:v>
                </c:pt>
                <c:pt idx="84">
                  <c:v>-0.12409441421505829</c:v>
                </c:pt>
              </c:numCache>
            </c:numRef>
          </c:val>
          <c:smooth val="0"/>
          <c:extLst>
            <c:ext xmlns:c16="http://schemas.microsoft.com/office/drawing/2014/chart" uri="{C3380CC4-5D6E-409C-BE32-E72D297353CC}">
              <c16:uniqueId val="{00000001-305C-4E81-9B3F-2991DAE6CAED}"/>
            </c:ext>
          </c:extLst>
        </c:ser>
        <c:ser>
          <c:idx val="2"/>
          <c:order val="2"/>
          <c:tx>
            <c:strRef>
              <c:f>'USA Capital Year by Year Avg'!$Z$2</c:f>
              <c:strCache>
                <c:ptCount val="1"/>
                <c:pt idx="0">
                  <c:v>PSI(90%) Pre-Tax</c:v>
                </c:pt>
              </c:strCache>
            </c:strRef>
          </c:tx>
          <c:spPr>
            <a:ln w="28575" cap="rnd">
              <a:solidFill>
                <a:srgbClr val="0070C0"/>
              </a:solidFill>
              <a:prstDash val="dash"/>
              <a:round/>
            </a:ln>
            <a:effectLst/>
          </c:spPr>
          <c:marker>
            <c:symbol val="none"/>
          </c:marker>
          <c:cat>
            <c:numRef>
              <c:f>'USA Capital Year by Year Avg'!$A$3:$A$92</c:f>
              <c:numCache>
                <c:formatCode>General</c:formatCode>
                <c:ptCount val="90"/>
                <c:pt idx="0">
                  <c:v>1930</c:v>
                </c:pt>
                <c:pt idx="1">
                  <c:v>1931</c:v>
                </c:pt>
                <c:pt idx="2">
                  <c:v>1932</c:v>
                </c:pt>
                <c:pt idx="3">
                  <c:v>1933</c:v>
                </c:pt>
                <c:pt idx="4">
                  <c:v>1934</c:v>
                </c:pt>
                <c:pt idx="5">
                  <c:v>1935</c:v>
                </c:pt>
                <c:pt idx="6">
                  <c:v>1936</c:v>
                </c:pt>
                <c:pt idx="7">
                  <c:v>1937</c:v>
                </c:pt>
                <c:pt idx="8">
                  <c:v>1938</c:v>
                </c:pt>
                <c:pt idx="9">
                  <c:v>1939</c:v>
                </c:pt>
                <c:pt idx="10">
                  <c:v>1940</c:v>
                </c:pt>
                <c:pt idx="11">
                  <c:v>1941</c:v>
                </c:pt>
                <c:pt idx="12">
                  <c:v>1942</c:v>
                </c:pt>
                <c:pt idx="13">
                  <c:v>1943</c:v>
                </c:pt>
                <c:pt idx="14">
                  <c:v>1944</c:v>
                </c:pt>
                <c:pt idx="15">
                  <c:v>1945</c:v>
                </c:pt>
                <c:pt idx="16">
                  <c:v>1946</c:v>
                </c:pt>
                <c:pt idx="17">
                  <c:v>1947</c:v>
                </c:pt>
                <c:pt idx="18">
                  <c:v>1948</c:v>
                </c:pt>
                <c:pt idx="19">
                  <c:v>1949</c:v>
                </c:pt>
                <c:pt idx="20">
                  <c:v>1950</c:v>
                </c:pt>
                <c:pt idx="21">
                  <c:v>1951</c:v>
                </c:pt>
                <c:pt idx="22">
                  <c:v>1952</c:v>
                </c:pt>
                <c:pt idx="23">
                  <c:v>1953</c:v>
                </c:pt>
                <c:pt idx="24">
                  <c:v>1954</c:v>
                </c:pt>
                <c:pt idx="25">
                  <c:v>1955</c:v>
                </c:pt>
                <c:pt idx="26">
                  <c:v>1956</c:v>
                </c:pt>
                <c:pt idx="27">
                  <c:v>1957</c:v>
                </c:pt>
                <c:pt idx="28">
                  <c:v>1958</c:v>
                </c:pt>
                <c:pt idx="29">
                  <c:v>1959</c:v>
                </c:pt>
                <c:pt idx="30">
                  <c:v>1960</c:v>
                </c:pt>
                <c:pt idx="31">
                  <c:v>1961</c:v>
                </c:pt>
                <c:pt idx="32">
                  <c:v>1962</c:v>
                </c:pt>
                <c:pt idx="33">
                  <c:v>1963</c:v>
                </c:pt>
                <c:pt idx="34">
                  <c:v>1964</c:v>
                </c:pt>
                <c:pt idx="35">
                  <c:v>1965</c:v>
                </c:pt>
                <c:pt idx="36">
                  <c:v>1966</c:v>
                </c:pt>
                <c:pt idx="37">
                  <c:v>1967</c:v>
                </c:pt>
                <c:pt idx="38">
                  <c:v>1968</c:v>
                </c:pt>
                <c:pt idx="39">
                  <c:v>1969</c:v>
                </c:pt>
                <c:pt idx="40">
                  <c:v>1970</c:v>
                </c:pt>
                <c:pt idx="41">
                  <c:v>1971</c:v>
                </c:pt>
                <c:pt idx="42">
                  <c:v>1972</c:v>
                </c:pt>
                <c:pt idx="43">
                  <c:v>1973</c:v>
                </c:pt>
                <c:pt idx="44">
                  <c:v>1974</c:v>
                </c:pt>
                <c:pt idx="45">
                  <c:v>1975</c:v>
                </c:pt>
                <c:pt idx="46">
                  <c:v>1976</c:v>
                </c:pt>
                <c:pt idx="47">
                  <c:v>1977</c:v>
                </c:pt>
                <c:pt idx="48">
                  <c:v>1978</c:v>
                </c:pt>
                <c:pt idx="49">
                  <c:v>1979</c:v>
                </c:pt>
                <c:pt idx="50">
                  <c:v>1980</c:v>
                </c:pt>
                <c:pt idx="51">
                  <c:v>1981</c:v>
                </c:pt>
                <c:pt idx="52">
                  <c:v>1982</c:v>
                </c:pt>
                <c:pt idx="53">
                  <c:v>1983</c:v>
                </c:pt>
                <c:pt idx="54">
                  <c:v>1984</c:v>
                </c:pt>
                <c:pt idx="55">
                  <c:v>1985</c:v>
                </c:pt>
                <c:pt idx="56">
                  <c:v>1986</c:v>
                </c:pt>
                <c:pt idx="57">
                  <c:v>1987</c:v>
                </c:pt>
                <c:pt idx="58">
                  <c:v>1988</c:v>
                </c:pt>
                <c:pt idx="59">
                  <c:v>1989</c:v>
                </c:pt>
                <c:pt idx="60">
                  <c:v>1990</c:v>
                </c:pt>
                <c:pt idx="61">
                  <c:v>1991</c:v>
                </c:pt>
                <c:pt idx="62">
                  <c:v>1992</c:v>
                </c:pt>
                <c:pt idx="63">
                  <c:v>1993</c:v>
                </c:pt>
                <c:pt idx="64">
                  <c:v>1994</c:v>
                </c:pt>
                <c:pt idx="65">
                  <c:v>1995</c:v>
                </c:pt>
                <c:pt idx="66">
                  <c:v>1996</c:v>
                </c:pt>
                <c:pt idx="67">
                  <c:v>1997</c:v>
                </c:pt>
                <c:pt idx="68">
                  <c:v>1998</c:v>
                </c:pt>
                <c:pt idx="69">
                  <c:v>1999</c:v>
                </c:pt>
                <c:pt idx="70">
                  <c:v>2000</c:v>
                </c:pt>
                <c:pt idx="71">
                  <c:v>2001</c:v>
                </c:pt>
                <c:pt idx="72">
                  <c:v>2002</c:v>
                </c:pt>
                <c:pt idx="73">
                  <c:v>2003</c:v>
                </c:pt>
                <c:pt idx="74">
                  <c:v>2004</c:v>
                </c:pt>
                <c:pt idx="75">
                  <c:v>2005</c:v>
                </c:pt>
                <c:pt idx="76">
                  <c:v>2006</c:v>
                </c:pt>
                <c:pt idx="77">
                  <c:v>2007</c:v>
                </c:pt>
                <c:pt idx="78">
                  <c:v>2008</c:v>
                </c:pt>
                <c:pt idx="79">
                  <c:v>2009</c:v>
                </c:pt>
                <c:pt idx="80">
                  <c:v>2010</c:v>
                </c:pt>
                <c:pt idx="81">
                  <c:v>2011</c:v>
                </c:pt>
                <c:pt idx="82">
                  <c:v>2012</c:v>
                </c:pt>
                <c:pt idx="83">
                  <c:v>2013</c:v>
                </c:pt>
                <c:pt idx="84">
                  <c:v>2014</c:v>
                </c:pt>
                <c:pt idx="85">
                  <c:v>2015</c:v>
                </c:pt>
                <c:pt idx="86">
                  <c:v>2016</c:v>
                </c:pt>
                <c:pt idx="87">
                  <c:v>2017</c:v>
                </c:pt>
                <c:pt idx="88">
                  <c:v>2018</c:v>
                </c:pt>
                <c:pt idx="89">
                  <c:v>2019</c:v>
                </c:pt>
              </c:numCache>
            </c:numRef>
          </c:cat>
          <c:val>
            <c:numRef>
              <c:f>'USA Capital Year by Year Avg'!$Z$3:$Z$87</c:f>
              <c:numCache>
                <c:formatCode>0.00%</c:formatCode>
                <c:ptCount val="85"/>
                <c:pt idx="0">
                  <c:v>0.29261431294030738</c:v>
                </c:pt>
                <c:pt idx="1">
                  <c:v>0.22804543322474569</c:v>
                </c:pt>
                <c:pt idx="2">
                  <c:v>0.15183221788020185</c:v>
                </c:pt>
                <c:pt idx="3">
                  <c:v>0.17005143610768458</c:v>
                </c:pt>
                <c:pt idx="4">
                  <c:v>0.18956190202060519</c:v>
                </c:pt>
                <c:pt idx="5">
                  <c:v>0.23024302227945359</c:v>
                </c:pt>
                <c:pt idx="6">
                  <c:v>0.25193658146595177</c:v>
                </c:pt>
                <c:pt idx="7">
                  <c:v>0.2778171682160453</c:v>
                </c:pt>
                <c:pt idx="8">
                  <c:v>0.23520284989086493</c:v>
                </c:pt>
                <c:pt idx="9">
                  <c:v>0.23041172765045093</c:v>
                </c:pt>
                <c:pt idx="10">
                  <c:v>0.26296857747005742</c:v>
                </c:pt>
                <c:pt idx="11">
                  <c:v>0.33494700150707057</c:v>
                </c:pt>
                <c:pt idx="12">
                  <c:v>0.45522685488704973</c:v>
                </c:pt>
                <c:pt idx="13">
                  <c:v>0.51706183907377823</c:v>
                </c:pt>
                <c:pt idx="14">
                  <c:v>0.52021480750779925</c:v>
                </c:pt>
                <c:pt idx="15">
                  <c:v>0.48470911586726628</c:v>
                </c:pt>
                <c:pt idx="16">
                  <c:v>0.3888332716300309</c:v>
                </c:pt>
                <c:pt idx="17">
                  <c:v>0.37469150693012754</c:v>
                </c:pt>
                <c:pt idx="18">
                  <c:v>0.34929584742578323</c:v>
                </c:pt>
                <c:pt idx="19">
                  <c:v>0.3490205789060381</c:v>
                </c:pt>
                <c:pt idx="20">
                  <c:v>0.35122831722943015</c:v>
                </c:pt>
                <c:pt idx="21">
                  <c:v>0.35374110535612613</c:v>
                </c:pt>
                <c:pt idx="22">
                  <c:v>0.36686743786788334</c:v>
                </c:pt>
                <c:pt idx="23">
                  <c:v>0.37517928989317539</c:v>
                </c:pt>
                <c:pt idx="24">
                  <c:v>0.35985372150605244</c:v>
                </c:pt>
                <c:pt idx="25">
                  <c:v>0.37320934841349618</c:v>
                </c:pt>
                <c:pt idx="26">
                  <c:v>0.37295803964650687</c:v>
                </c:pt>
                <c:pt idx="27">
                  <c:v>0.3573939642617725</c:v>
                </c:pt>
                <c:pt idx="28">
                  <c:v>0.3273821023812693</c:v>
                </c:pt>
                <c:pt idx="29">
                  <c:v>0.33804575610919674</c:v>
                </c:pt>
                <c:pt idx="30">
                  <c:v>0.34358144494106435</c:v>
                </c:pt>
                <c:pt idx="31">
                  <c:v>0.33510144649118279</c:v>
                </c:pt>
                <c:pt idx="32">
                  <c:v>0.33548770095628799</c:v>
                </c:pt>
                <c:pt idx="33">
                  <c:v>0.33263692066864747</c:v>
                </c:pt>
                <c:pt idx="34">
                  <c:v>0.32893811951828522</c:v>
                </c:pt>
                <c:pt idx="35">
                  <c:v>0.33762811605037468</c:v>
                </c:pt>
                <c:pt idx="36">
                  <c:v>0.3431059700729</c:v>
                </c:pt>
                <c:pt idx="37">
                  <c:v>0.34093501056775066</c:v>
                </c:pt>
                <c:pt idx="38">
                  <c:v>0.33778653952853888</c:v>
                </c:pt>
                <c:pt idx="39">
                  <c:v>0.34610449436624902</c:v>
                </c:pt>
                <c:pt idx="40">
                  <c:v>0.30613909770026493</c:v>
                </c:pt>
                <c:pt idx="41">
                  <c:v>0.29302295999345107</c:v>
                </c:pt>
                <c:pt idx="42">
                  <c:v>0.28572686865413499</c:v>
                </c:pt>
                <c:pt idx="43">
                  <c:v>0.26329790718242285</c:v>
                </c:pt>
                <c:pt idx="44">
                  <c:v>0.24653171317021405</c:v>
                </c:pt>
                <c:pt idx="45">
                  <c:v>0.21893372902958586</c:v>
                </c:pt>
                <c:pt idx="46">
                  <c:v>0.21191995112841067</c:v>
                </c:pt>
                <c:pt idx="47">
                  <c:v>0.20330440919907966</c:v>
                </c:pt>
                <c:pt idx="48">
                  <c:v>0.19527087204277138</c:v>
                </c:pt>
                <c:pt idx="49">
                  <c:v>0.19092907120325187</c:v>
                </c:pt>
                <c:pt idx="50">
                  <c:v>0.1671828440291121</c:v>
                </c:pt>
                <c:pt idx="51">
                  <c:v>0.14631829926643203</c:v>
                </c:pt>
                <c:pt idx="52">
                  <c:v>0.13873143684468126</c:v>
                </c:pt>
                <c:pt idx="53">
                  <c:v>0.12933862272601804</c:v>
                </c:pt>
                <c:pt idx="54">
                  <c:v>0.12780583783469379</c:v>
                </c:pt>
                <c:pt idx="55">
                  <c:v>0.1253105391113174</c:v>
                </c:pt>
                <c:pt idx="56">
                  <c:v>0.11688469086531561</c:v>
                </c:pt>
                <c:pt idx="57">
                  <c:v>0.10998217748208439</c:v>
                </c:pt>
                <c:pt idx="58">
                  <c:v>0.11350115051237242</c:v>
                </c:pt>
                <c:pt idx="59">
                  <c:v>0.10384797644074939</c:v>
                </c:pt>
                <c:pt idx="60">
                  <c:v>8.0533975749582432E-2</c:v>
                </c:pt>
                <c:pt idx="61">
                  <c:v>5.2728427311794501E-2</c:v>
                </c:pt>
                <c:pt idx="62">
                  <c:v>4.4502219808207011E-2</c:v>
                </c:pt>
                <c:pt idx="63">
                  <c:v>4.2350976723742217E-2</c:v>
                </c:pt>
                <c:pt idx="64">
                  <c:v>3.7901266936930522E-2</c:v>
                </c:pt>
                <c:pt idx="65">
                  <c:v>2.9476234804399537E-2</c:v>
                </c:pt>
                <c:pt idx="66">
                  <c:v>1.0368702061689827E-2</c:v>
                </c:pt>
                <c:pt idx="67">
                  <c:v>-1.9365333716772071E-3</c:v>
                </c:pt>
                <c:pt idx="68">
                  <c:v>-4.5801918674862607E-3</c:v>
                </c:pt>
                <c:pt idx="69">
                  <c:v>-7.9247616598204784E-3</c:v>
                </c:pt>
                <c:pt idx="70">
                  <c:v>-1.0682351089890241E-2</c:v>
                </c:pt>
                <c:pt idx="71">
                  <c:v>-4.6635625297378747E-3</c:v>
                </c:pt>
                <c:pt idx="72">
                  <c:v>-8.6032629109306091E-3</c:v>
                </c:pt>
                <c:pt idx="73">
                  <c:v>-9.7804264270144881E-3</c:v>
                </c:pt>
                <c:pt idx="74">
                  <c:v>-1.6524197497396087E-2</c:v>
                </c:pt>
                <c:pt idx="75">
                  <c:v>-2.7393822956164438E-2</c:v>
                </c:pt>
                <c:pt idx="76">
                  <c:v>-4.1185515093494218E-2</c:v>
                </c:pt>
                <c:pt idx="77">
                  <c:v>-5.6196526258612489E-2</c:v>
                </c:pt>
                <c:pt idx="78">
                  <c:v>-6.742154628962771E-2</c:v>
                </c:pt>
                <c:pt idx="79">
                  <c:v>-7.0199579523684386E-2</c:v>
                </c:pt>
                <c:pt idx="80">
                  <c:v>-8.2996381695832122E-2</c:v>
                </c:pt>
                <c:pt idx="81">
                  <c:v>-9.1653747839942623E-2</c:v>
                </c:pt>
                <c:pt idx="82">
                  <c:v>-0.10372319903498384</c:v>
                </c:pt>
                <c:pt idx="83">
                  <c:v>-0.10153419121435214</c:v>
                </c:pt>
                <c:pt idx="84">
                  <c:v>-0.10806447433904576</c:v>
                </c:pt>
              </c:numCache>
            </c:numRef>
          </c:val>
          <c:smooth val="0"/>
          <c:extLst>
            <c:ext xmlns:c16="http://schemas.microsoft.com/office/drawing/2014/chart" uri="{C3380CC4-5D6E-409C-BE32-E72D297353CC}">
              <c16:uniqueId val="{00000002-305C-4E81-9B3F-2991DAE6CAED}"/>
            </c:ext>
          </c:extLst>
        </c:ser>
        <c:dLbls>
          <c:showLegendKey val="0"/>
          <c:showVal val="0"/>
          <c:showCatName val="0"/>
          <c:showSerName val="0"/>
          <c:showPercent val="0"/>
          <c:showBubbleSize val="0"/>
        </c:dLbls>
        <c:smooth val="0"/>
        <c:axId val="945029408"/>
        <c:axId val="1045442368"/>
      </c:lineChart>
      <c:catAx>
        <c:axId val="945029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2368"/>
        <c:crosses val="autoZero"/>
        <c:auto val="1"/>
        <c:lblAlgn val="ctr"/>
        <c:lblOffset val="100"/>
        <c:noMultiLvlLbl val="0"/>
      </c:catAx>
      <c:valAx>
        <c:axId val="1045442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5029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800" b="0" i="0" baseline="0">
                <a:effectLst/>
              </a:rPr>
              <a:t>Pre Tax PSI -USA using average 99.9%</a:t>
            </a:r>
            <a:endParaRPr lang="en-US" sz="1400" b="0" i="0" baseline="0">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lineChart>
        <c:grouping val="standard"/>
        <c:varyColors val="0"/>
        <c:ser>
          <c:idx val="0"/>
          <c:order val="0"/>
          <c:tx>
            <c:strRef>
              <c:f>'USA Capital Year by Year Avg'!$X$2</c:f>
              <c:strCache>
                <c:ptCount val="1"/>
                <c:pt idx="0">
                  <c:v>PSI(1%) Pre-Tax</c:v>
                </c:pt>
              </c:strCache>
            </c:strRef>
          </c:tx>
          <c:spPr>
            <a:ln w="28575" cap="rnd">
              <a:solidFill>
                <a:srgbClr val="FF0000"/>
              </a:solidFill>
              <a:prstDash val="dash"/>
              <a:round/>
            </a:ln>
            <a:effectLst/>
          </c:spPr>
          <c:marker>
            <c:symbol val="none"/>
          </c:marker>
          <c:cat>
            <c:numRef>
              <c:f>'USA Capital Year by Year Avg'!$A$53:$A$87</c:f>
              <c:numCache>
                <c:formatCode>General</c:formatCode>
                <c:ptCount val="35"/>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numCache>
            </c:numRef>
          </c:cat>
          <c:val>
            <c:numRef>
              <c:f>'USA Capital Year by Year Avg'!$X$53:$X$87</c:f>
              <c:numCache>
                <c:formatCode>0.00%</c:formatCode>
                <c:ptCount val="35"/>
                <c:pt idx="0">
                  <c:v>-6.5799422557029974E-2</c:v>
                </c:pt>
                <c:pt idx="1">
                  <c:v>-6.864250049425924E-3</c:v>
                </c:pt>
                <c:pt idx="2">
                  <c:v>2.1789831853835429E-2</c:v>
                </c:pt>
                <c:pt idx="3">
                  <c:v>4.5159904809427998E-2</c:v>
                </c:pt>
                <c:pt idx="4">
                  <c:v>8.6074529237928576E-2</c:v>
                </c:pt>
                <c:pt idx="5">
                  <c:v>9.625362003017357E-2</c:v>
                </c:pt>
                <c:pt idx="6">
                  <c:v>9.425282852364858E-2</c:v>
                </c:pt>
                <c:pt idx="7">
                  <c:v>0.15873067736592028</c:v>
                </c:pt>
                <c:pt idx="8">
                  <c:v>0.22178424339620384</c:v>
                </c:pt>
                <c:pt idx="9">
                  <c:v>0.2245613121776604</c:v>
                </c:pt>
                <c:pt idx="10">
                  <c:v>0.29410628867268884</c:v>
                </c:pt>
                <c:pt idx="11">
                  <c:v>0.32839320080040224</c:v>
                </c:pt>
                <c:pt idx="12">
                  <c:v>0.39129165279712308</c:v>
                </c:pt>
                <c:pt idx="13">
                  <c:v>0.37685512507207419</c:v>
                </c:pt>
                <c:pt idx="14">
                  <c:v>0.37909323745441337</c:v>
                </c:pt>
                <c:pt idx="15">
                  <c:v>0.41549197571780772</c:v>
                </c:pt>
                <c:pt idx="16">
                  <c:v>0.49308110307264141</c:v>
                </c:pt>
                <c:pt idx="17">
                  <c:v>0.55422795620977627</c:v>
                </c:pt>
                <c:pt idx="18">
                  <c:v>0.56693620167909153</c:v>
                </c:pt>
                <c:pt idx="19">
                  <c:v>0.60246297583998398</c:v>
                </c:pt>
                <c:pt idx="20">
                  <c:v>0.62636992389140267</c:v>
                </c:pt>
                <c:pt idx="21">
                  <c:v>0.58776073467701595</c:v>
                </c:pt>
                <c:pt idx="22">
                  <c:v>0.58915952720434706</c:v>
                </c:pt>
                <c:pt idx="23">
                  <c:v>0.59708887736059979</c:v>
                </c:pt>
                <c:pt idx="24">
                  <c:v>0.65334505280521937</c:v>
                </c:pt>
                <c:pt idx="25">
                  <c:v>0.70664257420233145</c:v>
                </c:pt>
                <c:pt idx="26">
                  <c:v>0.75587179976226881</c:v>
                </c:pt>
                <c:pt idx="27">
                  <c:v>0.82354152096559807</c:v>
                </c:pt>
                <c:pt idx="28">
                  <c:v>0.89036372617626491</c:v>
                </c:pt>
                <c:pt idx="29">
                  <c:v>0.89701671145615469</c:v>
                </c:pt>
                <c:pt idx="30">
                  <c:v>0.96241030670026007</c:v>
                </c:pt>
                <c:pt idx="31">
                  <c:v>0.97597226017943783</c:v>
                </c:pt>
                <c:pt idx="32">
                  <c:v>1.0426702293944348</c:v>
                </c:pt>
                <c:pt idx="33">
                  <c:v>0.99387293406483934</c:v>
                </c:pt>
                <c:pt idx="34">
                  <c:v>1.0237743579630028</c:v>
                </c:pt>
              </c:numCache>
            </c:numRef>
          </c:val>
          <c:smooth val="0"/>
          <c:extLst>
            <c:ext xmlns:c16="http://schemas.microsoft.com/office/drawing/2014/chart" uri="{C3380CC4-5D6E-409C-BE32-E72D297353CC}">
              <c16:uniqueId val="{00000000-1D4B-4586-99AC-4C1FEA9F5C16}"/>
            </c:ext>
          </c:extLst>
        </c:ser>
        <c:ser>
          <c:idx val="1"/>
          <c:order val="1"/>
          <c:tx>
            <c:strRef>
              <c:f>'USA Capital Year by Year Avg'!$Y$2</c:f>
              <c:strCache>
                <c:ptCount val="1"/>
                <c:pt idx="0">
                  <c:v>PSI(10% to 1%) Pre-Tax</c:v>
                </c:pt>
              </c:strCache>
            </c:strRef>
          </c:tx>
          <c:spPr>
            <a:ln w="28575" cap="rnd">
              <a:solidFill>
                <a:srgbClr val="00B050"/>
              </a:solidFill>
              <a:prstDash val="dash"/>
              <a:round/>
            </a:ln>
            <a:effectLst/>
          </c:spPr>
          <c:marker>
            <c:symbol val="none"/>
          </c:marker>
          <c:cat>
            <c:numRef>
              <c:f>'USA Capital Year by Year Avg'!$A$53:$A$87</c:f>
              <c:numCache>
                <c:formatCode>General</c:formatCode>
                <c:ptCount val="35"/>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numCache>
            </c:numRef>
          </c:cat>
          <c:val>
            <c:numRef>
              <c:f>'USA Capital Year by Year Avg'!$Y$53:$Y$87</c:f>
              <c:numCache>
                <c:formatCode>0.00%</c:formatCode>
                <c:ptCount val="35"/>
                <c:pt idx="0">
                  <c:v>-0.26886803770124745</c:v>
                </c:pt>
                <c:pt idx="1">
                  <c:v>-0.25860013483638644</c:v>
                </c:pt>
                <c:pt idx="2">
                  <c:v>-0.25686647820557984</c:v>
                </c:pt>
                <c:pt idx="3">
                  <c:v>-0.24819403868638534</c:v>
                </c:pt>
                <c:pt idx="4">
                  <c:v>-0.25267204665840315</c:v>
                </c:pt>
                <c:pt idx="5">
                  <c:v>-0.25275605946368584</c:v>
                </c:pt>
                <c:pt idx="6">
                  <c:v>-0.24093257453514383</c:v>
                </c:pt>
                <c:pt idx="7">
                  <c:v>-0.24779872265730019</c:v>
                </c:pt>
                <c:pt idx="8">
                  <c:v>-0.27047398792165567</c:v>
                </c:pt>
                <c:pt idx="9">
                  <c:v>-0.25807891056074383</c:v>
                </c:pt>
                <c:pt idx="10">
                  <c:v>-0.24568910753868534</c:v>
                </c:pt>
                <c:pt idx="11">
                  <c:v>-0.20881631458577044</c:v>
                </c:pt>
                <c:pt idx="12">
                  <c:v>-0.21507626366883581</c:v>
                </c:pt>
                <c:pt idx="13">
                  <c:v>-0.20593358545171225</c:v>
                </c:pt>
                <c:pt idx="14">
                  <c:v>-0.19851532224537982</c:v>
                </c:pt>
                <c:pt idx="15">
                  <c:v>-0.19592461438251252</c:v>
                </c:pt>
                <c:pt idx="16">
                  <c:v>-0.18674448024111401</c:v>
                </c:pt>
                <c:pt idx="17">
                  <c:v>-0.18494866170253144</c:v>
                </c:pt>
                <c:pt idx="18">
                  <c:v>-0.18556465299579639</c:v>
                </c:pt>
                <c:pt idx="19">
                  <c:v>-0.19486873752348799</c:v>
                </c:pt>
                <c:pt idx="20">
                  <c:v>-0.20069726356017392</c:v>
                </c:pt>
                <c:pt idx="21">
                  <c:v>-0.1934933752404151</c:v>
                </c:pt>
                <c:pt idx="22">
                  <c:v>-0.18502195028336399</c:v>
                </c:pt>
                <c:pt idx="23">
                  <c:v>-0.1860130271914795</c:v>
                </c:pt>
                <c:pt idx="24">
                  <c:v>-0.19753677663368208</c:v>
                </c:pt>
                <c:pt idx="25">
                  <c:v>-0.20125174093233467</c:v>
                </c:pt>
                <c:pt idx="26">
                  <c:v>-0.19632870479046172</c:v>
                </c:pt>
                <c:pt idx="27">
                  <c:v>-0.18140978908706129</c:v>
                </c:pt>
                <c:pt idx="28">
                  <c:v>-0.1688711185627223</c:v>
                </c:pt>
                <c:pt idx="29">
                  <c:v>-0.15032217585947949</c:v>
                </c:pt>
                <c:pt idx="30">
                  <c:v>-0.1561056538314346</c:v>
                </c:pt>
                <c:pt idx="31">
                  <c:v>-0.13829410245022644</c:v>
                </c:pt>
                <c:pt idx="32">
                  <c:v>-0.14553534470803875</c:v>
                </c:pt>
                <c:pt idx="33">
                  <c:v>-0.12155036525709018</c:v>
                </c:pt>
                <c:pt idx="34">
                  <c:v>-0.12409441421505829</c:v>
                </c:pt>
              </c:numCache>
            </c:numRef>
          </c:val>
          <c:smooth val="0"/>
          <c:extLst>
            <c:ext xmlns:c16="http://schemas.microsoft.com/office/drawing/2014/chart" uri="{C3380CC4-5D6E-409C-BE32-E72D297353CC}">
              <c16:uniqueId val="{00000001-1D4B-4586-99AC-4C1FEA9F5C16}"/>
            </c:ext>
          </c:extLst>
        </c:ser>
        <c:ser>
          <c:idx val="2"/>
          <c:order val="2"/>
          <c:tx>
            <c:strRef>
              <c:f>'USA Capital Year by Year Avg'!$Z$2</c:f>
              <c:strCache>
                <c:ptCount val="1"/>
                <c:pt idx="0">
                  <c:v>PSI(90%) Pre-Tax</c:v>
                </c:pt>
              </c:strCache>
            </c:strRef>
          </c:tx>
          <c:spPr>
            <a:ln w="28575" cap="rnd">
              <a:solidFill>
                <a:srgbClr val="0070C0"/>
              </a:solidFill>
              <a:prstDash val="dash"/>
              <a:round/>
            </a:ln>
            <a:effectLst/>
          </c:spPr>
          <c:marker>
            <c:symbol val="none"/>
          </c:marker>
          <c:cat>
            <c:numRef>
              <c:f>'USA Capital Year by Year Avg'!$A$53:$A$87</c:f>
              <c:numCache>
                <c:formatCode>General</c:formatCode>
                <c:ptCount val="35"/>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numCache>
            </c:numRef>
          </c:cat>
          <c:val>
            <c:numRef>
              <c:f>'USA Capital Year by Year Avg'!$Z$53:$Z$87</c:f>
              <c:numCache>
                <c:formatCode>0.00%</c:formatCode>
                <c:ptCount val="35"/>
                <c:pt idx="0">
                  <c:v>0.1671828440291121</c:v>
                </c:pt>
                <c:pt idx="1">
                  <c:v>0.14631829926643203</c:v>
                </c:pt>
                <c:pt idx="2">
                  <c:v>0.13873143684468126</c:v>
                </c:pt>
                <c:pt idx="3">
                  <c:v>0.12933862272601804</c:v>
                </c:pt>
                <c:pt idx="4">
                  <c:v>0.12780583783469379</c:v>
                </c:pt>
                <c:pt idx="5">
                  <c:v>0.1253105391113174</c:v>
                </c:pt>
                <c:pt idx="6">
                  <c:v>0.11688469086531561</c:v>
                </c:pt>
                <c:pt idx="7">
                  <c:v>0.10998217748208439</c:v>
                </c:pt>
                <c:pt idx="8">
                  <c:v>0.11350115051237242</c:v>
                </c:pt>
                <c:pt idx="9">
                  <c:v>0.10384797644074939</c:v>
                </c:pt>
                <c:pt idx="10">
                  <c:v>8.0533975749582432E-2</c:v>
                </c:pt>
                <c:pt idx="11">
                  <c:v>5.2728427311794501E-2</c:v>
                </c:pt>
                <c:pt idx="12">
                  <c:v>4.4502219808207011E-2</c:v>
                </c:pt>
                <c:pt idx="13">
                  <c:v>4.2350976723742217E-2</c:v>
                </c:pt>
                <c:pt idx="14">
                  <c:v>3.7901266936930522E-2</c:v>
                </c:pt>
                <c:pt idx="15">
                  <c:v>2.9476234804399537E-2</c:v>
                </c:pt>
                <c:pt idx="16">
                  <c:v>1.0368702061689827E-2</c:v>
                </c:pt>
                <c:pt idx="17">
                  <c:v>-1.9365333716772071E-3</c:v>
                </c:pt>
                <c:pt idx="18">
                  <c:v>-4.5801918674862607E-3</c:v>
                </c:pt>
                <c:pt idx="19">
                  <c:v>-7.9247616598204784E-3</c:v>
                </c:pt>
                <c:pt idx="20">
                  <c:v>-1.0682351089890241E-2</c:v>
                </c:pt>
                <c:pt idx="21">
                  <c:v>-4.6635625297378747E-3</c:v>
                </c:pt>
                <c:pt idx="22">
                  <c:v>-8.6032629109306091E-3</c:v>
                </c:pt>
                <c:pt idx="23">
                  <c:v>-9.7804264270144881E-3</c:v>
                </c:pt>
                <c:pt idx="24">
                  <c:v>-1.6524197497396087E-2</c:v>
                </c:pt>
                <c:pt idx="25">
                  <c:v>-2.7393822956164438E-2</c:v>
                </c:pt>
                <c:pt idx="26">
                  <c:v>-4.1185515093494218E-2</c:v>
                </c:pt>
                <c:pt idx="27">
                  <c:v>-5.6196526258612489E-2</c:v>
                </c:pt>
                <c:pt idx="28">
                  <c:v>-6.742154628962771E-2</c:v>
                </c:pt>
                <c:pt idx="29">
                  <c:v>-7.0199579523684386E-2</c:v>
                </c:pt>
                <c:pt idx="30">
                  <c:v>-8.2996381695832122E-2</c:v>
                </c:pt>
                <c:pt idx="31">
                  <c:v>-9.1653747839942623E-2</c:v>
                </c:pt>
                <c:pt idx="32">
                  <c:v>-0.10372319903498384</c:v>
                </c:pt>
                <c:pt idx="33">
                  <c:v>-0.10153419121435214</c:v>
                </c:pt>
                <c:pt idx="34">
                  <c:v>-0.10806447433904576</c:v>
                </c:pt>
              </c:numCache>
            </c:numRef>
          </c:val>
          <c:smooth val="0"/>
          <c:extLst>
            <c:ext xmlns:c16="http://schemas.microsoft.com/office/drawing/2014/chart" uri="{C3380CC4-5D6E-409C-BE32-E72D297353CC}">
              <c16:uniqueId val="{00000002-1D4B-4586-99AC-4C1FEA9F5C16}"/>
            </c:ext>
          </c:extLst>
        </c:ser>
        <c:dLbls>
          <c:showLegendKey val="0"/>
          <c:showVal val="0"/>
          <c:showCatName val="0"/>
          <c:showSerName val="0"/>
          <c:showPercent val="0"/>
          <c:showBubbleSize val="0"/>
        </c:dLbls>
        <c:smooth val="0"/>
        <c:axId val="1670434496"/>
        <c:axId val="966533184"/>
      </c:lineChart>
      <c:catAx>
        <c:axId val="1670434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6533184"/>
        <c:crosses val="autoZero"/>
        <c:auto val="1"/>
        <c:lblAlgn val="ctr"/>
        <c:lblOffset val="100"/>
        <c:noMultiLvlLbl val="0"/>
      </c:catAx>
      <c:valAx>
        <c:axId val="966533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0434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16</xdr:col>
      <xdr:colOff>1469047</xdr:colOff>
      <xdr:row>39</xdr:row>
      <xdr:rowOff>161196</xdr:rowOff>
    </xdr:from>
    <xdr:to>
      <xdr:col>23</xdr:col>
      <xdr:colOff>718038</xdr:colOff>
      <xdr:row>66</xdr:row>
      <xdr:rowOff>183172</xdr:rowOff>
    </xdr:to>
    <xdr:graphicFrame macro="">
      <xdr:nvGraphicFramePr>
        <xdr:cNvPr id="2" name="Chart 1">
          <a:extLst>
            <a:ext uri="{FF2B5EF4-FFF2-40B4-BE49-F238E27FC236}">
              <a16:creationId xmlns:a16="http://schemas.microsoft.com/office/drawing/2014/main" id="{29290B4D-4175-49CD-9720-FAFD3B847F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16</xdr:col>
      <xdr:colOff>76199</xdr:colOff>
      <xdr:row>42</xdr:row>
      <xdr:rowOff>9531</xdr:rowOff>
    </xdr:from>
    <xdr:to>
      <xdr:col>22</xdr:col>
      <xdr:colOff>990600</xdr:colOff>
      <xdr:row>71</xdr:row>
      <xdr:rowOff>133350</xdr:rowOff>
    </xdr:to>
    <xdr:graphicFrame macro="">
      <xdr:nvGraphicFramePr>
        <xdr:cNvPr id="4" name="Chart 3">
          <a:extLst>
            <a:ext uri="{FF2B5EF4-FFF2-40B4-BE49-F238E27FC236}">
              <a16:creationId xmlns:a16="http://schemas.microsoft.com/office/drawing/2014/main" id="{8B63E72A-CAB3-4FE5-9A41-4EA9F39AB0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16</xdr:col>
      <xdr:colOff>784411</xdr:colOff>
      <xdr:row>43</xdr:row>
      <xdr:rowOff>33624</xdr:rowOff>
    </xdr:from>
    <xdr:to>
      <xdr:col>22</xdr:col>
      <xdr:colOff>504265</xdr:colOff>
      <xdr:row>68</xdr:row>
      <xdr:rowOff>44824</xdr:rowOff>
    </xdr:to>
    <xdr:graphicFrame macro="">
      <xdr:nvGraphicFramePr>
        <xdr:cNvPr id="3" name="Chart 2">
          <a:extLst>
            <a:ext uri="{FF2B5EF4-FFF2-40B4-BE49-F238E27FC236}">
              <a16:creationId xmlns:a16="http://schemas.microsoft.com/office/drawing/2014/main" id="{CAC84621-ACC9-4EC0-AC3B-837C263C14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847723</xdr:colOff>
      <xdr:row>46</xdr:row>
      <xdr:rowOff>26380</xdr:rowOff>
    </xdr:from>
    <xdr:to>
      <xdr:col>8</xdr:col>
      <xdr:colOff>1710104</xdr:colOff>
      <xdr:row>74</xdr:row>
      <xdr:rowOff>41029</xdr:rowOff>
    </xdr:to>
    <xdr:graphicFrame macro="">
      <xdr:nvGraphicFramePr>
        <xdr:cNvPr id="5" name="Chart 4">
          <a:extLst>
            <a:ext uri="{FF2B5EF4-FFF2-40B4-BE49-F238E27FC236}">
              <a16:creationId xmlns:a16="http://schemas.microsoft.com/office/drawing/2014/main" id="{E1A0AB1C-E807-4577-97A5-9432C36C94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884464</xdr:colOff>
      <xdr:row>45</xdr:row>
      <xdr:rowOff>1</xdr:rowOff>
    </xdr:from>
    <xdr:to>
      <xdr:col>15</xdr:col>
      <xdr:colOff>949466</xdr:colOff>
      <xdr:row>73</xdr:row>
      <xdr:rowOff>14650</xdr:rowOff>
    </xdr:to>
    <xdr:graphicFrame macro="">
      <xdr:nvGraphicFramePr>
        <xdr:cNvPr id="27" name="Chart 2">
          <a:extLst>
            <a:ext uri="{FF2B5EF4-FFF2-40B4-BE49-F238E27FC236}">
              <a16:creationId xmlns:a16="http://schemas.microsoft.com/office/drawing/2014/main" id="{F7C5B84F-025C-4444-9DF3-881000775D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60581</xdr:colOff>
      <xdr:row>30</xdr:row>
      <xdr:rowOff>152400</xdr:rowOff>
    </xdr:from>
    <xdr:to>
      <xdr:col>8</xdr:col>
      <xdr:colOff>1247295</xdr:colOff>
      <xdr:row>54</xdr:row>
      <xdr:rowOff>75331</xdr:rowOff>
    </xdr:to>
    <xdr:pic>
      <xdr:nvPicPr>
        <xdr:cNvPr id="2" name="Picture 1">
          <a:extLst>
            <a:ext uri="{FF2B5EF4-FFF2-40B4-BE49-F238E27FC236}">
              <a16:creationId xmlns:a16="http://schemas.microsoft.com/office/drawing/2014/main" id="{12269145-21DA-4D41-A54A-3FB528D4D389}"/>
            </a:ext>
          </a:extLst>
        </xdr:cNvPr>
        <xdr:cNvPicPr>
          <a:picLocks noChangeAspect="1"/>
        </xdr:cNvPicPr>
      </xdr:nvPicPr>
      <xdr:blipFill>
        <a:blip xmlns:r="http://schemas.openxmlformats.org/officeDocument/2006/relationships" r:embed="rId1"/>
        <a:stretch>
          <a:fillRect/>
        </a:stretch>
      </xdr:blipFill>
      <xdr:spPr>
        <a:xfrm>
          <a:off x="7528181" y="6153150"/>
          <a:ext cx="2601177" cy="472353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18</xdr:col>
      <xdr:colOff>579782</xdr:colOff>
      <xdr:row>40</xdr:row>
      <xdr:rowOff>139975</xdr:rowOff>
    </xdr:from>
    <xdr:to>
      <xdr:col>24</xdr:col>
      <xdr:colOff>1167847</xdr:colOff>
      <xdr:row>70</xdr:row>
      <xdr:rowOff>16564</xdr:rowOff>
    </xdr:to>
    <xdr:graphicFrame macro="">
      <xdr:nvGraphicFramePr>
        <xdr:cNvPr id="2" name="Chart 1">
          <a:extLst>
            <a:ext uri="{FF2B5EF4-FFF2-40B4-BE49-F238E27FC236}">
              <a16:creationId xmlns:a16="http://schemas.microsoft.com/office/drawing/2014/main" id="{4812A856-2BC2-4E60-912D-F7CDE9FD48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1203237</xdr:colOff>
      <xdr:row>55</xdr:row>
      <xdr:rowOff>18748</xdr:rowOff>
    </xdr:from>
    <xdr:to>
      <xdr:col>18</xdr:col>
      <xdr:colOff>405846</xdr:colOff>
      <xdr:row>84</xdr:row>
      <xdr:rowOff>103156</xdr:rowOff>
    </xdr:to>
    <xdr:graphicFrame macro="">
      <xdr:nvGraphicFramePr>
        <xdr:cNvPr id="2" name="Chart 1">
          <a:extLst>
            <a:ext uri="{FF2B5EF4-FFF2-40B4-BE49-F238E27FC236}">
              <a16:creationId xmlns:a16="http://schemas.microsoft.com/office/drawing/2014/main" id="{067C788B-70F1-445D-9139-9CDDB7E37A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931769</xdr:colOff>
      <xdr:row>67</xdr:row>
      <xdr:rowOff>67795</xdr:rowOff>
    </xdr:from>
    <xdr:to>
      <xdr:col>29</xdr:col>
      <xdr:colOff>647700</xdr:colOff>
      <xdr:row>98</xdr:row>
      <xdr:rowOff>167658</xdr:rowOff>
    </xdr:to>
    <xdr:graphicFrame macro="">
      <xdr:nvGraphicFramePr>
        <xdr:cNvPr id="3" name="Chart 2">
          <a:extLst>
            <a:ext uri="{FF2B5EF4-FFF2-40B4-BE49-F238E27FC236}">
              <a16:creationId xmlns:a16="http://schemas.microsoft.com/office/drawing/2014/main" id="{C9ADC0D8-4040-467F-B836-BB6F81E280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22</xdr:col>
      <xdr:colOff>830835</xdr:colOff>
      <xdr:row>43</xdr:row>
      <xdr:rowOff>168091</xdr:rowOff>
    </xdr:from>
    <xdr:to>
      <xdr:col>27</xdr:col>
      <xdr:colOff>1333500</xdr:colOff>
      <xdr:row>67</xdr:row>
      <xdr:rowOff>168088</xdr:rowOff>
    </xdr:to>
    <xdr:graphicFrame macro="">
      <xdr:nvGraphicFramePr>
        <xdr:cNvPr id="2" name="Chart 1">
          <a:extLst>
            <a:ext uri="{FF2B5EF4-FFF2-40B4-BE49-F238E27FC236}">
              <a16:creationId xmlns:a16="http://schemas.microsoft.com/office/drawing/2014/main" id="{33C70A42-0A1E-44DD-94C4-662EAC0E65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7</xdr:col>
      <xdr:colOff>28576</xdr:colOff>
      <xdr:row>69</xdr:row>
      <xdr:rowOff>180974</xdr:rowOff>
    </xdr:from>
    <xdr:to>
      <xdr:col>8</xdr:col>
      <xdr:colOff>467169</xdr:colOff>
      <xdr:row>90</xdr:row>
      <xdr:rowOff>8652</xdr:rowOff>
    </xdr:to>
    <xdr:pic>
      <xdr:nvPicPr>
        <xdr:cNvPr id="2" name="Picture 1">
          <a:extLst>
            <a:ext uri="{FF2B5EF4-FFF2-40B4-BE49-F238E27FC236}">
              <a16:creationId xmlns:a16="http://schemas.microsoft.com/office/drawing/2014/main" id="{0F1D4F1F-FFBA-4C8F-BE3A-82ECE275662B}"/>
            </a:ext>
          </a:extLst>
        </xdr:cNvPr>
        <xdr:cNvPicPr>
          <a:picLocks noChangeAspect="1"/>
        </xdr:cNvPicPr>
      </xdr:nvPicPr>
      <xdr:blipFill>
        <a:blip xmlns:r="http://schemas.openxmlformats.org/officeDocument/2006/relationships" r:embed="rId1"/>
        <a:stretch>
          <a:fillRect/>
        </a:stretch>
      </xdr:blipFill>
      <xdr:spPr>
        <a:xfrm>
          <a:off x="7515226" y="14782799"/>
          <a:ext cx="1857818" cy="4028203"/>
        </a:xfrm>
        <a:prstGeom prst="rect">
          <a:avLst/>
        </a:prstGeom>
      </xdr:spPr>
    </xdr:pic>
    <xdr:clientData/>
  </xdr:twoCellAnchor>
  <xdr:twoCellAnchor editAs="oneCell">
    <xdr:from>
      <xdr:col>8</xdr:col>
      <xdr:colOff>447674</xdr:colOff>
      <xdr:row>70</xdr:row>
      <xdr:rowOff>18057</xdr:rowOff>
    </xdr:from>
    <xdr:to>
      <xdr:col>15</xdr:col>
      <xdr:colOff>198450</xdr:colOff>
      <xdr:row>83</xdr:row>
      <xdr:rowOff>113485</xdr:rowOff>
    </xdr:to>
    <xdr:pic>
      <xdr:nvPicPr>
        <xdr:cNvPr id="3" name="Picture 2">
          <a:extLst>
            <a:ext uri="{FF2B5EF4-FFF2-40B4-BE49-F238E27FC236}">
              <a16:creationId xmlns:a16="http://schemas.microsoft.com/office/drawing/2014/main" id="{42DF17F4-986A-4446-A040-7AA3D1B21585}"/>
            </a:ext>
          </a:extLst>
        </xdr:cNvPr>
        <xdr:cNvPicPr>
          <a:picLocks noChangeAspect="1"/>
        </xdr:cNvPicPr>
      </xdr:nvPicPr>
      <xdr:blipFill>
        <a:blip xmlns:r="http://schemas.openxmlformats.org/officeDocument/2006/relationships" r:embed="rId2"/>
        <a:stretch>
          <a:fillRect/>
        </a:stretch>
      </xdr:blipFill>
      <xdr:spPr>
        <a:xfrm>
          <a:off x="9353549" y="14819907"/>
          <a:ext cx="5227651" cy="2695753"/>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7</xdr:col>
      <xdr:colOff>28576</xdr:colOff>
      <xdr:row>69</xdr:row>
      <xdr:rowOff>0</xdr:rowOff>
    </xdr:from>
    <xdr:to>
      <xdr:col>8</xdr:col>
      <xdr:colOff>467169</xdr:colOff>
      <xdr:row>89</xdr:row>
      <xdr:rowOff>26836</xdr:rowOff>
    </xdr:to>
    <xdr:pic>
      <xdr:nvPicPr>
        <xdr:cNvPr id="3" name="Picture 2">
          <a:extLst>
            <a:ext uri="{FF2B5EF4-FFF2-40B4-BE49-F238E27FC236}">
              <a16:creationId xmlns:a16="http://schemas.microsoft.com/office/drawing/2014/main" id="{4D1BF5EF-7EE4-4632-8106-2E748B55D9C2}"/>
            </a:ext>
          </a:extLst>
        </xdr:cNvPr>
        <xdr:cNvPicPr>
          <a:picLocks noChangeAspect="1"/>
        </xdr:cNvPicPr>
      </xdr:nvPicPr>
      <xdr:blipFill>
        <a:blip xmlns:r="http://schemas.openxmlformats.org/officeDocument/2006/relationships" r:embed="rId1"/>
        <a:stretch>
          <a:fillRect/>
        </a:stretch>
      </xdr:blipFill>
      <xdr:spPr>
        <a:xfrm>
          <a:off x="7515226" y="6181724"/>
          <a:ext cx="1857818" cy="4023439"/>
        </a:xfrm>
        <a:prstGeom prst="rect">
          <a:avLst/>
        </a:prstGeom>
      </xdr:spPr>
    </xdr:pic>
    <xdr:clientData/>
  </xdr:twoCellAnchor>
  <xdr:twoCellAnchor editAs="oneCell">
    <xdr:from>
      <xdr:col>8</xdr:col>
      <xdr:colOff>447674</xdr:colOff>
      <xdr:row>69</xdr:row>
      <xdr:rowOff>18057</xdr:rowOff>
    </xdr:from>
    <xdr:to>
      <xdr:col>15</xdr:col>
      <xdr:colOff>198450</xdr:colOff>
      <xdr:row>82</xdr:row>
      <xdr:rowOff>113487</xdr:rowOff>
    </xdr:to>
    <xdr:pic>
      <xdr:nvPicPr>
        <xdr:cNvPr id="4" name="Picture 3">
          <a:extLst>
            <a:ext uri="{FF2B5EF4-FFF2-40B4-BE49-F238E27FC236}">
              <a16:creationId xmlns:a16="http://schemas.microsoft.com/office/drawing/2014/main" id="{BECB0CBB-9523-4912-948D-BD190248DC44}"/>
            </a:ext>
          </a:extLst>
        </xdr:cNvPr>
        <xdr:cNvPicPr>
          <a:picLocks noChangeAspect="1"/>
        </xdr:cNvPicPr>
      </xdr:nvPicPr>
      <xdr:blipFill>
        <a:blip xmlns:r="http://schemas.openxmlformats.org/officeDocument/2006/relationships" r:embed="rId2"/>
        <a:stretch>
          <a:fillRect/>
        </a:stretch>
      </xdr:blipFill>
      <xdr:spPr>
        <a:xfrm>
          <a:off x="9353549" y="6218832"/>
          <a:ext cx="5227651" cy="2690993"/>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24</xdr:col>
      <xdr:colOff>1393736</xdr:colOff>
      <xdr:row>10</xdr:row>
      <xdr:rowOff>174611</xdr:rowOff>
    </xdr:from>
    <xdr:to>
      <xdr:col>31</xdr:col>
      <xdr:colOff>232664</xdr:colOff>
      <xdr:row>40</xdr:row>
      <xdr:rowOff>51201</xdr:rowOff>
    </xdr:to>
    <xdr:graphicFrame macro="">
      <xdr:nvGraphicFramePr>
        <xdr:cNvPr id="4" name="Chart 3">
          <a:extLst>
            <a:ext uri="{FF2B5EF4-FFF2-40B4-BE49-F238E27FC236}">
              <a16:creationId xmlns:a16="http://schemas.microsoft.com/office/drawing/2014/main" id="{0457E28E-D89D-432F-A6E4-DAF9AC6105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9</xdr:col>
      <xdr:colOff>1673086</xdr:colOff>
      <xdr:row>44</xdr:row>
      <xdr:rowOff>115955</xdr:rowOff>
    </xdr:from>
    <xdr:to>
      <xdr:col>15</xdr:col>
      <xdr:colOff>339588</xdr:colOff>
      <xdr:row>69</xdr:row>
      <xdr:rowOff>74544</xdr:rowOff>
    </xdr:to>
    <xdr:graphicFrame macro="">
      <xdr:nvGraphicFramePr>
        <xdr:cNvPr id="3" name="Chart 2">
          <a:extLst>
            <a:ext uri="{FF2B5EF4-FFF2-40B4-BE49-F238E27FC236}">
              <a16:creationId xmlns:a16="http://schemas.microsoft.com/office/drawing/2014/main" id="{4095C5C7-87B5-4D51-977F-EA2A320D42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1203237</xdr:colOff>
      <xdr:row>55</xdr:row>
      <xdr:rowOff>18748</xdr:rowOff>
    </xdr:from>
    <xdr:to>
      <xdr:col>19</xdr:col>
      <xdr:colOff>405846</xdr:colOff>
      <xdr:row>84</xdr:row>
      <xdr:rowOff>103156</xdr:rowOff>
    </xdr:to>
    <xdr:graphicFrame macro="">
      <xdr:nvGraphicFramePr>
        <xdr:cNvPr id="2" name="Chart 1">
          <a:extLst>
            <a:ext uri="{FF2B5EF4-FFF2-40B4-BE49-F238E27FC236}">
              <a16:creationId xmlns:a16="http://schemas.microsoft.com/office/drawing/2014/main" id="{7465E9E9-B490-4F88-94D4-650AB437C3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561975</xdr:colOff>
      <xdr:row>69</xdr:row>
      <xdr:rowOff>123824</xdr:rowOff>
    </xdr:from>
    <xdr:to>
      <xdr:col>42</xdr:col>
      <xdr:colOff>457200</xdr:colOff>
      <xdr:row>101</xdr:row>
      <xdr:rowOff>21981</xdr:rowOff>
    </xdr:to>
    <xdr:graphicFrame macro="">
      <xdr:nvGraphicFramePr>
        <xdr:cNvPr id="3" name="Chart 2">
          <a:extLst>
            <a:ext uri="{FF2B5EF4-FFF2-40B4-BE49-F238E27FC236}">
              <a16:creationId xmlns:a16="http://schemas.microsoft.com/office/drawing/2014/main" id="{A4A29067-1A3D-4042-9C97-44A52FC45B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9</xdr:col>
      <xdr:colOff>1673086</xdr:colOff>
      <xdr:row>94</xdr:row>
      <xdr:rowOff>115955</xdr:rowOff>
    </xdr:from>
    <xdr:to>
      <xdr:col>15</xdr:col>
      <xdr:colOff>339588</xdr:colOff>
      <xdr:row>119</xdr:row>
      <xdr:rowOff>74544</xdr:rowOff>
    </xdr:to>
    <xdr:graphicFrame macro="">
      <xdr:nvGraphicFramePr>
        <xdr:cNvPr id="2" name="Chart 1">
          <a:extLst>
            <a:ext uri="{FF2B5EF4-FFF2-40B4-BE49-F238E27FC236}">
              <a16:creationId xmlns:a16="http://schemas.microsoft.com/office/drawing/2014/main" id="{1EF5CAB8-0E66-4BF8-9D48-8A3639AEAD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891885</xdr:colOff>
      <xdr:row>94</xdr:row>
      <xdr:rowOff>103909</xdr:rowOff>
    </xdr:from>
    <xdr:to>
      <xdr:col>24</xdr:col>
      <xdr:colOff>710045</xdr:colOff>
      <xdr:row>117</xdr:row>
      <xdr:rowOff>138546</xdr:rowOff>
    </xdr:to>
    <xdr:graphicFrame macro="">
      <xdr:nvGraphicFramePr>
        <xdr:cNvPr id="4" name="Chart 3">
          <a:extLst>
            <a:ext uri="{FF2B5EF4-FFF2-40B4-BE49-F238E27FC236}">
              <a16:creationId xmlns:a16="http://schemas.microsoft.com/office/drawing/2014/main" id="{974AAD4C-E237-454B-9EBB-359BB8ED6C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inflationdata.com/Inflation/Consumer_Price_Index/HistoricalCPI.aspx?reloaded=true" TargetMode="External"/><Relationship Id="rId1" Type="http://schemas.openxmlformats.org/officeDocument/2006/relationships/hyperlink" Target="http://taxfoundation.org/article/us-federal-individual-income-tax-rates-history-1913-2013-nominal-and-inflation-adjusted-bracket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E2AB8-2DD0-49A0-96AA-65F43EBEBCCA}">
  <sheetPr codeName="Sheet1"/>
  <dimension ref="A1:B35"/>
  <sheetViews>
    <sheetView topLeftCell="A10" workbookViewId="0">
      <selection activeCell="A35" sqref="A35"/>
    </sheetView>
  </sheetViews>
  <sheetFormatPr defaultRowHeight="15.75" x14ac:dyDescent="0.5"/>
  <cols>
    <col min="1" max="1" width="38.375" customWidth="1"/>
    <col min="2" max="2" width="150.375" customWidth="1"/>
  </cols>
  <sheetData>
    <row r="1" spans="1:2" x14ac:dyDescent="0.5">
      <c r="A1" t="s">
        <v>542</v>
      </c>
    </row>
    <row r="2" spans="1:2" x14ac:dyDescent="0.5">
      <c r="A2" s="5" t="s">
        <v>22</v>
      </c>
      <c r="B2" t="s">
        <v>577</v>
      </c>
    </row>
    <row r="3" spans="1:2" x14ac:dyDescent="0.5">
      <c r="A3" s="5" t="s">
        <v>544</v>
      </c>
      <c r="B3" t="s">
        <v>578</v>
      </c>
    </row>
    <row r="4" spans="1:2" x14ac:dyDescent="0.5">
      <c r="A4" s="5" t="s">
        <v>545</v>
      </c>
      <c r="B4" t="s">
        <v>579</v>
      </c>
    </row>
    <row r="5" spans="1:2" x14ac:dyDescent="0.5">
      <c r="A5" s="5" t="s">
        <v>546</v>
      </c>
      <c r="B5" t="s">
        <v>580</v>
      </c>
    </row>
    <row r="6" spans="1:2" x14ac:dyDescent="0.5">
      <c r="A6" s="5" t="s">
        <v>547</v>
      </c>
      <c r="B6" t="s">
        <v>581</v>
      </c>
    </row>
    <row r="7" spans="1:2" x14ac:dyDescent="0.5">
      <c r="A7" s="5" t="s">
        <v>548</v>
      </c>
      <c r="B7" t="s">
        <v>582</v>
      </c>
    </row>
    <row r="8" spans="1:2" x14ac:dyDescent="0.5">
      <c r="A8" s="5" t="s">
        <v>549</v>
      </c>
      <c r="B8" t="s">
        <v>583</v>
      </c>
    </row>
    <row r="9" spans="1:2" x14ac:dyDescent="0.5">
      <c r="A9" s="5" t="s">
        <v>550</v>
      </c>
      <c r="B9" t="s">
        <v>584</v>
      </c>
    </row>
    <row r="10" spans="1:2" x14ac:dyDescent="0.5">
      <c r="A10" s="5" t="s">
        <v>551</v>
      </c>
      <c r="B10" t="s">
        <v>588</v>
      </c>
    </row>
    <row r="11" spans="1:2" x14ac:dyDescent="0.5">
      <c r="A11" s="5" t="s">
        <v>552</v>
      </c>
      <c r="B11" t="s">
        <v>585</v>
      </c>
    </row>
    <row r="12" spans="1:2" x14ac:dyDescent="0.5">
      <c r="A12" s="5" t="s">
        <v>553</v>
      </c>
      <c r="B12" t="s">
        <v>586</v>
      </c>
    </row>
    <row r="13" spans="1:2" x14ac:dyDescent="0.5">
      <c r="A13" s="5" t="s">
        <v>554</v>
      </c>
      <c r="B13" t="s">
        <v>587</v>
      </c>
    </row>
    <row r="14" spans="1:2" x14ac:dyDescent="0.5">
      <c r="A14" s="5" t="s">
        <v>555</v>
      </c>
      <c r="B14" t="s">
        <v>587</v>
      </c>
    </row>
    <row r="15" spans="1:2" x14ac:dyDescent="0.5">
      <c r="A15" s="5" t="s">
        <v>556</v>
      </c>
      <c r="B15" t="s">
        <v>589</v>
      </c>
    </row>
    <row r="16" spans="1:2" x14ac:dyDescent="0.5">
      <c r="A16" s="5" t="s">
        <v>557</v>
      </c>
      <c r="B16" t="s">
        <v>590</v>
      </c>
    </row>
    <row r="17" spans="1:2" x14ac:dyDescent="0.5">
      <c r="A17" s="5" t="s">
        <v>558</v>
      </c>
      <c r="B17" t="s">
        <v>591</v>
      </c>
    </row>
    <row r="18" spans="1:2" x14ac:dyDescent="0.5">
      <c r="A18" s="5" t="s">
        <v>559</v>
      </c>
      <c r="B18" t="s">
        <v>592</v>
      </c>
    </row>
    <row r="19" spans="1:2" x14ac:dyDescent="0.5">
      <c r="A19" s="5" t="s">
        <v>560</v>
      </c>
      <c r="B19" t="s">
        <v>593</v>
      </c>
    </row>
    <row r="20" spans="1:2" x14ac:dyDescent="0.5">
      <c r="A20" s="5" t="s">
        <v>561</v>
      </c>
      <c r="B20" t="s">
        <v>595</v>
      </c>
    </row>
    <row r="21" spans="1:2" x14ac:dyDescent="0.5">
      <c r="A21" s="5" t="s">
        <v>562</v>
      </c>
      <c r="B21" t="s">
        <v>594</v>
      </c>
    </row>
    <row r="22" spans="1:2" x14ac:dyDescent="0.5">
      <c r="A22" s="5" t="s">
        <v>563</v>
      </c>
      <c r="B22" t="s">
        <v>596</v>
      </c>
    </row>
    <row r="23" spans="1:2" x14ac:dyDescent="0.5">
      <c r="A23" s="5" t="s">
        <v>564</v>
      </c>
      <c r="B23" t="s">
        <v>579</v>
      </c>
    </row>
    <row r="24" spans="1:2" x14ac:dyDescent="0.5">
      <c r="A24" s="5" t="s">
        <v>565</v>
      </c>
      <c r="B24" t="s">
        <v>599</v>
      </c>
    </row>
    <row r="25" spans="1:2" x14ac:dyDescent="0.5">
      <c r="A25" s="5" t="s">
        <v>566</v>
      </c>
      <c r="B25" t="s">
        <v>579</v>
      </c>
    </row>
    <row r="26" spans="1:2" x14ac:dyDescent="0.5">
      <c r="A26" s="5" t="s">
        <v>567</v>
      </c>
      <c r="B26" t="s">
        <v>600</v>
      </c>
    </row>
    <row r="27" spans="1:2" x14ac:dyDescent="0.5">
      <c r="A27" s="5" t="s">
        <v>568</v>
      </c>
      <c r="B27" t="s">
        <v>579</v>
      </c>
    </row>
    <row r="28" spans="1:2" x14ac:dyDescent="0.5">
      <c r="A28" s="5" t="s">
        <v>569</v>
      </c>
      <c r="B28" t="s">
        <v>601</v>
      </c>
    </row>
    <row r="29" spans="1:2" x14ac:dyDescent="0.5">
      <c r="A29" s="5" t="s">
        <v>570</v>
      </c>
      <c r="B29" t="s">
        <v>579</v>
      </c>
    </row>
    <row r="30" spans="1:2" x14ac:dyDescent="0.5">
      <c r="A30" s="5" t="s">
        <v>571</v>
      </c>
      <c r="B30" t="s">
        <v>602</v>
      </c>
    </row>
    <row r="31" spans="1:2" x14ac:dyDescent="0.5">
      <c r="A31" s="5" t="s">
        <v>572</v>
      </c>
      <c r="B31" t="s">
        <v>579</v>
      </c>
    </row>
    <row r="32" spans="1:2" x14ac:dyDescent="0.5">
      <c r="A32" s="5" t="s">
        <v>573</v>
      </c>
      <c r="B32" t="s">
        <v>603</v>
      </c>
    </row>
    <row r="33" spans="1:2" x14ac:dyDescent="0.5">
      <c r="A33" s="5" t="s">
        <v>574</v>
      </c>
      <c r="B33" t="s">
        <v>579</v>
      </c>
    </row>
    <row r="34" spans="1:2" x14ac:dyDescent="0.5">
      <c r="A34" s="5" t="s">
        <v>575</v>
      </c>
      <c r="B34" t="s">
        <v>597</v>
      </c>
    </row>
    <row r="35" spans="1:2" x14ac:dyDescent="0.5">
      <c r="A35" s="5" t="s">
        <v>576</v>
      </c>
      <c r="B35" t="s">
        <v>598</v>
      </c>
    </row>
  </sheetData>
  <hyperlinks>
    <hyperlink ref="A2" location="Start2" display="CPI" xr:uid="{D991C423-90EB-4841-B33A-C797EE9E33D4}"/>
    <hyperlink ref="A3" location="Start3" display="Data" xr:uid="{9ADC1F94-8FDA-4617-83D1-2DC8F3F28D9C}"/>
    <hyperlink ref="A4" location="Start4" display="Metadata" xr:uid="{A8FE45AB-32F6-4101-AE93-B7D1087BF564}"/>
    <hyperlink ref="A5" location="Start5" display="Minimum Deflation Total" xr:uid="{C5B7F5BC-5E21-4CEB-B9C1-76C057056FE8}"/>
    <hyperlink ref="A6" location="Start6" display="Norway Model Year by Year" xr:uid="{FD71C2B8-AFD5-4A79-B68F-BD241AC25BD2}"/>
    <hyperlink ref="A7" location="Start7" display="Wealth Growth Norway" xr:uid="{E2A08EE2-CF07-449D-8B18-750851D7D1A0}"/>
    <hyperlink ref="A8" location="Start8" display="Sweden Model Year by Year" xr:uid="{4A9D85A7-ACDB-4725-A898-92784E0583A8}"/>
    <hyperlink ref="A9" location="Start9" display="Wealth Growth Sweden" xr:uid="{D3D51629-A2AD-4D1D-96D1-346B34564496}"/>
    <hyperlink ref="A10" location="Start10" display="Denmark Labor Year by Year Thre" xr:uid="{9AEDA886-EE26-4CE9-83BD-1D1BDA046E50}"/>
    <hyperlink ref="A11" location="Start11" display="Denmark Model Year by Year" xr:uid="{C6C15E4D-BB88-44A8-AD98-A575E93B3145}"/>
    <hyperlink ref="A12" location="Start12" display="Wealth Growth Denmark" xr:uid="{8C897178-E0FD-4475-834A-F62D1370A7AF}"/>
    <hyperlink ref="A13" location="Start13" display="France Labor Year by Year Thre" xr:uid="{313DAD61-608A-4E73-804D-58B790D9B890}"/>
    <hyperlink ref="A14" location="Start14" display="France Cpital Year by Year Thre" xr:uid="{75CFA64D-3B2B-4859-BC95-D3CEEDEE8636}"/>
    <hyperlink ref="A15" location="Start15" display="France Model Year by Year" xr:uid="{97A02CF0-28D5-4E89-8206-1C1021126675}"/>
    <hyperlink ref="A16" location="Start16" display="Wealth Growth USA from real" xr:uid="{D1AA0281-0FF5-4340-9097-F09E2193716E}"/>
    <hyperlink ref="A17" location="Start17" display="Wealth Growth USA" xr:uid="{18A92655-A7E5-4B66-AB5C-B530EC80E1C6}"/>
    <hyperlink ref="A18" location="Start18" display="USA Labor Year by Year Thres" xr:uid="{7B22D8EB-54CF-4F20-8706-1E2BD039D83D}"/>
    <hyperlink ref="A19" location="Start19" display="USA Labor Year by Year Max Avg" xr:uid="{A448044A-B301-4A7D-825C-C9B06002EC29}"/>
    <hyperlink ref="A20" location="Start20" display="USA Cpital Year by Year Thres" xr:uid="{A09E4C24-FE20-49BB-AA00-973C7A69262A}"/>
    <hyperlink ref="A21" location="Start21" display="USA Capital Year by Year Avg" xr:uid="{3022D978-B403-481C-917E-7C2A51D38D4B}"/>
    <hyperlink ref="A22" location="Start22" display="Top 1% Labor Share" xr:uid="{7D8A5AC1-A4EB-460A-AE33-3E6101409FE5}"/>
    <hyperlink ref="A23" location="Start23" display="Top 1% Labor Share MetaData" xr:uid="{26CE1C86-7B27-440E-BEE7-22F052716EE3}"/>
    <hyperlink ref="A24" location="Start24" display="Top 10% Labor Share" xr:uid="{47123FB9-7524-4325-B680-E1E14B3FA37E}"/>
    <hyperlink ref="A25" location="Start25" display="Top 10% Labor Share MetaData" xr:uid="{EA54A997-356A-423E-B5F4-59B410829FD3}"/>
    <hyperlink ref="A26" location="Start26" display="Bottom 90% Labor Share" xr:uid="{09BC52CD-47AE-4932-97D0-F92F434E6923}"/>
    <hyperlink ref="A27" location="Start27" display="Bottom 90% Labor Share Meta" xr:uid="{0DE1B322-F177-491C-B1CF-A08EC5044353}"/>
    <hyperlink ref="A28" location="Start28" display="Average Labor Income" xr:uid="{AFF20BCC-18C8-4917-A606-6697F903C349}"/>
    <hyperlink ref="A29" location="Start29" display="Average Labor Income meta" xr:uid="{5A67ED0D-1909-4576-8363-1A27FAB2D88E}"/>
    <hyperlink ref="A30" location="Start30" display="99.9% Threshold Labor" xr:uid="{BC5F2A55-D1D5-44E9-821B-82506121CAD1}"/>
    <hyperlink ref="A31" location="Start31" display="99.9% Threshold Labor Meta" xr:uid="{A763E82E-5931-480D-A1A0-126C6895F546}"/>
    <hyperlink ref="A32" location="Start32" display="99.9% Average Labor" xr:uid="{E0B886E7-AD7B-4B79-B295-C138E7155BD1}"/>
    <hyperlink ref="A33" location="Start33" display="99.9% Average Labor meta" xr:uid="{8F321541-CC3B-46A5-8849-5C47E6EC5963}"/>
    <hyperlink ref="A34" location="Start34" display="DNK to PPP" xr:uid="{1FE98BB9-A8B3-41BE-B4B6-1E41B32E20E3}"/>
    <hyperlink ref="A35" location="Start35" display="Lissy webtabulator" xr:uid="{C3EAD4BE-2186-4913-A17E-93DF5A41D5F7}"/>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H107"/>
  <sheetViews>
    <sheetView zoomScale="173" workbookViewId="0">
      <pane ySplit="1" topLeftCell="A73" activePane="bottomLeft" state="frozen"/>
      <selection activeCell="I68" sqref="I68"/>
      <selection pane="bottomLeft" activeCell="B100" sqref="B100"/>
    </sheetView>
  </sheetViews>
  <sheetFormatPr defaultColWidth="6" defaultRowHeight="11.65" x14ac:dyDescent="0.35"/>
  <cols>
    <col min="1" max="1" width="6" style="6" customWidth="1"/>
    <col min="2" max="2" width="4.625" style="4" bestFit="1" customWidth="1"/>
    <col min="3" max="17" width="6" style="4" customWidth="1"/>
    <col min="18" max="16384" width="6" style="4"/>
  </cols>
  <sheetData>
    <row r="1" spans="1:8" ht="33" customHeight="1" x14ac:dyDescent="0.5">
      <c r="A1" s="4"/>
      <c r="B1" s="5" t="s">
        <v>22</v>
      </c>
      <c r="C1" s="5" t="s">
        <v>24</v>
      </c>
      <c r="H1" s="5" t="s">
        <v>543</v>
      </c>
    </row>
    <row r="2" spans="1:8" hidden="1" x14ac:dyDescent="0.35">
      <c r="A2" s="6">
        <v>1913</v>
      </c>
      <c r="B2" s="7">
        <v>9.9</v>
      </c>
    </row>
    <row r="3" spans="1:8" hidden="1" x14ac:dyDescent="0.35">
      <c r="A3" s="6">
        <v>1914</v>
      </c>
      <c r="B3" s="7">
        <v>10</v>
      </c>
    </row>
    <row r="4" spans="1:8" hidden="1" x14ac:dyDescent="0.35">
      <c r="A4" s="6">
        <v>1915</v>
      </c>
      <c r="B4" s="7">
        <v>10.1</v>
      </c>
    </row>
    <row r="5" spans="1:8" hidden="1" x14ac:dyDescent="0.35">
      <c r="A5" s="6">
        <v>1916</v>
      </c>
      <c r="B5" s="7">
        <v>10.9</v>
      </c>
    </row>
    <row r="6" spans="1:8" hidden="1" x14ac:dyDescent="0.35">
      <c r="A6" s="6">
        <v>1917</v>
      </c>
      <c r="B6" s="7">
        <v>12.8</v>
      </c>
    </row>
    <row r="7" spans="1:8" hidden="1" x14ac:dyDescent="0.35">
      <c r="A7" s="6">
        <v>1918</v>
      </c>
      <c r="B7" s="7">
        <v>15.1</v>
      </c>
    </row>
    <row r="8" spans="1:8" hidden="1" x14ac:dyDescent="0.35">
      <c r="A8" s="6">
        <v>1919</v>
      </c>
      <c r="B8" s="7">
        <v>17.3</v>
      </c>
    </row>
    <row r="9" spans="1:8" hidden="1" x14ac:dyDescent="0.35">
      <c r="A9" s="6">
        <v>1920</v>
      </c>
      <c r="B9" s="7">
        <v>20</v>
      </c>
    </row>
    <row r="10" spans="1:8" hidden="1" x14ac:dyDescent="0.35">
      <c r="A10" s="6">
        <v>1921</v>
      </c>
      <c r="B10" s="7">
        <v>17.899999999999999</v>
      </c>
    </row>
    <row r="11" spans="1:8" hidden="1" x14ac:dyDescent="0.35">
      <c r="A11" s="6">
        <v>1922</v>
      </c>
      <c r="B11" s="7">
        <v>16.8</v>
      </c>
    </row>
    <row r="12" spans="1:8" hidden="1" x14ac:dyDescent="0.35">
      <c r="A12" s="6">
        <v>1923</v>
      </c>
      <c r="B12" s="7">
        <v>17.100000000000001</v>
      </c>
    </row>
    <row r="13" spans="1:8" hidden="1" x14ac:dyDescent="0.35">
      <c r="A13" s="6">
        <v>1924</v>
      </c>
      <c r="B13" s="7">
        <v>17.100000000000001</v>
      </c>
    </row>
    <row r="14" spans="1:8" hidden="1" x14ac:dyDescent="0.35">
      <c r="A14" s="6">
        <v>1925</v>
      </c>
      <c r="B14" s="7">
        <v>17.5</v>
      </c>
    </row>
    <row r="15" spans="1:8" hidden="1" x14ac:dyDescent="0.35">
      <c r="A15" s="6">
        <v>1926</v>
      </c>
      <c r="B15" s="7">
        <v>17.7</v>
      </c>
    </row>
    <row r="16" spans="1:8" hidden="1" x14ac:dyDescent="0.35">
      <c r="A16" s="6">
        <v>1927</v>
      </c>
      <c r="B16" s="7">
        <v>17.399999999999999</v>
      </c>
    </row>
    <row r="17" spans="1:2" hidden="1" x14ac:dyDescent="0.35">
      <c r="A17" s="6">
        <v>1928</v>
      </c>
      <c r="B17" s="7">
        <v>17.100000000000001</v>
      </c>
    </row>
    <row r="18" spans="1:2" hidden="1" x14ac:dyDescent="0.35">
      <c r="A18" s="6">
        <v>1929</v>
      </c>
      <c r="B18" s="7">
        <v>17.100000000000001</v>
      </c>
    </row>
    <row r="19" spans="1:2" hidden="1" x14ac:dyDescent="0.35">
      <c r="A19" s="6">
        <v>1930</v>
      </c>
      <c r="B19" s="7">
        <v>16.7</v>
      </c>
    </row>
    <row r="20" spans="1:2" hidden="1" x14ac:dyDescent="0.35">
      <c r="A20" s="6">
        <v>1931</v>
      </c>
      <c r="B20" s="7">
        <v>15.2</v>
      </c>
    </row>
    <row r="21" spans="1:2" hidden="1" x14ac:dyDescent="0.35">
      <c r="A21" s="6">
        <v>1932</v>
      </c>
      <c r="B21" s="7">
        <v>13.7</v>
      </c>
    </row>
    <row r="22" spans="1:2" hidden="1" x14ac:dyDescent="0.35">
      <c r="A22" s="6">
        <v>1933</v>
      </c>
      <c r="B22" s="7">
        <v>13</v>
      </c>
    </row>
    <row r="23" spans="1:2" hidden="1" x14ac:dyDescent="0.35">
      <c r="A23" s="6">
        <v>1934</v>
      </c>
      <c r="B23" s="7">
        <v>13.4</v>
      </c>
    </row>
    <row r="24" spans="1:2" hidden="1" x14ac:dyDescent="0.35">
      <c r="A24" s="6">
        <v>1935</v>
      </c>
      <c r="B24" s="7">
        <v>13.7</v>
      </c>
    </row>
    <row r="25" spans="1:2" hidden="1" x14ac:dyDescent="0.35">
      <c r="A25" s="6">
        <v>1936</v>
      </c>
      <c r="B25" s="7">
        <v>13.9</v>
      </c>
    </row>
    <row r="26" spans="1:2" hidden="1" x14ac:dyDescent="0.35">
      <c r="A26" s="6">
        <v>1937</v>
      </c>
      <c r="B26" s="7">
        <v>14.4</v>
      </c>
    </row>
    <row r="27" spans="1:2" hidden="1" x14ac:dyDescent="0.35">
      <c r="A27" s="6">
        <v>1938</v>
      </c>
      <c r="B27" s="7">
        <v>14.1</v>
      </c>
    </row>
    <row r="28" spans="1:2" hidden="1" x14ac:dyDescent="0.35">
      <c r="A28" s="6">
        <v>1939</v>
      </c>
      <c r="B28" s="7">
        <v>13.9</v>
      </c>
    </row>
    <row r="29" spans="1:2" hidden="1" x14ac:dyDescent="0.35">
      <c r="A29" s="6">
        <v>1940</v>
      </c>
      <c r="B29" s="7">
        <v>14</v>
      </c>
    </row>
    <row r="30" spans="1:2" hidden="1" x14ac:dyDescent="0.35">
      <c r="A30" s="6">
        <v>1941</v>
      </c>
      <c r="B30" s="7">
        <v>14.7</v>
      </c>
    </row>
    <row r="31" spans="1:2" hidden="1" x14ac:dyDescent="0.35">
      <c r="A31" s="6">
        <v>1942</v>
      </c>
      <c r="B31" s="7">
        <v>16.3</v>
      </c>
    </row>
    <row r="32" spans="1:2" hidden="1" x14ac:dyDescent="0.35">
      <c r="A32" s="6">
        <v>1943</v>
      </c>
      <c r="B32" s="7">
        <v>17.3</v>
      </c>
    </row>
    <row r="33" spans="1:2" hidden="1" x14ac:dyDescent="0.35">
      <c r="A33" s="6">
        <v>1944</v>
      </c>
      <c r="B33" s="7">
        <v>17.600000000000001</v>
      </c>
    </row>
    <row r="34" spans="1:2" hidden="1" x14ac:dyDescent="0.35">
      <c r="A34" s="6">
        <v>1945</v>
      </c>
      <c r="B34" s="7">
        <v>18</v>
      </c>
    </row>
    <row r="35" spans="1:2" hidden="1" x14ac:dyDescent="0.35">
      <c r="A35" s="6">
        <v>1946</v>
      </c>
      <c r="B35" s="7">
        <v>19.5</v>
      </c>
    </row>
    <row r="36" spans="1:2" hidden="1" x14ac:dyDescent="0.35">
      <c r="A36" s="6">
        <v>1947</v>
      </c>
      <c r="B36" s="7">
        <v>22.3</v>
      </c>
    </row>
    <row r="37" spans="1:2" hidden="1" x14ac:dyDescent="0.35">
      <c r="A37" s="6">
        <v>1948</v>
      </c>
      <c r="B37" s="7">
        <v>24.1</v>
      </c>
    </row>
    <row r="38" spans="1:2" hidden="1" x14ac:dyDescent="0.35">
      <c r="A38" s="6">
        <v>1949</v>
      </c>
      <c r="B38" s="7">
        <v>23.8</v>
      </c>
    </row>
    <row r="39" spans="1:2" hidden="1" x14ac:dyDescent="0.35">
      <c r="A39" s="6">
        <v>1950</v>
      </c>
      <c r="B39" s="7">
        <v>24.1</v>
      </c>
    </row>
    <row r="40" spans="1:2" hidden="1" x14ac:dyDescent="0.35">
      <c r="A40" s="6">
        <v>1951</v>
      </c>
      <c r="B40" s="7">
        <v>26</v>
      </c>
    </row>
    <row r="41" spans="1:2" hidden="1" x14ac:dyDescent="0.35">
      <c r="A41" s="6">
        <v>1952</v>
      </c>
      <c r="B41" s="7">
        <v>26.5</v>
      </c>
    </row>
    <row r="42" spans="1:2" hidden="1" x14ac:dyDescent="0.35">
      <c r="A42" s="6">
        <v>1953</v>
      </c>
      <c r="B42" s="7">
        <v>26.7</v>
      </c>
    </row>
    <row r="43" spans="1:2" hidden="1" x14ac:dyDescent="0.35">
      <c r="A43" s="6">
        <v>1954</v>
      </c>
      <c r="B43" s="7">
        <v>26.9</v>
      </c>
    </row>
    <row r="44" spans="1:2" hidden="1" x14ac:dyDescent="0.35">
      <c r="A44" s="6">
        <v>1955</v>
      </c>
      <c r="B44" s="7">
        <v>26.8</v>
      </c>
    </row>
    <row r="45" spans="1:2" hidden="1" x14ac:dyDescent="0.35">
      <c r="A45" s="6">
        <v>1956</v>
      </c>
      <c r="B45" s="7">
        <v>27.2</v>
      </c>
    </row>
    <row r="46" spans="1:2" hidden="1" x14ac:dyDescent="0.35">
      <c r="A46" s="6">
        <v>1957</v>
      </c>
      <c r="B46" s="7">
        <v>28.1</v>
      </c>
    </row>
    <row r="47" spans="1:2" hidden="1" x14ac:dyDescent="0.35">
      <c r="A47" s="6">
        <v>1958</v>
      </c>
      <c r="B47" s="7">
        <v>28.9</v>
      </c>
    </row>
    <row r="48" spans="1:2" hidden="1" x14ac:dyDescent="0.35">
      <c r="A48" s="6">
        <v>1959</v>
      </c>
      <c r="B48" s="7">
        <v>29.1</v>
      </c>
    </row>
    <row r="49" spans="1:2" x14ac:dyDescent="0.35">
      <c r="A49" s="6">
        <v>1960</v>
      </c>
      <c r="B49" s="7">
        <v>29.6</v>
      </c>
    </row>
    <row r="50" spans="1:2" x14ac:dyDescent="0.35">
      <c r="A50" s="6">
        <v>1961</v>
      </c>
      <c r="B50" s="7">
        <v>29.9</v>
      </c>
    </row>
    <row r="51" spans="1:2" x14ac:dyDescent="0.35">
      <c r="A51" s="6">
        <v>1962</v>
      </c>
      <c r="B51" s="7">
        <v>30.2</v>
      </c>
    </row>
    <row r="52" spans="1:2" x14ac:dyDescent="0.35">
      <c r="A52" s="6">
        <v>1963</v>
      </c>
      <c r="B52" s="7">
        <v>30.6</v>
      </c>
    </row>
    <row r="53" spans="1:2" x14ac:dyDescent="0.35">
      <c r="A53" s="6">
        <v>1964</v>
      </c>
      <c r="B53" s="7">
        <v>31</v>
      </c>
    </row>
    <row r="54" spans="1:2" x14ac:dyDescent="0.35">
      <c r="A54" s="6">
        <v>1965</v>
      </c>
      <c r="B54" s="7">
        <v>31.5</v>
      </c>
    </row>
    <row r="55" spans="1:2" x14ac:dyDescent="0.35">
      <c r="A55" s="6">
        <v>1966</v>
      </c>
      <c r="B55" s="7">
        <v>32.4</v>
      </c>
    </row>
    <row r="56" spans="1:2" x14ac:dyDescent="0.35">
      <c r="A56" s="6">
        <v>1967</v>
      </c>
      <c r="B56" s="7">
        <v>33.4</v>
      </c>
    </row>
    <row r="57" spans="1:2" x14ac:dyDescent="0.35">
      <c r="A57" s="6">
        <v>1968</v>
      </c>
      <c r="B57" s="7">
        <v>34.799999999999997</v>
      </c>
    </row>
    <row r="58" spans="1:2" x14ac:dyDescent="0.35">
      <c r="A58" s="6">
        <v>1969</v>
      </c>
      <c r="B58" s="7">
        <v>36.700000000000003</v>
      </c>
    </row>
    <row r="59" spans="1:2" x14ac:dyDescent="0.35">
      <c r="A59" s="6">
        <v>1970</v>
      </c>
      <c r="B59" s="7">
        <v>38.799999999999997</v>
      </c>
    </row>
    <row r="60" spans="1:2" x14ac:dyDescent="0.35">
      <c r="A60" s="6">
        <v>1971</v>
      </c>
      <c r="B60" s="7">
        <v>40.5</v>
      </c>
    </row>
    <row r="61" spans="1:2" x14ac:dyDescent="0.35">
      <c r="A61" s="6">
        <v>1972</v>
      </c>
      <c r="B61" s="7">
        <v>41.8</v>
      </c>
    </row>
    <row r="62" spans="1:2" x14ac:dyDescent="0.35">
      <c r="A62" s="6">
        <v>1973</v>
      </c>
      <c r="B62" s="7">
        <v>44.4</v>
      </c>
    </row>
    <row r="63" spans="1:2" x14ac:dyDescent="0.35">
      <c r="A63" s="6">
        <v>1974</v>
      </c>
      <c r="B63" s="7">
        <v>49.3</v>
      </c>
    </row>
    <row r="64" spans="1:2" x14ac:dyDescent="0.35">
      <c r="A64" s="6">
        <v>1975</v>
      </c>
      <c r="B64" s="7">
        <v>53.8</v>
      </c>
    </row>
    <row r="65" spans="1:2" x14ac:dyDescent="0.35">
      <c r="A65" s="6">
        <v>1976</v>
      </c>
      <c r="B65" s="7">
        <v>56.9</v>
      </c>
    </row>
    <row r="66" spans="1:2" x14ac:dyDescent="0.35">
      <c r="A66" s="6">
        <v>1977</v>
      </c>
      <c r="B66" s="7">
        <v>60.6</v>
      </c>
    </row>
    <row r="67" spans="1:2" x14ac:dyDescent="0.35">
      <c r="A67" s="6">
        <v>1978</v>
      </c>
      <c r="B67" s="7">
        <v>65.2</v>
      </c>
    </row>
    <row r="68" spans="1:2" x14ac:dyDescent="0.35">
      <c r="A68" s="6">
        <v>1979</v>
      </c>
      <c r="B68" s="7">
        <v>72.599999999999994</v>
      </c>
    </row>
    <row r="69" spans="1:2" x14ac:dyDescent="0.35">
      <c r="A69" s="6">
        <v>1980</v>
      </c>
      <c r="B69" s="7">
        <v>82.4</v>
      </c>
    </row>
    <row r="70" spans="1:2" x14ac:dyDescent="0.35">
      <c r="A70" s="6">
        <v>1981</v>
      </c>
      <c r="B70" s="7">
        <v>90.9</v>
      </c>
    </row>
    <row r="71" spans="1:2" x14ac:dyDescent="0.35">
      <c r="A71" s="6">
        <v>1982</v>
      </c>
      <c r="B71" s="7">
        <v>96.5</v>
      </c>
    </row>
    <row r="72" spans="1:2" x14ac:dyDescent="0.35">
      <c r="A72" s="6">
        <v>1983</v>
      </c>
      <c r="B72" s="7">
        <v>99.6</v>
      </c>
    </row>
    <row r="73" spans="1:2" x14ac:dyDescent="0.35">
      <c r="A73" s="6">
        <v>1984</v>
      </c>
      <c r="B73" s="7">
        <v>103.9</v>
      </c>
    </row>
    <row r="74" spans="1:2" x14ac:dyDescent="0.35">
      <c r="A74" s="6">
        <v>1985</v>
      </c>
      <c r="B74" s="7">
        <v>107.6</v>
      </c>
    </row>
    <row r="75" spans="1:2" x14ac:dyDescent="0.35">
      <c r="A75" s="6">
        <v>1986</v>
      </c>
      <c r="B75" s="7">
        <v>109.6</v>
      </c>
    </row>
    <row r="76" spans="1:2" x14ac:dyDescent="0.35">
      <c r="A76" s="6">
        <v>1987</v>
      </c>
      <c r="B76" s="7">
        <v>113.6</v>
      </c>
    </row>
    <row r="77" spans="1:2" x14ac:dyDescent="0.35">
      <c r="A77" s="6">
        <v>1988</v>
      </c>
      <c r="B77" s="7">
        <v>118.3</v>
      </c>
    </row>
    <row r="78" spans="1:2" x14ac:dyDescent="0.35">
      <c r="A78" s="6">
        <v>1989</v>
      </c>
      <c r="B78" s="7">
        <v>124</v>
      </c>
    </row>
    <row r="79" spans="1:2" x14ac:dyDescent="0.35">
      <c r="A79" s="6">
        <v>1990</v>
      </c>
      <c r="B79" s="7">
        <v>130.69999999999999</v>
      </c>
    </row>
    <row r="80" spans="1:2" x14ac:dyDescent="0.35">
      <c r="A80" s="6">
        <v>1991</v>
      </c>
      <c r="B80" s="7">
        <v>136.19999999999999</v>
      </c>
    </row>
    <row r="81" spans="1:2" x14ac:dyDescent="0.35">
      <c r="A81" s="6">
        <v>1992</v>
      </c>
      <c r="B81" s="7">
        <v>140.30000000000001</v>
      </c>
    </row>
    <row r="82" spans="1:2" x14ac:dyDescent="0.35">
      <c r="A82" s="6">
        <v>1993</v>
      </c>
      <c r="B82" s="7">
        <v>144.5</v>
      </c>
    </row>
    <row r="83" spans="1:2" x14ac:dyDescent="0.35">
      <c r="A83" s="6">
        <v>1994</v>
      </c>
      <c r="B83" s="7">
        <v>148.19999999999999</v>
      </c>
    </row>
    <row r="84" spans="1:2" x14ac:dyDescent="0.35">
      <c r="A84" s="6">
        <v>1995</v>
      </c>
      <c r="B84" s="7">
        <v>152.4</v>
      </c>
    </row>
    <row r="85" spans="1:2" x14ac:dyDescent="0.35">
      <c r="A85" s="6">
        <v>1996</v>
      </c>
      <c r="B85" s="7">
        <v>156.9</v>
      </c>
    </row>
    <row r="86" spans="1:2" x14ac:dyDescent="0.35">
      <c r="A86" s="6">
        <v>1997</v>
      </c>
      <c r="B86" s="7">
        <v>160.5</v>
      </c>
    </row>
    <row r="87" spans="1:2" x14ac:dyDescent="0.35">
      <c r="A87" s="6">
        <v>1998</v>
      </c>
      <c r="B87" s="7">
        <v>163</v>
      </c>
    </row>
    <row r="88" spans="1:2" x14ac:dyDescent="0.35">
      <c r="A88" s="6">
        <v>1999</v>
      </c>
      <c r="B88" s="7">
        <v>166.6</v>
      </c>
    </row>
    <row r="89" spans="1:2" x14ac:dyDescent="0.35">
      <c r="A89" s="6">
        <v>2000</v>
      </c>
      <c r="B89" s="7">
        <v>172.2</v>
      </c>
    </row>
    <row r="90" spans="1:2" x14ac:dyDescent="0.35">
      <c r="A90" s="6">
        <v>2001</v>
      </c>
      <c r="B90" s="7">
        <v>177.1</v>
      </c>
    </row>
    <row r="91" spans="1:2" x14ac:dyDescent="0.35">
      <c r="A91" s="6">
        <v>2002</v>
      </c>
      <c r="B91" s="7">
        <v>179.9</v>
      </c>
    </row>
    <row r="92" spans="1:2" x14ac:dyDescent="0.35">
      <c r="A92" s="6">
        <v>2003</v>
      </c>
      <c r="B92" s="7">
        <v>184</v>
      </c>
    </row>
    <row r="93" spans="1:2" x14ac:dyDescent="0.35">
      <c r="A93" s="6">
        <v>2004</v>
      </c>
      <c r="B93" s="7">
        <v>188.9</v>
      </c>
    </row>
    <row r="94" spans="1:2" x14ac:dyDescent="0.35">
      <c r="A94" s="6">
        <v>2005</v>
      </c>
      <c r="B94" s="7">
        <v>195.3</v>
      </c>
    </row>
    <row r="95" spans="1:2" x14ac:dyDescent="0.35">
      <c r="A95" s="6">
        <v>2006</v>
      </c>
      <c r="B95" s="7">
        <v>201.6</v>
      </c>
    </row>
    <row r="96" spans="1:2" x14ac:dyDescent="0.35">
      <c r="A96" s="6">
        <v>2007</v>
      </c>
      <c r="B96" s="7">
        <v>207.3</v>
      </c>
    </row>
    <row r="97" spans="1:3" x14ac:dyDescent="0.35">
      <c r="A97" s="6">
        <v>2008</v>
      </c>
      <c r="B97" s="7">
        <v>215.3</v>
      </c>
    </row>
    <row r="98" spans="1:3" x14ac:dyDescent="0.35">
      <c r="A98" s="6">
        <v>2009</v>
      </c>
      <c r="B98" s="7">
        <v>214.5</v>
      </c>
    </row>
    <row r="99" spans="1:3" x14ac:dyDescent="0.35">
      <c r="A99" s="6">
        <v>2010</v>
      </c>
      <c r="B99" s="7">
        <v>218.1</v>
      </c>
    </row>
    <row r="100" spans="1:3" x14ac:dyDescent="0.35">
      <c r="A100" s="6">
        <v>2011</v>
      </c>
      <c r="B100" s="7">
        <v>224.9</v>
      </c>
    </row>
    <row r="101" spans="1:3" x14ac:dyDescent="0.35">
      <c r="A101" s="6">
        <v>2012</v>
      </c>
      <c r="B101" s="7">
        <v>229.6</v>
      </c>
    </row>
    <row r="102" spans="1:3" x14ac:dyDescent="0.35">
      <c r="A102" s="6">
        <v>2013</v>
      </c>
      <c r="B102" s="23">
        <v>234.3</v>
      </c>
      <c r="C102" s="4" t="s">
        <v>82</v>
      </c>
    </row>
    <row r="103" spans="1:3" x14ac:dyDescent="0.35">
      <c r="A103" s="6">
        <v>2014</v>
      </c>
      <c r="B103" s="4">
        <v>236.7</v>
      </c>
    </row>
    <row r="104" spans="1:3" x14ac:dyDescent="0.35">
      <c r="A104" s="6">
        <v>2015</v>
      </c>
      <c r="B104" s="4">
        <v>233.7</v>
      </c>
      <c r="C104" s="4" t="s">
        <v>23</v>
      </c>
    </row>
    <row r="105" spans="1:3" x14ac:dyDescent="0.35">
      <c r="A105" s="6">
        <v>2016</v>
      </c>
      <c r="B105" s="4">
        <v>240.00800000000001</v>
      </c>
    </row>
    <row r="106" spans="1:3" x14ac:dyDescent="0.35">
      <c r="A106" s="6">
        <v>2017</v>
      </c>
      <c r="B106" s="4">
        <v>245.12</v>
      </c>
    </row>
    <row r="107" spans="1:3" x14ac:dyDescent="0.35">
      <c r="A107" s="6">
        <v>2018</v>
      </c>
      <c r="B107" s="24">
        <v>251.107</v>
      </c>
    </row>
  </sheetData>
  <hyperlinks>
    <hyperlink ref="B1" r:id="rId1" xr:uid="{00000000-0004-0000-0400-000000000000}"/>
    <hyperlink ref="C1" r:id="rId2" xr:uid="{00000000-0004-0000-0400-000001000000}"/>
    <hyperlink ref="H1" location="Index" display="Back to Index" xr:uid="{85528785-05D3-4111-995F-1AEB370946E7}"/>
  </hyperlinks>
  <pageMargins left="0.75" right="0.75" top="1" bottom="1" header="0.5" footer="0.5"/>
  <pageSetup orientation="portrait" horizontalDpi="4294967293" verticalDpi="0"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45C9F-194B-4360-AF80-13D5E745C63B}">
  <sheetPr codeName="Sheet3"/>
  <dimension ref="A1:AG562"/>
  <sheetViews>
    <sheetView zoomScale="53" workbookViewId="0">
      <pane xSplit="2" ySplit="1" topLeftCell="C75" activePane="bottomRight" state="frozen"/>
      <selection pane="topRight" activeCell="C1" sqref="C1"/>
      <selection pane="bottomLeft" activeCell="A2" sqref="A2"/>
      <selection pane="bottomRight" activeCell="X68" sqref="X68"/>
    </sheetView>
  </sheetViews>
  <sheetFormatPr defaultRowHeight="15.75" x14ac:dyDescent="0.5"/>
  <cols>
    <col min="1" max="17" width="18.125" style="20" customWidth="1"/>
    <col min="18" max="28" width="18.125" customWidth="1"/>
    <col min="29" max="16384" width="9" style="20"/>
  </cols>
  <sheetData>
    <row r="1" spans="1:33" ht="291.75" x14ac:dyDescent="0.45">
      <c r="A1" s="28" t="s">
        <v>101</v>
      </c>
      <c r="B1" s="21" t="s">
        <v>43</v>
      </c>
      <c r="C1" s="21" t="s">
        <v>42</v>
      </c>
      <c r="D1" s="21" t="s">
        <v>41</v>
      </c>
      <c r="E1" s="21" t="s">
        <v>40</v>
      </c>
      <c r="F1" s="21" t="s">
        <v>39</v>
      </c>
      <c r="G1" s="21" t="s">
        <v>38</v>
      </c>
      <c r="H1" s="98" t="s">
        <v>543</v>
      </c>
      <c r="I1" s="21" t="s">
        <v>37</v>
      </c>
      <c r="J1" s="21" t="s">
        <v>36</v>
      </c>
      <c r="K1" s="21" t="s">
        <v>35</v>
      </c>
      <c r="L1" s="21" t="s">
        <v>34</v>
      </c>
      <c r="M1" s="21" t="s">
        <v>33</v>
      </c>
      <c r="N1" s="21" t="s">
        <v>32</v>
      </c>
      <c r="O1" s="21" t="s">
        <v>31</v>
      </c>
      <c r="P1" s="21" t="s">
        <v>30</v>
      </c>
      <c r="Q1" s="21" t="s">
        <v>29</v>
      </c>
      <c r="R1" s="27" t="s">
        <v>95</v>
      </c>
      <c r="S1" s="27" t="s">
        <v>97</v>
      </c>
      <c r="T1" s="27" t="s">
        <v>98</v>
      </c>
      <c r="U1" s="27" t="s">
        <v>99</v>
      </c>
      <c r="V1" s="27" t="s">
        <v>100</v>
      </c>
      <c r="W1" s="27" t="s">
        <v>102</v>
      </c>
      <c r="X1" s="27" t="s">
        <v>162</v>
      </c>
      <c r="Y1" s="27" t="s">
        <v>163</v>
      </c>
      <c r="Z1" s="27" t="s">
        <v>164</v>
      </c>
      <c r="AA1" s="27" t="s">
        <v>165</v>
      </c>
      <c r="AB1" s="27" t="s">
        <v>166</v>
      </c>
      <c r="AC1" s="27" t="s">
        <v>167</v>
      </c>
      <c r="AD1" s="27" t="s">
        <v>168</v>
      </c>
      <c r="AE1" s="27" t="s">
        <v>169</v>
      </c>
      <c r="AF1" s="27" t="s">
        <v>170</v>
      </c>
      <c r="AG1" s="27" t="s">
        <v>171</v>
      </c>
    </row>
    <row r="2" spans="1:33" x14ac:dyDescent="0.5">
      <c r="A2" s="20" t="s">
        <v>28</v>
      </c>
      <c r="B2" s="20">
        <v>1900</v>
      </c>
      <c r="G2" s="20">
        <v>573370.68999999994</v>
      </c>
      <c r="Y2">
        <v>180328.8</v>
      </c>
    </row>
    <row r="3" spans="1:33" x14ac:dyDescent="0.5">
      <c r="A3" s="20" t="s">
        <v>28</v>
      </c>
      <c r="B3" s="20">
        <v>1901</v>
      </c>
    </row>
    <row r="4" spans="1:33" x14ac:dyDescent="0.5">
      <c r="A4" s="20" t="s">
        <v>28</v>
      </c>
      <c r="B4" s="20">
        <v>1902</v>
      </c>
    </row>
    <row r="5" spans="1:33" x14ac:dyDescent="0.5">
      <c r="A5" s="20" t="s">
        <v>28</v>
      </c>
      <c r="B5" s="20">
        <v>1903</v>
      </c>
    </row>
    <row r="6" spans="1:33" x14ac:dyDescent="0.5">
      <c r="A6" s="20" t="s">
        <v>28</v>
      </c>
      <c r="B6" s="20">
        <v>1904</v>
      </c>
    </row>
    <row r="7" spans="1:33" x14ac:dyDescent="0.5">
      <c r="A7" s="20" t="s">
        <v>28</v>
      </c>
      <c r="B7" s="20">
        <v>1905</v>
      </c>
    </row>
    <row r="8" spans="1:33" x14ac:dyDescent="0.5">
      <c r="A8" s="20" t="s">
        <v>28</v>
      </c>
      <c r="B8" s="20">
        <v>1906</v>
      </c>
    </row>
    <row r="9" spans="1:33" x14ac:dyDescent="0.5">
      <c r="A9" s="20" t="s">
        <v>28</v>
      </c>
      <c r="B9" s="20">
        <v>1907</v>
      </c>
    </row>
    <row r="10" spans="1:33" x14ac:dyDescent="0.5">
      <c r="A10" s="20" t="s">
        <v>28</v>
      </c>
      <c r="B10" s="20">
        <v>1908</v>
      </c>
    </row>
    <row r="11" spans="1:33" x14ac:dyDescent="0.5">
      <c r="A11" s="20" t="s">
        <v>28</v>
      </c>
      <c r="B11" s="20">
        <v>1909</v>
      </c>
    </row>
    <row r="12" spans="1:33" x14ac:dyDescent="0.5">
      <c r="A12" s="20" t="s">
        <v>28</v>
      </c>
      <c r="B12" s="20">
        <v>1910</v>
      </c>
      <c r="G12" s="20">
        <v>632701.68999999994</v>
      </c>
      <c r="Y12">
        <v>190949.3</v>
      </c>
    </row>
    <row r="13" spans="1:33" x14ac:dyDescent="0.5">
      <c r="A13" s="20" t="s">
        <v>28</v>
      </c>
      <c r="B13" s="20">
        <v>1911</v>
      </c>
    </row>
    <row r="14" spans="1:33" x14ac:dyDescent="0.5">
      <c r="A14" s="20" t="s">
        <v>28</v>
      </c>
      <c r="B14" s="20">
        <v>1912</v>
      </c>
    </row>
    <row r="15" spans="1:33" x14ac:dyDescent="0.5">
      <c r="A15" s="20" t="s">
        <v>28</v>
      </c>
      <c r="B15" s="20">
        <v>1913</v>
      </c>
      <c r="F15" s="20">
        <v>1063853.1000000001</v>
      </c>
    </row>
    <row r="16" spans="1:33" x14ac:dyDescent="0.5">
      <c r="A16" s="20" t="s">
        <v>28</v>
      </c>
      <c r="B16" s="20">
        <v>1914</v>
      </c>
      <c r="F16" s="20">
        <v>975655.88</v>
      </c>
    </row>
    <row r="17" spans="1:25" x14ac:dyDescent="0.5">
      <c r="A17" s="20" t="s">
        <v>28</v>
      </c>
      <c r="B17" s="20">
        <v>1915</v>
      </c>
      <c r="F17" s="20">
        <v>1039437.7</v>
      </c>
      <c r="G17" s="20">
        <v>425524.91</v>
      </c>
      <c r="Y17">
        <v>163393.09</v>
      </c>
    </row>
    <row r="18" spans="1:25" x14ac:dyDescent="0.5">
      <c r="A18" s="20" t="s">
        <v>28</v>
      </c>
      <c r="B18" s="20">
        <v>1916</v>
      </c>
      <c r="F18" s="20">
        <v>1442479.6</v>
      </c>
      <c r="G18" s="20">
        <v>633627.81000000006</v>
      </c>
      <c r="Y18">
        <v>225044.09</v>
      </c>
    </row>
    <row r="19" spans="1:25" x14ac:dyDescent="0.5">
      <c r="A19" s="20" t="s">
        <v>28</v>
      </c>
      <c r="B19" s="20">
        <v>1917</v>
      </c>
      <c r="F19" s="20">
        <v>1265854.5</v>
      </c>
      <c r="G19" s="20">
        <v>618000.5</v>
      </c>
      <c r="Y19">
        <v>227382.41</v>
      </c>
    </row>
    <row r="20" spans="1:25" x14ac:dyDescent="0.5">
      <c r="A20" s="20" t="s">
        <v>28</v>
      </c>
      <c r="B20" s="20">
        <v>1918</v>
      </c>
      <c r="F20" s="20">
        <v>1135669.3</v>
      </c>
      <c r="G20" s="20">
        <v>464744.69</v>
      </c>
      <c r="Y20">
        <v>176118.59</v>
      </c>
    </row>
    <row r="21" spans="1:25" x14ac:dyDescent="0.5">
      <c r="A21" s="20" t="s">
        <v>28</v>
      </c>
      <c r="B21" s="20">
        <v>1919</v>
      </c>
      <c r="F21" s="20">
        <v>1162286.6000000001</v>
      </c>
      <c r="G21" s="20">
        <v>494182</v>
      </c>
      <c r="Y21">
        <v>207199.5</v>
      </c>
    </row>
    <row r="22" spans="1:25" x14ac:dyDescent="0.5">
      <c r="A22" s="20" t="s">
        <v>28</v>
      </c>
      <c r="B22" s="20">
        <v>1920</v>
      </c>
      <c r="F22" s="20">
        <v>884324.31</v>
      </c>
      <c r="G22" s="20">
        <v>498364.81</v>
      </c>
      <c r="Y22">
        <v>194899.5</v>
      </c>
    </row>
    <row r="23" spans="1:25" x14ac:dyDescent="0.5">
      <c r="A23" s="20" t="s">
        <v>28</v>
      </c>
      <c r="B23" s="20">
        <v>1921</v>
      </c>
      <c r="F23" s="20">
        <v>760697.38</v>
      </c>
      <c r="G23" s="20">
        <v>541347.13</v>
      </c>
      <c r="Y23">
        <v>208162.41</v>
      </c>
    </row>
    <row r="24" spans="1:25" x14ac:dyDescent="0.5">
      <c r="A24" s="20" t="s">
        <v>28</v>
      </c>
      <c r="B24" s="20">
        <v>1922</v>
      </c>
      <c r="F24" s="20">
        <v>806904.38</v>
      </c>
      <c r="G24" s="20">
        <v>659149.18999999994</v>
      </c>
      <c r="Y24">
        <v>256983.8</v>
      </c>
    </row>
    <row r="25" spans="1:25" x14ac:dyDescent="0.5">
      <c r="A25" s="20" t="s">
        <v>28</v>
      </c>
      <c r="B25" s="20">
        <v>1923</v>
      </c>
      <c r="F25" s="20">
        <v>899758.81</v>
      </c>
      <c r="G25" s="20">
        <v>754159.81</v>
      </c>
      <c r="Y25">
        <v>297565.90999999997</v>
      </c>
    </row>
    <row r="26" spans="1:25" x14ac:dyDescent="0.5">
      <c r="A26" s="20" t="s">
        <v>28</v>
      </c>
      <c r="B26" s="20">
        <v>1924</v>
      </c>
      <c r="F26" s="20">
        <v>920972.63</v>
      </c>
      <c r="G26" s="20">
        <v>679315.88</v>
      </c>
      <c r="Y26">
        <v>272307.40999999997</v>
      </c>
    </row>
    <row r="27" spans="1:25" x14ac:dyDescent="0.5">
      <c r="A27" s="20" t="s">
        <v>28</v>
      </c>
      <c r="B27" s="20">
        <v>1925</v>
      </c>
      <c r="F27" s="20">
        <v>1104618.1000000001</v>
      </c>
      <c r="G27" s="20">
        <v>651216.63</v>
      </c>
      <c r="Y27">
        <v>265644.81</v>
      </c>
    </row>
    <row r="28" spans="1:25" x14ac:dyDescent="0.5">
      <c r="A28" s="20" t="s">
        <v>28</v>
      </c>
      <c r="B28" s="20">
        <v>1926</v>
      </c>
      <c r="F28" s="20">
        <v>1291651.6000000001</v>
      </c>
      <c r="G28" s="20">
        <v>615772</v>
      </c>
      <c r="Y28">
        <v>247030.59</v>
      </c>
    </row>
    <row r="29" spans="1:25" x14ac:dyDescent="0.5">
      <c r="A29" s="20" t="s">
        <v>28</v>
      </c>
      <c r="B29" s="20">
        <v>1927</v>
      </c>
      <c r="F29" s="20">
        <v>1184746.1000000001</v>
      </c>
      <c r="G29" s="20">
        <v>640870.18999999994</v>
      </c>
      <c r="Y29">
        <v>253177.7</v>
      </c>
    </row>
    <row r="30" spans="1:25" x14ac:dyDescent="0.5">
      <c r="A30" s="20" t="s">
        <v>28</v>
      </c>
      <c r="B30" s="20">
        <v>1928</v>
      </c>
      <c r="F30" s="20">
        <v>1336715.8999999999</v>
      </c>
      <c r="G30" s="20">
        <v>701920.31</v>
      </c>
      <c r="Y30">
        <v>273343.40999999997</v>
      </c>
    </row>
    <row r="31" spans="1:25" x14ac:dyDescent="0.5">
      <c r="A31" s="20" t="s">
        <v>28</v>
      </c>
      <c r="B31" s="20">
        <v>1929</v>
      </c>
      <c r="F31" s="20">
        <v>1429366.3</v>
      </c>
      <c r="G31" s="20">
        <v>652529.18999999994</v>
      </c>
      <c r="Y31">
        <v>255471</v>
      </c>
    </row>
    <row r="32" spans="1:25" x14ac:dyDescent="0.5">
      <c r="A32" s="20" t="s">
        <v>28</v>
      </c>
      <c r="B32" s="20">
        <v>1930</v>
      </c>
      <c r="F32" s="20">
        <v>962742.5</v>
      </c>
      <c r="G32" s="20">
        <v>504041</v>
      </c>
      <c r="Y32">
        <v>212333.5</v>
      </c>
    </row>
    <row r="33" spans="1:25" x14ac:dyDescent="0.5">
      <c r="A33" s="20" t="s">
        <v>28</v>
      </c>
      <c r="B33" s="20">
        <v>1931</v>
      </c>
      <c r="F33" s="20">
        <v>610555</v>
      </c>
      <c r="G33" s="20">
        <v>448566.69</v>
      </c>
      <c r="Y33">
        <v>183540.09</v>
      </c>
    </row>
    <row r="34" spans="1:25" x14ac:dyDescent="0.5">
      <c r="A34" s="20" t="s">
        <v>28</v>
      </c>
      <c r="B34" s="20">
        <v>1932</v>
      </c>
      <c r="F34" s="20">
        <v>445221.81</v>
      </c>
      <c r="G34" s="20">
        <v>433834.5</v>
      </c>
      <c r="Y34">
        <v>179557.5</v>
      </c>
    </row>
    <row r="35" spans="1:25" x14ac:dyDescent="0.5">
      <c r="A35" s="20" t="s">
        <v>28</v>
      </c>
      <c r="B35" s="20">
        <v>1933</v>
      </c>
      <c r="F35" s="20">
        <v>494437.41</v>
      </c>
      <c r="G35" s="20">
        <v>459877.59</v>
      </c>
      <c r="Y35">
        <v>187906.8</v>
      </c>
    </row>
    <row r="36" spans="1:25" x14ac:dyDescent="0.5">
      <c r="A36" s="20" t="s">
        <v>28</v>
      </c>
      <c r="B36" s="20">
        <v>1934</v>
      </c>
      <c r="F36" s="20">
        <v>674965.88</v>
      </c>
      <c r="G36" s="20">
        <v>434103.41</v>
      </c>
      <c r="Y36">
        <v>176861.59</v>
      </c>
    </row>
    <row r="37" spans="1:25" x14ac:dyDescent="0.5">
      <c r="A37" s="20" t="s">
        <v>28</v>
      </c>
      <c r="B37" s="20">
        <v>1935</v>
      </c>
      <c r="F37" s="20">
        <v>777970.13</v>
      </c>
      <c r="G37" s="20">
        <v>488431.19</v>
      </c>
      <c r="Y37">
        <v>198561.8</v>
      </c>
    </row>
    <row r="38" spans="1:25" x14ac:dyDescent="0.5">
      <c r="A38" s="20" t="s">
        <v>28</v>
      </c>
      <c r="B38" s="20">
        <v>1936</v>
      </c>
      <c r="F38" s="20">
        <v>980864.19</v>
      </c>
      <c r="G38" s="20">
        <v>496003.91</v>
      </c>
      <c r="Y38">
        <v>194797.41</v>
      </c>
    </row>
    <row r="39" spans="1:25" x14ac:dyDescent="0.5">
      <c r="A39" s="20" t="s">
        <v>28</v>
      </c>
      <c r="B39" s="20">
        <v>1937</v>
      </c>
      <c r="F39" s="20">
        <v>1019209.2</v>
      </c>
      <c r="G39" s="20">
        <v>500391.59</v>
      </c>
      <c r="Y39">
        <v>194054.09</v>
      </c>
    </row>
    <row r="40" spans="1:25" x14ac:dyDescent="0.5">
      <c r="A40" s="20" t="s">
        <v>28</v>
      </c>
      <c r="B40" s="20">
        <v>1938</v>
      </c>
      <c r="F40" s="20">
        <v>810060.13</v>
      </c>
      <c r="G40" s="20">
        <v>467962.91</v>
      </c>
      <c r="Y40">
        <v>186846.7</v>
      </c>
    </row>
    <row r="41" spans="1:25" x14ac:dyDescent="0.5">
      <c r="A41" s="20" t="s">
        <v>28</v>
      </c>
      <c r="B41" s="20">
        <v>1939</v>
      </c>
      <c r="F41" s="20">
        <v>945766.13</v>
      </c>
      <c r="G41" s="20">
        <v>577714.88</v>
      </c>
      <c r="Y41">
        <v>215285.41</v>
      </c>
    </row>
    <row r="42" spans="1:25" x14ac:dyDescent="0.5">
      <c r="A42" s="20" t="s">
        <v>28</v>
      </c>
      <c r="B42" s="20">
        <v>1940</v>
      </c>
      <c r="F42" s="20">
        <v>1129683.3</v>
      </c>
      <c r="G42" s="20">
        <v>399775.69</v>
      </c>
      <c r="Y42">
        <v>148021.5</v>
      </c>
    </row>
    <row r="43" spans="1:25" x14ac:dyDescent="0.5">
      <c r="A43" s="20" t="s">
        <v>28</v>
      </c>
      <c r="B43" s="20">
        <v>1941</v>
      </c>
      <c r="F43" s="20">
        <v>1364316.1</v>
      </c>
      <c r="G43" s="20">
        <v>352172.31</v>
      </c>
      <c r="Y43">
        <v>146768.09</v>
      </c>
    </row>
    <row r="44" spans="1:25" x14ac:dyDescent="0.5">
      <c r="A44" s="20" t="s">
        <v>28</v>
      </c>
      <c r="B44" s="20">
        <v>1942</v>
      </c>
      <c r="F44" s="20">
        <v>1570279.1</v>
      </c>
      <c r="G44" s="20">
        <v>298565.81</v>
      </c>
      <c r="Y44">
        <v>128986.8</v>
      </c>
    </row>
    <row r="45" spans="1:25" x14ac:dyDescent="0.5">
      <c r="A45" s="20" t="s">
        <v>28</v>
      </c>
      <c r="B45" s="20">
        <v>1943</v>
      </c>
      <c r="F45" s="20">
        <v>1614487.6</v>
      </c>
      <c r="G45" s="20">
        <v>191997.09</v>
      </c>
      <c r="Y45">
        <v>90706</v>
      </c>
    </row>
    <row r="46" spans="1:25" x14ac:dyDescent="0.5">
      <c r="A46" s="20" t="s">
        <v>28</v>
      </c>
      <c r="B46" s="20">
        <v>1944</v>
      </c>
      <c r="F46" s="20">
        <v>1405841.1</v>
      </c>
      <c r="G46" s="20">
        <v>137978.91</v>
      </c>
      <c r="Y46">
        <v>66367.297000000006</v>
      </c>
    </row>
    <row r="47" spans="1:25" x14ac:dyDescent="0.5">
      <c r="A47" s="20" t="s">
        <v>28</v>
      </c>
      <c r="B47" s="20">
        <v>1945</v>
      </c>
      <c r="F47" s="20">
        <v>1209416.8</v>
      </c>
      <c r="G47" s="20">
        <v>137455.20000000001</v>
      </c>
      <c r="Y47">
        <v>68122.5</v>
      </c>
    </row>
    <row r="48" spans="1:25" x14ac:dyDescent="0.5">
      <c r="A48" s="20" t="s">
        <v>28</v>
      </c>
      <c r="B48" s="20">
        <v>1946</v>
      </c>
      <c r="F48" s="20">
        <v>988563.81</v>
      </c>
      <c r="G48" s="20">
        <v>243622.5</v>
      </c>
      <c r="Y48">
        <v>113569.7</v>
      </c>
    </row>
    <row r="49" spans="1:25" x14ac:dyDescent="0.5">
      <c r="A49" s="20" t="s">
        <v>28</v>
      </c>
      <c r="B49" s="20">
        <v>1947</v>
      </c>
      <c r="F49" s="20">
        <v>1059459.3999999999</v>
      </c>
      <c r="G49" s="20">
        <v>248995.09</v>
      </c>
      <c r="Y49">
        <v>116208</v>
      </c>
    </row>
    <row r="50" spans="1:25" x14ac:dyDescent="0.5">
      <c r="A50" s="20" t="s">
        <v>28</v>
      </c>
      <c r="B50" s="20">
        <v>1948</v>
      </c>
      <c r="F50" s="20">
        <v>1258695.8999999999</v>
      </c>
      <c r="G50" s="20">
        <v>254527.59</v>
      </c>
      <c r="Y50">
        <v>121598.1</v>
      </c>
    </row>
    <row r="51" spans="1:25" x14ac:dyDescent="0.5">
      <c r="A51" s="20" t="s">
        <v>28</v>
      </c>
      <c r="B51" s="20">
        <v>1949</v>
      </c>
      <c r="F51" s="20">
        <v>1190341.8</v>
      </c>
      <c r="G51" s="20">
        <v>296188</v>
      </c>
      <c r="Y51">
        <v>135275.29999999999</v>
      </c>
    </row>
    <row r="52" spans="1:25" x14ac:dyDescent="0.5">
      <c r="A52" s="20" t="s">
        <v>28</v>
      </c>
      <c r="B52" s="20">
        <v>1950</v>
      </c>
      <c r="F52" s="20">
        <v>1334370.5</v>
      </c>
      <c r="G52" s="20">
        <v>322397.40999999997</v>
      </c>
      <c r="Y52">
        <v>145907.79999999999</v>
      </c>
    </row>
    <row r="53" spans="1:25" x14ac:dyDescent="0.5">
      <c r="A53" s="20" t="s">
        <v>28</v>
      </c>
      <c r="B53" s="20">
        <v>1951</v>
      </c>
      <c r="F53" s="20">
        <v>1288841.1000000001</v>
      </c>
      <c r="G53" s="20">
        <v>349723.09</v>
      </c>
      <c r="Y53">
        <v>157881.29999999999</v>
      </c>
    </row>
    <row r="54" spans="1:25" x14ac:dyDescent="0.5">
      <c r="A54" s="20" t="s">
        <v>28</v>
      </c>
      <c r="B54" s="20">
        <v>1952</v>
      </c>
      <c r="F54" s="20">
        <v>1254478.3</v>
      </c>
      <c r="G54" s="20">
        <v>360702.81</v>
      </c>
      <c r="Y54">
        <v>167480.41</v>
      </c>
    </row>
    <row r="55" spans="1:25" x14ac:dyDescent="0.5">
      <c r="A55" s="20" t="s">
        <v>28</v>
      </c>
      <c r="B55" s="20">
        <v>1953</v>
      </c>
      <c r="F55" s="20">
        <v>1202581.5</v>
      </c>
      <c r="G55" s="20">
        <v>368339.59</v>
      </c>
      <c r="Y55">
        <v>168934.3</v>
      </c>
    </row>
    <row r="56" spans="1:25" x14ac:dyDescent="0.5">
      <c r="A56" s="20" t="s">
        <v>28</v>
      </c>
      <c r="B56" s="20">
        <v>1954</v>
      </c>
      <c r="F56" s="20">
        <v>1194196.6000000001</v>
      </c>
      <c r="G56" s="20">
        <v>387988</v>
      </c>
      <c r="Y56">
        <v>179540.7</v>
      </c>
    </row>
    <row r="57" spans="1:25" x14ac:dyDescent="0.5">
      <c r="A57" s="20" t="s">
        <v>28</v>
      </c>
      <c r="B57" s="20">
        <v>1955</v>
      </c>
      <c r="F57" s="20">
        <v>1395265.1</v>
      </c>
      <c r="G57" s="20">
        <v>413525.81</v>
      </c>
      <c r="Y57">
        <v>190743.41</v>
      </c>
    </row>
    <row r="58" spans="1:25" x14ac:dyDescent="0.5">
      <c r="A58" s="20" t="s">
        <v>28</v>
      </c>
      <c r="B58" s="20">
        <v>1956</v>
      </c>
      <c r="F58" s="20">
        <v>1323991.3</v>
      </c>
      <c r="G58" s="20">
        <v>411484.69</v>
      </c>
      <c r="Y58">
        <v>191118.59</v>
      </c>
    </row>
    <row r="59" spans="1:25" x14ac:dyDescent="0.5">
      <c r="A59" s="20" t="s">
        <v>28</v>
      </c>
      <c r="B59" s="20">
        <v>1957</v>
      </c>
      <c r="F59" s="20">
        <v>1286721.8</v>
      </c>
      <c r="G59" s="20">
        <v>445892.5</v>
      </c>
      <c r="Y59">
        <v>205404.41</v>
      </c>
    </row>
    <row r="60" spans="1:25" x14ac:dyDescent="0.5">
      <c r="A60" s="20" t="s">
        <v>28</v>
      </c>
      <c r="B60" s="20">
        <v>1958</v>
      </c>
      <c r="F60" s="20">
        <v>1141110.3999999999</v>
      </c>
      <c r="G60" s="20">
        <v>406733.5</v>
      </c>
      <c r="Y60">
        <v>190108.79999999999</v>
      </c>
    </row>
    <row r="61" spans="1:25" x14ac:dyDescent="0.5">
      <c r="A61" s="20" t="s">
        <v>28</v>
      </c>
      <c r="B61" s="20">
        <v>1959</v>
      </c>
      <c r="F61" s="20">
        <v>1308127.8</v>
      </c>
      <c r="G61" s="20">
        <v>448149</v>
      </c>
      <c r="Y61">
        <v>209896.91</v>
      </c>
    </row>
    <row r="62" spans="1:25" x14ac:dyDescent="0.5">
      <c r="A62" s="20" t="s">
        <v>28</v>
      </c>
      <c r="B62" s="20">
        <v>1960</v>
      </c>
      <c r="F62" s="20">
        <v>1317357.8999999999</v>
      </c>
      <c r="G62" s="20">
        <v>492111</v>
      </c>
      <c r="Y62">
        <v>231309.2</v>
      </c>
    </row>
    <row r="63" spans="1:25" x14ac:dyDescent="0.5">
      <c r="A63" s="20" t="s">
        <v>28</v>
      </c>
      <c r="B63" s="20">
        <v>1961</v>
      </c>
      <c r="F63" s="20">
        <v>1326109</v>
      </c>
      <c r="G63" s="20">
        <v>516315.19</v>
      </c>
      <c r="Y63">
        <v>241194.5</v>
      </c>
    </row>
    <row r="64" spans="1:25" x14ac:dyDescent="0.5">
      <c r="A64" s="20" t="s">
        <v>28</v>
      </c>
      <c r="B64" s="20">
        <v>1962</v>
      </c>
      <c r="F64" s="20">
        <v>1409799.3</v>
      </c>
      <c r="G64" s="20">
        <v>511370.5</v>
      </c>
      <c r="X64">
        <v>600541</v>
      </c>
      <c r="Y64">
        <v>242908.7</v>
      </c>
    </row>
    <row r="65" spans="1:25" x14ac:dyDescent="0.5">
      <c r="A65" s="20" t="s">
        <v>28</v>
      </c>
      <c r="B65" s="20">
        <v>1963</v>
      </c>
      <c r="F65" s="20">
        <v>1501105</v>
      </c>
      <c r="G65" s="20">
        <v>511749.69</v>
      </c>
      <c r="Y65">
        <v>244891.7</v>
      </c>
    </row>
    <row r="66" spans="1:25" x14ac:dyDescent="0.5">
      <c r="A66" s="20" t="s">
        <v>28</v>
      </c>
      <c r="B66" s="20">
        <v>1964</v>
      </c>
      <c r="F66" s="20">
        <v>1607312.8</v>
      </c>
      <c r="G66" s="20">
        <v>545668.5</v>
      </c>
      <c r="X66">
        <v>670456.13</v>
      </c>
      <c r="Y66">
        <v>264723.09000000003</v>
      </c>
    </row>
    <row r="67" spans="1:25" x14ac:dyDescent="0.5">
      <c r="A67" s="20" t="s">
        <v>28</v>
      </c>
      <c r="B67" s="20">
        <v>1965</v>
      </c>
      <c r="F67" s="20">
        <v>1678448.6</v>
      </c>
      <c r="G67" s="20">
        <v>567087</v>
      </c>
      <c r="Y67">
        <v>272641.5</v>
      </c>
    </row>
    <row r="68" spans="1:25" x14ac:dyDescent="0.5">
      <c r="A68" s="20" t="s">
        <v>28</v>
      </c>
      <c r="B68" s="20">
        <v>1966</v>
      </c>
      <c r="F68" s="20">
        <v>1744214.6</v>
      </c>
      <c r="G68" s="20">
        <v>591983.88</v>
      </c>
      <c r="X68">
        <v>720811.81</v>
      </c>
      <c r="Y68">
        <v>278826.19</v>
      </c>
    </row>
    <row r="69" spans="1:25" x14ac:dyDescent="0.5">
      <c r="A69" s="20" t="s">
        <v>28</v>
      </c>
      <c r="B69" s="20">
        <v>1967</v>
      </c>
      <c r="F69" s="20">
        <v>1620302.6</v>
      </c>
      <c r="G69" s="20">
        <v>625176.63</v>
      </c>
      <c r="X69">
        <v>694106.19</v>
      </c>
      <c r="Y69">
        <v>288796.09000000003</v>
      </c>
    </row>
    <row r="70" spans="1:25" x14ac:dyDescent="0.5">
      <c r="A70" s="20" t="s">
        <v>28</v>
      </c>
      <c r="B70" s="20">
        <v>1968</v>
      </c>
      <c r="F70" s="20">
        <v>1735224</v>
      </c>
      <c r="G70" s="20">
        <v>613448.31000000006</v>
      </c>
      <c r="X70">
        <v>729746.31</v>
      </c>
      <c r="Y70">
        <v>280412.5</v>
      </c>
    </row>
    <row r="71" spans="1:25" x14ac:dyDescent="0.5">
      <c r="A71" s="20" t="s">
        <v>28</v>
      </c>
      <c r="B71" s="20">
        <v>1969</v>
      </c>
      <c r="F71" s="20">
        <v>1673040.4</v>
      </c>
      <c r="G71" s="20">
        <v>636032.18999999994</v>
      </c>
      <c r="X71">
        <v>673001.81</v>
      </c>
      <c r="Y71">
        <v>286137.69</v>
      </c>
    </row>
    <row r="72" spans="1:25" x14ac:dyDescent="0.5">
      <c r="A72" s="20" t="s">
        <v>28</v>
      </c>
      <c r="B72" s="20">
        <v>1970</v>
      </c>
      <c r="F72" s="20">
        <v>1393035.1</v>
      </c>
      <c r="G72" s="20">
        <v>646960.31000000006</v>
      </c>
      <c r="X72">
        <v>617900.38</v>
      </c>
      <c r="Y72">
        <v>292445.59000000003</v>
      </c>
    </row>
    <row r="73" spans="1:25" x14ac:dyDescent="0.5">
      <c r="A73" s="20" t="s">
        <v>28</v>
      </c>
      <c r="B73" s="20">
        <v>1971</v>
      </c>
      <c r="F73" s="20">
        <v>1458449.3</v>
      </c>
      <c r="G73" s="20">
        <v>673627</v>
      </c>
      <c r="X73">
        <v>643394.63</v>
      </c>
      <c r="Y73">
        <v>304981.31</v>
      </c>
    </row>
    <row r="74" spans="1:25" x14ac:dyDescent="0.5">
      <c r="A74" s="20" t="s">
        <v>28</v>
      </c>
      <c r="B74" s="20">
        <v>1972</v>
      </c>
      <c r="F74" s="20">
        <v>1520997</v>
      </c>
      <c r="G74" s="20">
        <v>683241.19</v>
      </c>
      <c r="X74">
        <v>679115.13</v>
      </c>
      <c r="Y74">
        <v>308434.31</v>
      </c>
    </row>
    <row r="75" spans="1:25" x14ac:dyDescent="0.5">
      <c r="A75" s="20" t="s">
        <v>28</v>
      </c>
      <c r="B75" s="20">
        <v>1973</v>
      </c>
      <c r="F75" s="20">
        <v>1494582.9</v>
      </c>
      <c r="G75" s="20">
        <v>799758.63</v>
      </c>
      <c r="X75">
        <v>703290.31</v>
      </c>
      <c r="Y75">
        <v>340791.59</v>
      </c>
    </row>
    <row r="76" spans="1:25" x14ac:dyDescent="0.5">
      <c r="A76" s="20" t="s">
        <v>28</v>
      </c>
      <c r="B76" s="20">
        <v>1974</v>
      </c>
      <c r="F76" s="20">
        <v>1364606.1</v>
      </c>
      <c r="G76" s="20">
        <v>776349.5</v>
      </c>
      <c r="X76">
        <v>664099.38</v>
      </c>
      <c r="Y76">
        <v>344566.09</v>
      </c>
    </row>
    <row r="77" spans="1:25" x14ac:dyDescent="0.5">
      <c r="A77" s="20" t="s">
        <v>28</v>
      </c>
      <c r="B77" s="20">
        <v>1975</v>
      </c>
      <c r="F77" s="20">
        <v>1325505.6000000001</v>
      </c>
      <c r="G77" s="20">
        <v>674993.5</v>
      </c>
      <c r="X77">
        <v>628899.38</v>
      </c>
      <c r="Y77">
        <v>288004.69</v>
      </c>
    </row>
    <row r="78" spans="1:25" x14ac:dyDescent="0.5">
      <c r="A78" s="20" t="s">
        <v>28</v>
      </c>
      <c r="B78" s="20">
        <v>1976</v>
      </c>
      <c r="F78" s="20">
        <v>1342224.3</v>
      </c>
      <c r="G78" s="20">
        <v>718042.31</v>
      </c>
      <c r="X78">
        <v>647589.81000000006</v>
      </c>
      <c r="Y78">
        <v>300984.31</v>
      </c>
    </row>
    <row r="79" spans="1:25" x14ac:dyDescent="0.5">
      <c r="A79" s="20" t="s">
        <v>28</v>
      </c>
      <c r="B79" s="20">
        <v>1977</v>
      </c>
      <c r="F79" s="20">
        <v>1460441.8</v>
      </c>
      <c r="G79" s="20">
        <v>703042.31</v>
      </c>
      <c r="X79">
        <v>686453.81</v>
      </c>
      <c r="Y79">
        <v>286498.90999999997</v>
      </c>
    </row>
    <row r="80" spans="1:25" x14ac:dyDescent="0.5">
      <c r="A80" s="20" t="s">
        <v>28</v>
      </c>
      <c r="B80" s="20">
        <v>1978</v>
      </c>
      <c r="F80" s="20">
        <v>1495754.1</v>
      </c>
      <c r="G80" s="20">
        <v>675089.38</v>
      </c>
      <c r="X80">
        <v>709932.81</v>
      </c>
      <c r="Y80">
        <v>289084.5</v>
      </c>
    </row>
    <row r="81" spans="1:28" x14ac:dyDescent="0.5">
      <c r="A81" s="20" t="s">
        <v>28</v>
      </c>
      <c r="B81" s="20">
        <v>1979</v>
      </c>
      <c r="F81" s="20">
        <v>1699393</v>
      </c>
      <c r="G81" s="20">
        <v>766774.69</v>
      </c>
      <c r="X81">
        <v>739763.88</v>
      </c>
      <c r="Y81">
        <v>325745.69</v>
      </c>
    </row>
    <row r="82" spans="1:28" x14ac:dyDescent="0.5">
      <c r="A82" s="20" t="s">
        <v>28</v>
      </c>
      <c r="B82" s="20">
        <v>1980</v>
      </c>
      <c r="C82" s="20">
        <v>6427079</v>
      </c>
      <c r="D82" s="20">
        <v>4028916.8</v>
      </c>
      <c r="E82" s="20">
        <v>3275185.5</v>
      </c>
      <c r="F82" s="20">
        <v>1526863.1</v>
      </c>
      <c r="G82" s="20">
        <v>684745.31</v>
      </c>
      <c r="X82">
        <v>695763.63</v>
      </c>
      <c r="Y82">
        <v>322530.40999999997</v>
      </c>
      <c r="Z82">
        <v>3455236.3</v>
      </c>
      <c r="AA82">
        <v>1937682.9</v>
      </c>
      <c r="AB82">
        <v>2156317.5</v>
      </c>
    </row>
    <row r="83" spans="1:28" x14ac:dyDescent="0.5">
      <c r="A83" s="20" t="s">
        <v>28</v>
      </c>
      <c r="B83" s="20">
        <v>1981</v>
      </c>
      <c r="C83" s="20">
        <v>6287507</v>
      </c>
      <c r="D83" s="20">
        <v>3849337.5</v>
      </c>
      <c r="E83" s="20">
        <v>3372239.8</v>
      </c>
      <c r="F83" s="20">
        <v>1659319.4</v>
      </c>
      <c r="G83" s="20">
        <v>698844.88</v>
      </c>
      <c r="X83">
        <v>728781.81</v>
      </c>
      <c r="Y83">
        <v>321500.19</v>
      </c>
      <c r="Z83">
        <v>3400908</v>
      </c>
      <c r="AA83">
        <v>1938317.1</v>
      </c>
      <c r="AB83">
        <v>2067994.5</v>
      </c>
    </row>
    <row r="84" spans="1:28" x14ac:dyDescent="0.5">
      <c r="A84" s="20" t="s">
        <v>28</v>
      </c>
      <c r="B84" s="20">
        <v>1982</v>
      </c>
      <c r="C84" s="20">
        <v>6048637.5</v>
      </c>
      <c r="D84" s="20">
        <v>4164804.8</v>
      </c>
      <c r="E84" s="20">
        <v>4022561.8</v>
      </c>
      <c r="F84" s="20">
        <v>1702963.4</v>
      </c>
      <c r="G84" s="20">
        <v>611871.81000000006</v>
      </c>
      <c r="X84">
        <v>717509.13</v>
      </c>
      <c r="Y84">
        <v>293593.5</v>
      </c>
      <c r="Z84">
        <v>3264191.5</v>
      </c>
      <c r="AA84">
        <v>2152681.2999999998</v>
      </c>
      <c r="AB84">
        <v>2160632.2999999998</v>
      </c>
    </row>
    <row r="85" spans="1:28" x14ac:dyDescent="0.5">
      <c r="A85" s="20" t="s">
        <v>28</v>
      </c>
      <c r="B85" s="20">
        <v>1983</v>
      </c>
      <c r="C85" s="20">
        <v>5932976.5</v>
      </c>
      <c r="D85" s="20">
        <v>5743695.5</v>
      </c>
      <c r="E85" s="20">
        <v>4325556</v>
      </c>
      <c r="F85" s="20">
        <v>1753635.3</v>
      </c>
      <c r="G85" s="20">
        <v>564629.68999999994</v>
      </c>
      <c r="X85">
        <v>752727.13</v>
      </c>
      <c r="Y85">
        <v>284042.59000000003</v>
      </c>
      <c r="Z85">
        <v>3259710.5</v>
      </c>
      <c r="AA85">
        <v>2264353.5</v>
      </c>
      <c r="AB85">
        <v>2645519.7999999998</v>
      </c>
    </row>
    <row r="86" spans="1:28" x14ac:dyDescent="0.5">
      <c r="A86" s="20" t="s">
        <v>28</v>
      </c>
      <c r="B86" s="20">
        <v>1984</v>
      </c>
      <c r="C86" s="20">
        <v>7383436</v>
      </c>
      <c r="D86" s="20">
        <v>6867685</v>
      </c>
      <c r="E86" s="20">
        <v>5287310.5</v>
      </c>
      <c r="F86" s="20">
        <v>2137888</v>
      </c>
      <c r="G86" s="20">
        <v>595373</v>
      </c>
      <c r="X86">
        <v>907506.81</v>
      </c>
      <c r="Y86">
        <v>278475.40999999997</v>
      </c>
      <c r="Z86">
        <v>3772587.3</v>
      </c>
      <c r="AA86">
        <v>2631610.7999999998</v>
      </c>
      <c r="AB86">
        <v>2988096.8</v>
      </c>
    </row>
    <row r="87" spans="1:28" x14ac:dyDescent="0.5">
      <c r="A87" s="20" t="s">
        <v>28</v>
      </c>
      <c r="B87" s="20">
        <v>1985</v>
      </c>
      <c r="C87" s="20">
        <v>7924446.5</v>
      </c>
      <c r="D87" s="20">
        <v>7791705</v>
      </c>
      <c r="E87" s="20">
        <v>5171083.5</v>
      </c>
      <c r="F87" s="20">
        <v>2172435.7999999998</v>
      </c>
      <c r="G87" s="20">
        <v>638688</v>
      </c>
      <c r="X87">
        <v>901893.31</v>
      </c>
      <c r="Y87">
        <v>290521.59000000003</v>
      </c>
      <c r="Z87">
        <v>4041938.8</v>
      </c>
      <c r="AA87">
        <v>2639855</v>
      </c>
      <c r="AB87">
        <v>3283116</v>
      </c>
    </row>
    <row r="88" spans="1:28" x14ac:dyDescent="0.5">
      <c r="A88" s="20" t="s">
        <v>28</v>
      </c>
      <c r="B88" s="20">
        <v>1986</v>
      </c>
      <c r="C88" s="20">
        <v>5232635.5</v>
      </c>
      <c r="D88" s="20">
        <v>6885600</v>
      </c>
      <c r="E88" s="20">
        <v>5104491</v>
      </c>
      <c r="F88" s="20">
        <v>2020971.3</v>
      </c>
      <c r="G88" s="20">
        <v>728678.38</v>
      </c>
      <c r="X88">
        <v>898260.81</v>
      </c>
      <c r="Y88">
        <v>320101.59000000003</v>
      </c>
      <c r="Z88">
        <v>3140003.5</v>
      </c>
      <c r="AA88">
        <v>2700765</v>
      </c>
      <c r="AB88">
        <v>3097182.8</v>
      </c>
    </row>
    <row r="89" spans="1:28" x14ac:dyDescent="0.5">
      <c r="A89" s="20" t="s">
        <v>28</v>
      </c>
      <c r="B89" s="20">
        <v>1987</v>
      </c>
      <c r="C89" s="20">
        <v>5067350.5</v>
      </c>
      <c r="D89" s="20">
        <v>6617589</v>
      </c>
      <c r="E89" s="20">
        <v>5437936</v>
      </c>
      <c r="F89" s="20">
        <v>2321181.5</v>
      </c>
      <c r="G89" s="20">
        <v>901166.38</v>
      </c>
      <c r="X89">
        <v>1007945.8</v>
      </c>
      <c r="Y89">
        <v>359533</v>
      </c>
      <c r="Z89">
        <v>3069888.3</v>
      </c>
      <c r="AA89">
        <v>2817992</v>
      </c>
      <c r="AB89">
        <v>3063063.3</v>
      </c>
    </row>
    <row r="90" spans="1:28" x14ac:dyDescent="0.5">
      <c r="A90" s="20" t="s">
        <v>28</v>
      </c>
      <c r="B90" s="20">
        <v>1988</v>
      </c>
      <c r="C90" s="20">
        <v>4216120</v>
      </c>
      <c r="D90" s="20">
        <v>5788931.5</v>
      </c>
      <c r="E90" s="20">
        <v>6212406.5</v>
      </c>
      <c r="F90" s="20">
        <v>2981249.3</v>
      </c>
      <c r="G90" s="20">
        <v>1010113.9</v>
      </c>
      <c r="X90">
        <v>1201511.6000000001</v>
      </c>
      <c r="Y90">
        <v>346362.91</v>
      </c>
      <c r="Z90">
        <v>2689862.3</v>
      </c>
      <c r="AA90">
        <v>3055157.8</v>
      </c>
      <c r="AB90">
        <v>2829827.5</v>
      </c>
    </row>
    <row r="91" spans="1:28" x14ac:dyDescent="0.5">
      <c r="A91" s="20" t="s">
        <v>28</v>
      </c>
      <c r="B91" s="20">
        <v>1989</v>
      </c>
      <c r="C91" s="20">
        <v>5138736.5</v>
      </c>
      <c r="D91" s="20">
        <v>6184596</v>
      </c>
      <c r="E91" s="20">
        <v>5888725.5</v>
      </c>
      <c r="F91" s="20">
        <v>2796015</v>
      </c>
      <c r="G91" s="20">
        <v>1067663.5</v>
      </c>
      <c r="X91">
        <v>1206002.8</v>
      </c>
      <c r="Y91">
        <v>406652</v>
      </c>
      <c r="Z91">
        <v>2971557.8</v>
      </c>
      <c r="AA91">
        <v>2984803.8</v>
      </c>
      <c r="AB91">
        <v>2952328</v>
      </c>
    </row>
    <row r="92" spans="1:28" x14ac:dyDescent="0.5">
      <c r="A92" s="20" t="s">
        <v>28</v>
      </c>
      <c r="B92" s="20">
        <v>1990</v>
      </c>
      <c r="C92" s="20">
        <v>5426496.5</v>
      </c>
      <c r="D92" s="20">
        <v>6229207.5</v>
      </c>
      <c r="E92" s="20">
        <v>4479273</v>
      </c>
      <c r="F92" s="20">
        <v>2801138.5</v>
      </c>
      <c r="G92" s="20">
        <v>1075713.3</v>
      </c>
      <c r="X92">
        <v>1200823.6000000001</v>
      </c>
      <c r="Y92">
        <v>406495</v>
      </c>
      <c r="Z92">
        <v>3119595.3</v>
      </c>
      <c r="AA92">
        <v>2519954.7999999998</v>
      </c>
      <c r="AB92">
        <v>2992268.5</v>
      </c>
    </row>
    <row r="93" spans="1:28" x14ac:dyDescent="0.5">
      <c r="A93" s="20" t="s">
        <v>28</v>
      </c>
      <c r="B93" s="20">
        <v>1991</v>
      </c>
      <c r="C93" s="20">
        <v>5747092.5</v>
      </c>
      <c r="D93" s="20">
        <v>6203048.5</v>
      </c>
      <c r="E93" s="20">
        <v>4588287.5</v>
      </c>
      <c r="F93" s="20">
        <v>2539294.5</v>
      </c>
      <c r="G93" s="20">
        <v>1105788</v>
      </c>
      <c r="X93">
        <v>1107392.1000000001</v>
      </c>
      <c r="Y93">
        <v>437227.69</v>
      </c>
      <c r="Z93">
        <v>3275279.3</v>
      </c>
      <c r="AA93">
        <v>2615531.2999999998</v>
      </c>
      <c r="AB93">
        <v>2985828.5</v>
      </c>
    </row>
    <row r="94" spans="1:28" x14ac:dyDescent="0.5">
      <c r="A94" s="20" t="s">
        <v>28</v>
      </c>
      <c r="B94" s="20">
        <v>1992</v>
      </c>
      <c r="C94" s="20">
        <v>7862592</v>
      </c>
      <c r="D94" s="20">
        <v>6376416</v>
      </c>
      <c r="E94" s="20">
        <v>4335328.5</v>
      </c>
      <c r="F94" s="20">
        <v>2916203</v>
      </c>
      <c r="G94" s="20">
        <v>963480.63</v>
      </c>
      <c r="X94">
        <v>1202198.3999999999</v>
      </c>
      <c r="Y94">
        <v>403493.09</v>
      </c>
      <c r="Z94">
        <v>4058812.5</v>
      </c>
      <c r="AA94">
        <v>2493443.2999999998</v>
      </c>
      <c r="AB94">
        <v>3078936</v>
      </c>
    </row>
    <row r="95" spans="1:28" x14ac:dyDescent="0.5">
      <c r="A95" s="20" t="s">
        <v>28</v>
      </c>
      <c r="B95" s="20">
        <v>1993</v>
      </c>
      <c r="C95" s="20">
        <v>10972801</v>
      </c>
      <c r="D95" s="20">
        <v>6396598</v>
      </c>
      <c r="E95" s="20">
        <v>4817852</v>
      </c>
      <c r="F95" s="20">
        <v>2855264.5</v>
      </c>
      <c r="G95" s="20">
        <v>1019530.6</v>
      </c>
      <c r="X95">
        <v>1156138.1000000001</v>
      </c>
      <c r="Y95">
        <v>403966.5</v>
      </c>
      <c r="Z95">
        <v>5023467</v>
      </c>
      <c r="AA95">
        <v>2614458</v>
      </c>
      <c r="AB95">
        <v>3077771.8</v>
      </c>
    </row>
    <row r="96" spans="1:28" x14ac:dyDescent="0.5">
      <c r="A96" s="20" t="s">
        <v>28</v>
      </c>
      <c r="B96" s="20">
        <v>1994</v>
      </c>
      <c r="C96" s="20">
        <v>12150626</v>
      </c>
      <c r="D96" s="20">
        <v>7763245</v>
      </c>
      <c r="E96" s="20">
        <v>6837488</v>
      </c>
      <c r="F96" s="20">
        <v>2946612.5</v>
      </c>
      <c r="G96" s="20">
        <v>1064900.5</v>
      </c>
      <c r="X96">
        <v>1206934.1000000001</v>
      </c>
      <c r="Y96">
        <v>419183.41</v>
      </c>
      <c r="Z96">
        <v>5641235.5</v>
      </c>
      <c r="AA96">
        <v>3411884</v>
      </c>
      <c r="AB96">
        <v>3520173.5</v>
      </c>
    </row>
    <row r="97" spans="1:28" x14ac:dyDescent="0.5">
      <c r="A97" s="20" t="s">
        <v>28</v>
      </c>
      <c r="B97" s="20">
        <v>1995</v>
      </c>
      <c r="C97" s="20">
        <v>12485238</v>
      </c>
      <c r="D97" s="20">
        <v>8236155</v>
      </c>
      <c r="E97" s="20">
        <v>7915000</v>
      </c>
      <c r="F97" s="20">
        <v>3174167.3</v>
      </c>
      <c r="G97" s="20">
        <v>1068243.8</v>
      </c>
      <c r="X97">
        <v>1278476.5</v>
      </c>
      <c r="Y97">
        <v>433590.81</v>
      </c>
      <c r="Z97">
        <v>5866510</v>
      </c>
      <c r="AA97">
        <v>3809918.3</v>
      </c>
      <c r="AB97">
        <v>3686539.8</v>
      </c>
    </row>
    <row r="98" spans="1:28" x14ac:dyDescent="0.5">
      <c r="A98" s="20" t="s">
        <v>28</v>
      </c>
      <c r="B98" s="20">
        <v>1996</v>
      </c>
      <c r="C98" s="20">
        <v>15761785</v>
      </c>
      <c r="D98" s="20">
        <v>8819783</v>
      </c>
      <c r="E98" s="20">
        <v>6972226</v>
      </c>
      <c r="F98" s="20">
        <v>3537075</v>
      </c>
      <c r="G98" s="20">
        <v>1207873.3</v>
      </c>
      <c r="X98">
        <v>1369763</v>
      </c>
      <c r="Y98">
        <v>484647.59</v>
      </c>
      <c r="Z98">
        <v>6978859</v>
      </c>
      <c r="AA98">
        <v>3632681.8</v>
      </c>
      <c r="AB98">
        <v>3893881.8</v>
      </c>
    </row>
    <row r="99" spans="1:28" x14ac:dyDescent="0.5">
      <c r="A99" s="20" t="s">
        <v>28</v>
      </c>
      <c r="B99" s="20">
        <v>1997</v>
      </c>
      <c r="C99" s="20">
        <v>18350238</v>
      </c>
      <c r="D99" s="20">
        <v>10042813</v>
      </c>
      <c r="E99" s="20">
        <v>7669559</v>
      </c>
      <c r="F99" s="20">
        <v>3927835</v>
      </c>
      <c r="G99" s="20">
        <v>1294501.8999999999</v>
      </c>
      <c r="X99">
        <v>1513128.3</v>
      </c>
      <c r="Y99">
        <v>524003.41</v>
      </c>
      <c r="Z99">
        <v>7976656.5</v>
      </c>
      <c r="AA99">
        <v>3890664.3</v>
      </c>
      <c r="AB99">
        <v>4306371</v>
      </c>
    </row>
    <row r="100" spans="1:28" x14ac:dyDescent="0.5">
      <c r="A100" s="20" t="s">
        <v>28</v>
      </c>
      <c r="B100" s="20">
        <v>1998</v>
      </c>
      <c r="C100" s="20">
        <v>15265407</v>
      </c>
      <c r="D100" s="20">
        <v>9667365</v>
      </c>
      <c r="E100" s="20">
        <v>7982222</v>
      </c>
      <c r="F100" s="20">
        <v>4118277.3</v>
      </c>
      <c r="G100" s="20">
        <v>1354461.3</v>
      </c>
      <c r="X100">
        <v>1583322.1</v>
      </c>
      <c r="Y100">
        <v>560395.13</v>
      </c>
      <c r="Z100">
        <v>7071508.5</v>
      </c>
      <c r="AA100">
        <v>4041191.8</v>
      </c>
      <c r="AB100">
        <v>4236327.5</v>
      </c>
    </row>
    <row r="101" spans="1:28" x14ac:dyDescent="0.5">
      <c r="A101" s="20" t="s">
        <v>28</v>
      </c>
      <c r="B101" s="20">
        <v>1999</v>
      </c>
      <c r="C101" s="20">
        <v>17933130</v>
      </c>
      <c r="D101" s="20">
        <v>10981930</v>
      </c>
      <c r="E101" s="20">
        <v>8646834</v>
      </c>
      <c r="F101" s="20">
        <v>4565833.5</v>
      </c>
      <c r="G101" s="20">
        <v>1367563.9</v>
      </c>
      <c r="X101">
        <v>1690943.6</v>
      </c>
      <c r="Y101">
        <v>573516.13</v>
      </c>
      <c r="Z101">
        <v>7845676.5</v>
      </c>
      <c r="AA101">
        <v>4279479</v>
      </c>
      <c r="AB101">
        <v>4681788.5</v>
      </c>
    </row>
    <row r="102" spans="1:28" x14ac:dyDescent="0.5">
      <c r="A102" s="20" t="s">
        <v>28</v>
      </c>
      <c r="B102" s="20">
        <v>2000</v>
      </c>
      <c r="C102" s="20">
        <v>25873004</v>
      </c>
      <c r="D102" s="20">
        <v>11220058</v>
      </c>
      <c r="E102" s="20">
        <v>5461070.5</v>
      </c>
      <c r="F102" s="20">
        <v>4998618.5</v>
      </c>
      <c r="G102" s="20">
        <v>1487569.6</v>
      </c>
      <c r="X102">
        <v>1809937.4</v>
      </c>
      <c r="Y102">
        <v>617913.88</v>
      </c>
      <c r="Z102">
        <v>9944486</v>
      </c>
      <c r="AA102">
        <v>3657332.5</v>
      </c>
      <c r="AB102">
        <v>4806932</v>
      </c>
    </row>
    <row r="103" spans="1:28" x14ac:dyDescent="0.5">
      <c r="A103" s="20" t="s">
        <v>28</v>
      </c>
      <c r="B103" s="20">
        <v>2001</v>
      </c>
      <c r="C103" s="20">
        <v>18060776</v>
      </c>
      <c r="D103" s="20">
        <v>9165917</v>
      </c>
      <c r="E103" s="20">
        <v>4945709.5</v>
      </c>
      <c r="F103" s="20">
        <v>4589713</v>
      </c>
      <c r="G103" s="20">
        <v>1560006.8</v>
      </c>
      <c r="X103">
        <v>1723627.4</v>
      </c>
      <c r="Y103">
        <v>633582.81000000006</v>
      </c>
      <c r="Z103">
        <v>8203473.5</v>
      </c>
      <c r="AA103">
        <v>3418311.8</v>
      </c>
      <c r="AB103">
        <v>4252587</v>
      </c>
    </row>
    <row r="104" spans="1:28" x14ac:dyDescent="0.5">
      <c r="A104" s="20" t="s">
        <v>28</v>
      </c>
      <c r="B104" s="20">
        <v>2002</v>
      </c>
      <c r="C104" s="20">
        <v>24716602</v>
      </c>
      <c r="D104" s="20">
        <v>8814940</v>
      </c>
      <c r="E104" s="20">
        <v>5139701</v>
      </c>
      <c r="F104" s="20">
        <v>4453547</v>
      </c>
      <c r="G104" s="20">
        <v>1487147.3</v>
      </c>
      <c r="X104">
        <v>1693541.1</v>
      </c>
      <c r="Y104">
        <v>598555.13</v>
      </c>
      <c r="Z104">
        <v>9539446</v>
      </c>
      <c r="AA104">
        <v>3511310.5</v>
      </c>
      <c r="AB104">
        <v>4151646.3</v>
      </c>
    </row>
    <row r="105" spans="1:28" x14ac:dyDescent="0.5">
      <c r="A105" s="20" t="s">
        <v>28</v>
      </c>
      <c r="B105" s="20">
        <v>2003</v>
      </c>
      <c r="C105" s="20">
        <v>27308918</v>
      </c>
      <c r="D105" s="20">
        <v>7984367</v>
      </c>
      <c r="E105" s="20">
        <v>6296146</v>
      </c>
      <c r="F105" s="20">
        <v>4606096</v>
      </c>
      <c r="G105" s="20">
        <v>1520928.1</v>
      </c>
      <c r="X105">
        <v>1724351.6</v>
      </c>
      <c r="Y105">
        <v>630166.88</v>
      </c>
      <c r="Z105">
        <v>10213554</v>
      </c>
      <c r="AA105">
        <v>4073854.5</v>
      </c>
      <c r="AB105">
        <v>3893977.8</v>
      </c>
    </row>
    <row r="106" spans="1:28" x14ac:dyDescent="0.5">
      <c r="A106" s="20" t="s">
        <v>28</v>
      </c>
      <c r="B106" s="20">
        <v>2004</v>
      </c>
      <c r="C106" s="20">
        <v>32768504</v>
      </c>
      <c r="D106" s="20">
        <v>8765949</v>
      </c>
      <c r="E106" s="20">
        <v>7302138</v>
      </c>
      <c r="F106" s="20">
        <v>5224623.5</v>
      </c>
      <c r="G106" s="20">
        <v>1605844.5</v>
      </c>
      <c r="X106">
        <v>1860866.5</v>
      </c>
      <c r="Y106">
        <v>663634.13</v>
      </c>
      <c r="Z106">
        <v>11657416</v>
      </c>
      <c r="AA106">
        <v>4433015</v>
      </c>
      <c r="AB106">
        <v>4188526</v>
      </c>
    </row>
    <row r="107" spans="1:28" x14ac:dyDescent="0.5">
      <c r="A107" s="20" t="s">
        <v>28</v>
      </c>
      <c r="B107" s="20">
        <v>2005</v>
      </c>
      <c r="C107" s="20">
        <v>53590832</v>
      </c>
      <c r="D107" s="20">
        <v>11015983</v>
      </c>
      <c r="E107" s="20">
        <v>9397397</v>
      </c>
      <c r="F107" s="20">
        <v>5879200</v>
      </c>
      <c r="G107" s="20">
        <v>1515893.8</v>
      </c>
      <c r="X107">
        <v>1996690.4</v>
      </c>
      <c r="Y107">
        <v>676250.31</v>
      </c>
      <c r="Z107">
        <v>15564066</v>
      </c>
      <c r="AA107">
        <v>5073452</v>
      </c>
      <c r="AB107">
        <v>4919057.5</v>
      </c>
    </row>
    <row r="108" spans="1:28" x14ac:dyDescent="0.5">
      <c r="A108" s="20" t="s">
        <v>28</v>
      </c>
      <c r="B108" s="20">
        <v>2006</v>
      </c>
      <c r="C108" s="20">
        <v>22430530</v>
      </c>
      <c r="D108" s="20">
        <v>12229415</v>
      </c>
      <c r="E108" s="20">
        <v>11646254</v>
      </c>
      <c r="F108" s="20">
        <v>6255807</v>
      </c>
      <c r="G108" s="20">
        <v>1471520.1</v>
      </c>
      <c r="X108">
        <v>2149092.5</v>
      </c>
      <c r="Y108">
        <v>654055.13</v>
      </c>
      <c r="Z108">
        <v>10077891</v>
      </c>
      <c r="AA108">
        <v>5930450</v>
      </c>
      <c r="AB108">
        <v>5360312.5</v>
      </c>
    </row>
    <row r="109" spans="1:28" x14ac:dyDescent="0.5">
      <c r="A109" s="20" t="s">
        <v>28</v>
      </c>
      <c r="B109" s="20">
        <v>2007</v>
      </c>
      <c r="C109" s="20">
        <v>23404788</v>
      </c>
      <c r="D109" s="20">
        <v>11369945</v>
      </c>
      <c r="E109" s="20">
        <v>12303911</v>
      </c>
      <c r="F109" s="20">
        <v>6140828.5</v>
      </c>
      <c r="G109" s="20">
        <v>1525009.9</v>
      </c>
      <c r="X109">
        <v>2067415</v>
      </c>
      <c r="Y109">
        <v>687554.88</v>
      </c>
      <c r="Z109">
        <v>10452052</v>
      </c>
      <c r="AA109">
        <v>5998926.5</v>
      </c>
      <c r="AB109">
        <v>5046312.5</v>
      </c>
    </row>
    <row r="110" spans="1:28" x14ac:dyDescent="0.5">
      <c r="A110" s="20" t="s">
        <v>28</v>
      </c>
      <c r="B110" s="20">
        <v>2008</v>
      </c>
      <c r="C110" s="20">
        <v>23811898</v>
      </c>
      <c r="D110" s="20">
        <v>10540027</v>
      </c>
      <c r="E110" s="20">
        <v>12002643</v>
      </c>
      <c r="F110" s="20">
        <v>5924267.5</v>
      </c>
      <c r="G110" s="20">
        <v>1517554.8</v>
      </c>
      <c r="X110">
        <v>1991172.3</v>
      </c>
      <c r="Y110">
        <v>655314.81000000006</v>
      </c>
      <c r="Z110">
        <v>10589843</v>
      </c>
      <c r="AA110">
        <v>5714726</v>
      </c>
      <c r="AB110">
        <v>4823615.5</v>
      </c>
    </row>
    <row r="111" spans="1:28" x14ac:dyDescent="0.5">
      <c r="A111" s="20" t="s">
        <v>28</v>
      </c>
      <c r="B111" s="20">
        <v>2009</v>
      </c>
      <c r="C111" s="20">
        <v>17394730</v>
      </c>
      <c r="D111" s="20">
        <v>8769647</v>
      </c>
      <c r="E111" s="20">
        <v>8686273</v>
      </c>
      <c r="F111" s="20">
        <v>5411472.5</v>
      </c>
      <c r="G111" s="20">
        <v>1185570.1000000001</v>
      </c>
      <c r="X111">
        <v>1723834.5</v>
      </c>
      <c r="Y111">
        <v>547654.88</v>
      </c>
      <c r="Z111">
        <v>8755677</v>
      </c>
      <c r="AA111">
        <v>4597494</v>
      </c>
      <c r="AB111">
        <v>4196770</v>
      </c>
    </row>
    <row r="112" spans="1:28" x14ac:dyDescent="0.5">
      <c r="A112" s="20" t="s">
        <v>28</v>
      </c>
      <c r="B112" s="20">
        <v>2010</v>
      </c>
      <c r="C112" s="20">
        <v>20755318</v>
      </c>
      <c r="D112" s="20">
        <v>11865032</v>
      </c>
      <c r="E112" s="20">
        <v>11283604</v>
      </c>
      <c r="F112" s="20">
        <v>6134241.5</v>
      </c>
      <c r="G112" s="20">
        <v>1371215.8</v>
      </c>
      <c r="X112">
        <v>1880258.3</v>
      </c>
      <c r="Y112">
        <v>588092.18999999994</v>
      </c>
      <c r="Z112">
        <v>9560823</v>
      </c>
      <c r="AA112">
        <v>5413626.5</v>
      </c>
      <c r="AB112">
        <v>5235240</v>
      </c>
    </row>
    <row r="113" spans="1:28" x14ac:dyDescent="0.5">
      <c r="A113" s="20" t="s">
        <v>28</v>
      </c>
      <c r="B113" s="20">
        <v>2011</v>
      </c>
      <c r="C113" s="20">
        <v>20253526</v>
      </c>
      <c r="D113" s="20">
        <v>14034856</v>
      </c>
      <c r="E113" s="20">
        <v>10267671</v>
      </c>
      <c r="F113" s="20">
        <v>5967492.5</v>
      </c>
      <c r="G113" s="20">
        <v>1523601.9</v>
      </c>
      <c r="X113">
        <v>1941555.1</v>
      </c>
      <c r="Y113">
        <v>630611.63</v>
      </c>
      <c r="Z113">
        <v>9538427</v>
      </c>
      <c r="AA113">
        <v>5173455.5</v>
      </c>
      <c r="AB113">
        <v>5871820</v>
      </c>
    </row>
    <row r="114" spans="1:28" x14ac:dyDescent="0.5">
      <c r="A114" s="20" t="s">
        <v>28</v>
      </c>
      <c r="B114" s="20">
        <v>2012</v>
      </c>
      <c r="C114" s="20">
        <v>18335250</v>
      </c>
      <c r="D114" s="20">
        <v>13462253</v>
      </c>
      <c r="E114" s="20">
        <v>9551079</v>
      </c>
      <c r="F114" s="20">
        <v>6642507</v>
      </c>
      <c r="G114" s="20">
        <v>1264242.8999999999</v>
      </c>
      <c r="X114">
        <v>2103605</v>
      </c>
      <c r="Y114">
        <v>584890.13</v>
      </c>
      <c r="Z114">
        <v>9027939</v>
      </c>
      <c r="AA114">
        <v>5152344</v>
      </c>
      <c r="AB114">
        <v>5801294</v>
      </c>
    </row>
    <row r="115" spans="1:28" x14ac:dyDescent="0.5">
      <c r="A115" s="20" t="s">
        <v>28</v>
      </c>
      <c r="B115" s="20">
        <v>2013</v>
      </c>
      <c r="C115" s="20">
        <v>18368764</v>
      </c>
      <c r="D115" s="20">
        <v>16937432</v>
      </c>
      <c r="E115" s="20">
        <v>10058685</v>
      </c>
      <c r="F115" s="20">
        <v>6018324</v>
      </c>
      <c r="G115" s="20">
        <v>1324173.1000000001</v>
      </c>
      <c r="X115">
        <v>1972190.4</v>
      </c>
      <c r="Y115">
        <v>588308.13</v>
      </c>
      <c r="Z115">
        <v>8887223</v>
      </c>
      <c r="AA115">
        <v>5255604</v>
      </c>
      <c r="AB115">
        <v>6493996</v>
      </c>
    </row>
    <row r="116" spans="1:28" x14ac:dyDescent="0.5">
      <c r="A116" s="20" t="s">
        <v>28</v>
      </c>
      <c r="B116" s="20">
        <v>2014</v>
      </c>
      <c r="C116" s="20">
        <v>22429504</v>
      </c>
      <c r="D116" s="20">
        <v>18759794</v>
      </c>
      <c r="E116" s="20">
        <v>14191089</v>
      </c>
      <c r="F116" s="20">
        <v>6416043</v>
      </c>
      <c r="G116" s="20">
        <v>1336856.3</v>
      </c>
      <c r="X116">
        <v>2087912.4</v>
      </c>
      <c r="Y116">
        <v>591764.18999999994</v>
      </c>
      <c r="Z116">
        <v>9988209</v>
      </c>
      <c r="AA116">
        <v>6542983.5</v>
      </c>
      <c r="AB116">
        <v>7177900.5</v>
      </c>
    </row>
    <row r="117" spans="1:28" x14ac:dyDescent="0.5">
      <c r="A117" s="20" t="s">
        <v>28</v>
      </c>
      <c r="B117" s="20">
        <v>2015</v>
      </c>
      <c r="C117" s="20">
        <v>18918566</v>
      </c>
      <c r="D117" s="20">
        <v>16555984</v>
      </c>
      <c r="E117" s="20">
        <v>14133756</v>
      </c>
      <c r="Z117">
        <v>9105213</v>
      </c>
      <c r="AA117">
        <v>6670439</v>
      </c>
      <c r="AB117">
        <v>6669965.5</v>
      </c>
    </row>
    <row r="118" spans="1:28" x14ac:dyDescent="0.5">
      <c r="A118" s="20" t="s">
        <v>28</v>
      </c>
      <c r="B118" s="20">
        <v>2016</v>
      </c>
      <c r="C118" s="20">
        <v>20632108</v>
      </c>
      <c r="D118" s="20">
        <v>26116200</v>
      </c>
      <c r="E118" s="20">
        <v>13460775</v>
      </c>
      <c r="Z118">
        <v>9714483</v>
      </c>
      <c r="AA118">
        <v>6525558</v>
      </c>
      <c r="AB118">
        <v>7853720</v>
      </c>
    </row>
    <row r="119" spans="1:28" x14ac:dyDescent="0.5">
      <c r="A119" s="20" t="s">
        <v>27</v>
      </c>
      <c r="B119" s="20">
        <v>1900</v>
      </c>
      <c r="L119" s="20">
        <v>0.22050001</v>
      </c>
    </row>
    <row r="120" spans="1:28" x14ac:dyDescent="0.5">
      <c r="A120" s="20" t="s">
        <v>27</v>
      </c>
      <c r="B120" s="20">
        <v>1901</v>
      </c>
    </row>
    <row r="121" spans="1:28" x14ac:dyDescent="0.5">
      <c r="A121" s="20" t="s">
        <v>27</v>
      </c>
      <c r="B121" s="20">
        <v>1902</v>
      </c>
    </row>
    <row r="122" spans="1:28" x14ac:dyDescent="0.5">
      <c r="A122" s="20" t="s">
        <v>27</v>
      </c>
      <c r="B122" s="20">
        <v>1903</v>
      </c>
    </row>
    <row r="123" spans="1:28" x14ac:dyDescent="0.5">
      <c r="A123" s="20" t="s">
        <v>27</v>
      </c>
      <c r="B123" s="20">
        <v>1904</v>
      </c>
    </row>
    <row r="124" spans="1:28" x14ac:dyDescent="0.5">
      <c r="A124" s="20" t="s">
        <v>27</v>
      </c>
      <c r="B124" s="20">
        <v>1905</v>
      </c>
    </row>
    <row r="125" spans="1:28" x14ac:dyDescent="0.5">
      <c r="A125" s="20" t="s">
        <v>27</v>
      </c>
      <c r="B125" s="20">
        <v>1906</v>
      </c>
    </row>
    <row r="126" spans="1:28" x14ac:dyDescent="0.5">
      <c r="A126" s="20" t="s">
        <v>27</v>
      </c>
      <c r="B126" s="20">
        <v>1907</v>
      </c>
    </row>
    <row r="127" spans="1:28" x14ac:dyDescent="0.5">
      <c r="A127" s="20" t="s">
        <v>27</v>
      </c>
      <c r="B127" s="20">
        <v>1908</v>
      </c>
    </row>
    <row r="128" spans="1:28" x14ac:dyDescent="0.5">
      <c r="A128" s="20" t="s">
        <v>27</v>
      </c>
      <c r="B128" s="20">
        <v>1909</v>
      </c>
    </row>
    <row r="129" spans="1:12" x14ac:dyDescent="0.5">
      <c r="A129" s="20" t="s">
        <v>27</v>
      </c>
      <c r="B129" s="20">
        <v>1910</v>
      </c>
      <c r="L129" s="20">
        <v>0.22950000000000001</v>
      </c>
    </row>
    <row r="130" spans="1:12" x14ac:dyDescent="0.5">
      <c r="A130" s="20" t="s">
        <v>27</v>
      </c>
      <c r="B130" s="20">
        <v>1911</v>
      </c>
    </row>
    <row r="131" spans="1:12" x14ac:dyDescent="0.5">
      <c r="A131" s="20" t="s">
        <v>27</v>
      </c>
      <c r="B131" s="20">
        <v>1912</v>
      </c>
    </row>
    <row r="132" spans="1:12" x14ac:dyDescent="0.5">
      <c r="A132" s="20" t="s">
        <v>27</v>
      </c>
      <c r="B132" s="20">
        <v>1913</v>
      </c>
      <c r="K132" s="20">
        <v>0.18840000000000001</v>
      </c>
    </row>
    <row r="133" spans="1:12" x14ac:dyDescent="0.5">
      <c r="A133" s="20" t="s">
        <v>27</v>
      </c>
      <c r="B133" s="20">
        <v>1914</v>
      </c>
      <c r="K133" s="20">
        <v>0.19329999</v>
      </c>
    </row>
    <row r="134" spans="1:12" x14ac:dyDescent="0.5">
      <c r="A134" s="20" t="s">
        <v>27</v>
      </c>
      <c r="B134" s="20">
        <v>1915</v>
      </c>
      <c r="K134" s="20">
        <v>0.18700000999999999</v>
      </c>
      <c r="L134" s="20">
        <v>0.1983</v>
      </c>
    </row>
    <row r="135" spans="1:12" x14ac:dyDescent="0.5">
      <c r="A135" s="20" t="s">
        <v>27</v>
      </c>
      <c r="B135" s="20">
        <v>1916</v>
      </c>
      <c r="K135" s="20">
        <v>0.20640000999999999</v>
      </c>
      <c r="L135" s="20">
        <v>0.22840000999999999</v>
      </c>
    </row>
    <row r="136" spans="1:12" x14ac:dyDescent="0.5">
      <c r="A136" s="20" t="s">
        <v>27</v>
      </c>
      <c r="B136" s="20">
        <v>1917</v>
      </c>
      <c r="K136" s="20">
        <v>0.2014</v>
      </c>
      <c r="L136" s="20">
        <v>0.22600000000000001</v>
      </c>
    </row>
    <row r="137" spans="1:12" x14ac:dyDescent="0.5">
      <c r="A137" s="20" t="s">
        <v>27</v>
      </c>
      <c r="B137" s="20">
        <v>1918</v>
      </c>
      <c r="K137" s="20">
        <v>0.1895</v>
      </c>
      <c r="L137" s="20">
        <v>0.2009</v>
      </c>
    </row>
    <row r="138" spans="1:12" x14ac:dyDescent="0.5">
      <c r="A138" s="20" t="s">
        <v>27</v>
      </c>
      <c r="B138" s="20">
        <v>1919</v>
      </c>
      <c r="K138" s="20">
        <v>0.21010000000000001</v>
      </c>
      <c r="L138" s="20">
        <v>0.20949999999999999</v>
      </c>
    </row>
    <row r="139" spans="1:12" x14ac:dyDescent="0.5">
      <c r="A139" s="20" t="s">
        <v>27</v>
      </c>
      <c r="B139" s="20">
        <v>1920</v>
      </c>
      <c r="K139" s="20">
        <v>0.184</v>
      </c>
      <c r="L139" s="20">
        <v>0.20069999999999999</v>
      </c>
    </row>
    <row r="140" spans="1:12" x14ac:dyDescent="0.5">
      <c r="A140" s="20" t="s">
        <v>27</v>
      </c>
      <c r="B140" s="20">
        <v>1921</v>
      </c>
      <c r="K140" s="20">
        <v>0.18099999</v>
      </c>
      <c r="L140" s="20">
        <v>0.1913</v>
      </c>
    </row>
    <row r="141" spans="1:12" x14ac:dyDescent="0.5">
      <c r="A141" s="20" t="s">
        <v>27</v>
      </c>
      <c r="B141" s="20">
        <v>1922</v>
      </c>
      <c r="K141" s="20">
        <v>0.17630000000000001</v>
      </c>
      <c r="L141" s="20">
        <v>0.2094</v>
      </c>
    </row>
    <row r="142" spans="1:12" x14ac:dyDescent="0.5">
      <c r="A142" s="20" t="s">
        <v>27</v>
      </c>
      <c r="B142" s="20">
        <v>1923</v>
      </c>
      <c r="K142" s="20">
        <v>0.16889999999999999</v>
      </c>
      <c r="L142" s="20">
        <v>0.23270001000000001</v>
      </c>
    </row>
    <row r="143" spans="1:12" x14ac:dyDescent="0.5">
      <c r="A143" s="20" t="s">
        <v>27</v>
      </c>
      <c r="B143" s="20">
        <v>1924</v>
      </c>
      <c r="K143" s="20">
        <v>0.17610000000000001</v>
      </c>
      <c r="L143" s="20">
        <v>0.21579999999999999</v>
      </c>
    </row>
    <row r="144" spans="1:12" x14ac:dyDescent="0.5">
      <c r="A144" s="20" t="s">
        <v>27</v>
      </c>
      <c r="B144" s="20">
        <v>1925</v>
      </c>
      <c r="K144" s="20">
        <v>0.19949998999999999</v>
      </c>
      <c r="L144" s="20">
        <v>0.20960000000000001</v>
      </c>
    </row>
    <row r="145" spans="1:12" x14ac:dyDescent="0.5">
      <c r="A145" s="20" t="s">
        <v>27</v>
      </c>
      <c r="B145" s="20">
        <v>1926</v>
      </c>
      <c r="K145" s="20">
        <v>0.21210000000000001</v>
      </c>
      <c r="L145" s="20">
        <v>0.20559999000000001</v>
      </c>
    </row>
    <row r="146" spans="1:12" x14ac:dyDescent="0.5">
      <c r="A146" s="20" t="s">
        <v>27</v>
      </c>
      <c r="B146" s="20">
        <v>1927</v>
      </c>
      <c r="K146" s="20">
        <v>0.20330000000000001</v>
      </c>
      <c r="L146" s="20">
        <v>0.21259998999999999</v>
      </c>
    </row>
    <row r="147" spans="1:12" x14ac:dyDescent="0.5">
      <c r="A147" s="20" t="s">
        <v>27</v>
      </c>
      <c r="B147" s="20">
        <v>1928</v>
      </c>
      <c r="K147" s="20">
        <v>0.21390000000000001</v>
      </c>
      <c r="L147" s="20">
        <v>0.21390000000000001</v>
      </c>
    </row>
    <row r="148" spans="1:12" x14ac:dyDescent="0.5">
      <c r="A148" s="20" t="s">
        <v>27</v>
      </c>
      <c r="B148" s="20">
        <v>1929</v>
      </c>
      <c r="K148" s="20">
        <v>0.21160001000000001</v>
      </c>
      <c r="L148" s="20">
        <v>0.20020001000000001</v>
      </c>
    </row>
    <row r="149" spans="1:12" x14ac:dyDescent="0.5">
      <c r="A149" s="20" t="s">
        <v>27</v>
      </c>
      <c r="B149" s="20">
        <v>1930</v>
      </c>
      <c r="K149" s="20">
        <v>0.18089999000000001</v>
      </c>
      <c r="L149" s="20">
        <v>0.1724</v>
      </c>
    </row>
    <row r="150" spans="1:12" x14ac:dyDescent="0.5">
      <c r="A150" s="20" t="s">
        <v>27</v>
      </c>
      <c r="B150" s="20">
        <v>1931</v>
      </c>
      <c r="K150" s="20">
        <v>0.15029999999999999</v>
      </c>
      <c r="L150" s="20">
        <v>0.1646</v>
      </c>
    </row>
    <row r="151" spans="1:12" x14ac:dyDescent="0.5">
      <c r="A151" s="20" t="s">
        <v>27</v>
      </c>
      <c r="B151" s="20">
        <v>1932</v>
      </c>
      <c r="K151" s="20">
        <v>0.1391</v>
      </c>
      <c r="L151" s="20">
        <v>0.16869998999999999</v>
      </c>
    </row>
    <row r="152" spans="1:12" x14ac:dyDescent="0.5">
      <c r="A152" s="20" t="s">
        <v>27</v>
      </c>
      <c r="B152" s="20">
        <v>1933</v>
      </c>
      <c r="K152" s="20">
        <v>0.15160000000000001</v>
      </c>
      <c r="L152" s="20">
        <v>0.17659999000000001</v>
      </c>
    </row>
    <row r="153" spans="1:12" x14ac:dyDescent="0.5">
      <c r="A153" s="20" t="s">
        <v>27</v>
      </c>
      <c r="B153" s="20">
        <v>1934</v>
      </c>
      <c r="K153" s="20">
        <v>0.17150000000000001</v>
      </c>
      <c r="L153" s="20">
        <v>0.17640001</v>
      </c>
    </row>
    <row r="154" spans="1:12" x14ac:dyDescent="0.5">
      <c r="A154" s="20" t="s">
        <v>27</v>
      </c>
      <c r="B154" s="20">
        <v>1935</v>
      </c>
      <c r="K154" s="20">
        <v>0.1736</v>
      </c>
      <c r="L154" s="20">
        <v>0.18390000000000001</v>
      </c>
    </row>
    <row r="155" spans="1:12" x14ac:dyDescent="0.5">
      <c r="A155" s="20" t="s">
        <v>27</v>
      </c>
      <c r="B155" s="20">
        <v>1936</v>
      </c>
      <c r="K155" s="20">
        <v>0.19239998999999999</v>
      </c>
      <c r="L155" s="20">
        <v>0.17299998999999999</v>
      </c>
    </row>
    <row r="156" spans="1:12" x14ac:dyDescent="0.5">
      <c r="A156" s="20" t="s">
        <v>27</v>
      </c>
      <c r="B156" s="20">
        <v>1937</v>
      </c>
      <c r="K156" s="20">
        <v>0.19040000000000001</v>
      </c>
      <c r="L156" s="20">
        <v>0.17449999999999999</v>
      </c>
    </row>
    <row r="157" spans="1:12" x14ac:dyDescent="0.5">
      <c r="A157" s="20" t="s">
        <v>27</v>
      </c>
      <c r="B157" s="20">
        <v>1938</v>
      </c>
      <c r="K157" s="20">
        <v>0.1719</v>
      </c>
      <c r="L157" s="20">
        <v>0.16520000000000001</v>
      </c>
    </row>
    <row r="158" spans="1:12" x14ac:dyDescent="0.5">
      <c r="A158" s="20" t="s">
        <v>27</v>
      </c>
      <c r="B158" s="20">
        <v>1939</v>
      </c>
      <c r="K158" s="20">
        <v>0.18479999999999999</v>
      </c>
      <c r="L158" s="20">
        <v>0.16410000999999999</v>
      </c>
    </row>
    <row r="159" spans="1:12" x14ac:dyDescent="0.5">
      <c r="A159" s="20" t="s">
        <v>27</v>
      </c>
      <c r="B159" s="20">
        <v>1940</v>
      </c>
      <c r="K159" s="20">
        <v>0.19310000999999999</v>
      </c>
      <c r="L159" s="20">
        <v>0.16779999000000001</v>
      </c>
    </row>
    <row r="160" spans="1:12" x14ac:dyDescent="0.5">
      <c r="A160" s="20" t="s">
        <v>27</v>
      </c>
      <c r="B160" s="20">
        <v>1941</v>
      </c>
      <c r="K160" s="20">
        <v>0.19490001000000001</v>
      </c>
      <c r="L160" s="20">
        <v>0.16020000000000001</v>
      </c>
    </row>
    <row r="161" spans="1:12" x14ac:dyDescent="0.5">
      <c r="A161" s="20" t="s">
        <v>27</v>
      </c>
      <c r="B161" s="20">
        <v>1942</v>
      </c>
      <c r="K161" s="20">
        <v>0.18490000000000001</v>
      </c>
      <c r="L161" s="20">
        <v>0.14650001000000001</v>
      </c>
    </row>
    <row r="162" spans="1:12" x14ac:dyDescent="0.5">
      <c r="A162" s="20" t="s">
        <v>27</v>
      </c>
      <c r="B162" s="20">
        <v>1943</v>
      </c>
      <c r="K162" s="20">
        <v>0.17180000000000001</v>
      </c>
      <c r="L162" s="20">
        <v>0.1183</v>
      </c>
    </row>
    <row r="163" spans="1:12" x14ac:dyDescent="0.5">
      <c r="A163" s="20" t="s">
        <v>27</v>
      </c>
      <c r="B163" s="20">
        <v>1944</v>
      </c>
      <c r="K163" s="20">
        <v>0.14839999000000001</v>
      </c>
      <c r="L163" s="20">
        <v>9.9799998000000001E-2</v>
      </c>
    </row>
    <row r="164" spans="1:12" x14ac:dyDescent="0.5">
      <c r="A164" s="20" t="s">
        <v>27</v>
      </c>
      <c r="B164" s="20">
        <v>1945</v>
      </c>
      <c r="K164" s="20">
        <v>0.14280000000000001</v>
      </c>
      <c r="L164" s="20">
        <v>8.4700002999999996E-2</v>
      </c>
    </row>
    <row r="165" spans="1:12" x14ac:dyDescent="0.5">
      <c r="A165" s="20" t="s">
        <v>27</v>
      </c>
      <c r="B165" s="20">
        <v>1946</v>
      </c>
      <c r="K165" s="20">
        <v>0.1416</v>
      </c>
      <c r="L165" s="20">
        <v>0.1043</v>
      </c>
    </row>
    <row r="166" spans="1:12" x14ac:dyDescent="0.5">
      <c r="A166" s="20" t="s">
        <v>27</v>
      </c>
      <c r="B166" s="20">
        <v>1947</v>
      </c>
      <c r="K166" s="20">
        <v>0.14569999</v>
      </c>
      <c r="L166" s="20">
        <v>0.1071</v>
      </c>
    </row>
    <row r="167" spans="1:12" x14ac:dyDescent="0.5">
      <c r="A167" s="20" t="s">
        <v>27</v>
      </c>
      <c r="B167" s="20">
        <v>1948</v>
      </c>
      <c r="K167" s="20">
        <v>0.15770000000000001</v>
      </c>
      <c r="L167" s="20">
        <v>9.9100000999999993E-2</v>
      </c>
    </row>
    <row r="168" spans="1:12" x14ac:dyDescent="0.5">
      <c r="A168" s="20" t="s">
        <v>27</v>
      </c>
      <c r="B168" s="20">
        <v>1949</v>
      </c>
      <c r="K168" s="20">
        <v>0.1517</v>
      </c>
      <c r="L168" s="20">
        <v>0.1027</v>
      </c>
    </row>
    <row r="169" spans="1:12" x14ac:dyDescent="0.5">
      <c r="A169" s="20" t="s">
        <v>27</v>
      </c>
      <c r="B169" s="20">
        <v>1950</v>
      </c>
      <c r="K169" s="20">
        <v>0.1585</v>
      </c>
      <c r="L169" s="20">
        <v>0.10340000000000001</v>
      </c>
    </row>
    <row r="170" spans="1:12" x14ac:dyDescent="0.5">
      <c r="A170" s="20" t="s">
        <v>27</v>
      </c>
      <c r="B170" s="20">
        <v>1951</v>
      </c>
      <c r="K170" s="20">
        <v>0.14940000000000001</v>
      </c>
      <c r="L170" s="20">
        <v>0.107</v>
      </c>
    </row>
    <row r="171" spans="1:12" x14ac:dyDescent="0.5">
      <c r="A171" s="20" t="s">
        <v>27</v>
      </c>
      <c r="B171" s="20">
        <v>1952</v>
      </c>
      <c r="K171" s="20">
        <v>0.14199999999999999</v>
      </c>
      <c r="L171" s="20">
        <v>0.1096</v>
      </c>
    </row>
    <row r="172" spans="1:12" x14ac:dyDescent="0.5">
      <c r="A172" s="20" t="s">
        <v>27</v>
      </c>
      <c r="B172" s="20">
        <v>1953</v>
      </c>
      <c r="K172" s="20">
        <v>0.13259999</v>
      </c>
      <c r="L172" s="20">
        <v>0.1084</v>
      </c>
    </row>
    <row r="173" spans="1:12" x14ac:dyDescent="0.5">
      <c r="A173" s="20" t="s">
        <v>27</v>
      </c>
      <c r="B173" s="20">
        <v>1954</v>
      </c>
      <c r="K173" s="20">
        <v>0.13489999999999999</v>
      </c>
      <c r="L173" s="20">
        <v>0.1105</v>
      </c>
    </row>
    <row r="174" spans="1:12" x14ac:dyDescent="0.5">
      <c r="A174" s="20" t="s">
        <v>27</v>
      </c>
      <c r="B174" s="20">
        <v>1955</v>
      </c>
      <c r="K174" s="20">
        <v>0.14129998999999999</v>
      </c>
      <c r="L174" s="20">
        <v>0.11260000000000001</v>
      </c>
    </row>
    <row r="175" spans="1:12" x14ac:dyDescent="0.5">
      <c r="A175" s="20" t="s">
        <v>27</v>
      </c>
      <c r="B175" s="20">
        <v>1956</v>
      </c>
      <c r="K175" s="20">
        <v>0.13389999999999999</v>
      </c>
      <c r="L175" s="20">
        <v>0.1096</v>
      </c>
    </row>
    <row r="176" spans="1:12" x14ac:dyDescent="0.5">
      <c r="A176" s="20" t="s">
        <v>27</v>
      </c>
      <c r="B176" s="20">
        <v>1957</v>
      </c>
      <c r="K176" s="20">
        <v>0.13169998999999999</v>
      </c>
      <c r="L176" s="20">
        <v>0.1123</v>
      </c>
    </row>
    <row r="177" spans="1:16" x14ac:dyDescent="0.5">
      <c r="A177" s="20" t="s">
        <v>27</v>
      </c>
      <c r="B177" s="20">
        <v>1958</v>
      </c>
      <c r="K177" s="20">
        <v>0.12470000000000001</v>
      </c>
      <c r="L177" s="20">
        <v>0.1036</v>
      </c>
    </row>
    <row r="178" spans="1:16" x14ac:dyDescent="0.5">
      <c r="A178" s="20" t="s">
        <v>27</v>
      </c>
      <c r="B178" s="20">
        <v>1959</v>
      </c>
      <c r="K178" s="20">
        <v>0.13070001000000001</v>
      </c>
      <c r="L178" s="20">
        <v>0.11219999999999999</v>
      </c>
    </row>
    <row r="179" spans="1:16" x14ac:dyDescent="0.5">
      <c r="A179" s="20" t="s">
        <v>27</v>
      </c>
      <c r="B179" s="20">
        <v>1960</v>
      </c>
      <c r="K179" s="20">
        <v>0.12590000000000001</v>
      </c>
      <c r="L179" s="20">
        <v>0.11459999999999999</v>
      </c>
    </row>
    <row r="180" spans="1:16" x14ac:dyDescent="0.5">
      <c r="A180" s="20" t="s">
        <v>27</v>
      </c>
      <c r="B180" s="20">
        <v>1961</v>
      </c>
      <c r="K180" s="20">
        <v>0.1245</v>
      </c>
      <c r="L180" s="20">
        <v>0.1157</v>
      </c>
    </row>
    <row r="181" spans="1:16" x14ac:dyDescent="0.5">
      <c r="A181" s="20" t="s">
        <v>27</v>
      </c>
      <c r="B181" s="20">
        <v>1962</v>
      </c>
      <c r="K181" s="20">
        <v>0.12570000000000001</v>
      </c>
      <c r="L181" s="20">
        <v>0.1094</v>
      </c>
      <c r="P181" s="20">
        <v>0.1007</v>
      </c>
    </row>
    <row r="182" spans="1:16" x14ac:dyDescent="0.5">
      <c r="A182" s="20" t="s">
        <v>27</v>
      </c>
      <c r="B182" s="20">
        <v>1963</v>
      </c>
      <c r="K182" s="20">
        <v>0.12745000000000001</v>
      </c>
      <c r="L182" s="20">
        <v>0.10730000000000001</v>
      </c>
    </row>
    <row r="183" spans="1:16" x14ac:dyDescent="0.5">
      <c r="A183" s="20" t="s">
        <v>27</v>
      </c>
      <c r="B183" s="20">
        <v>1964</v>
      </c>
      <c r="K183" s="20">
        <v>0.12920000000000001</v>
      </c>
      <c r="L183" s="20">
        <v>0.1084</v>
      </c>
      <c r="P183" s="20">
        <v>0.1047</v>
      </c>
    </row>
    <row r="184" spans="1:16" x14ac:dyDescent="0.5">
      <c r="A184" s="20" t="s">
        <v>27</v>
      </c>
      <c r="B184" s="20">
        <v>1965</v>
      </c>
      <c r="K184" s="20">
        <v>0.12779499999999999</v>
      </c>
      <c r="L184" s="20">
        <v>0.1094</v>
      </c>
    </row>
    <row r="185" spans="1:16" x14ac:dyDescent="0.5">
      <c r="A185" s="20" t="s">
        <v>27</v>
      </c>
      <c r="B185" s="20">
        <v>1966</v>
      </c>
      <c r="K185" s="20">
        <v>0.12639998999999999</v>
      </c>
      <c r="L185" s="20">
        <v>0.10730000000000001</v>
      </c>
      <c r="P185" s="20">
        <v>0.1017</v>
      </c>
    </row>
    <row r="186" spans="1:16" x14ac:dyDescent="0.5">
      <c r="A186" s="20" t="s">
        <v>27</v>
      </c>
      <c r="B186" s="20">
        <v>1967</v>
      </c>
      <c r="K186" s="20">
        <v>0.12139999999999999</v>
      </c>
      <c r="L186" s="20">
        <v>0.1071</v>
      </c>
      <c r="P186" s="20">
        <v>9.4200000000000006E-2</v>
      </c>
    </row>
    <row r="187" spans="1:16" x14ac:dyDescent="0.5">
      <c r="A187" s="20" t="s">
        <v>27</v>
      </c>
      <c r="B187" s="20">
        <v>1968</v>
      </c>
      <c r="K187" s="20">
        <v>0.1242</v>
      </c>
      <c r="L187" s="20">
        <v>0.1016</v>
      </c>
      <c r="P187" s="20">
        <v>9.3999997000000002E-2</v>
      </c>
    </row>
    <row r="188" spans="1:16" x14ac:dyDescent="0.5">
      <c r="A188" s="20" t="s">
        <v>27</v>
      </c>
      <c r="B188" s="20">
        <v>1969</v>
      </c>
      <c r="K188" s="20">
        <v>0.11509999999999999</v>
      </c>
      <c r="L188" s="20">
        <v>9.8999999000000005E-2</v>
      </c>
      <c r="P188" s="20">
        <v>8.6999996999999996E-2</v>
      </c>
    </row>
    <row r="189" spans="1:16" x14ac:dyDescent="0.5">
      <c r="A189" s="20" t="s">
        <v>27</v>
      </c>
      <c r="B189" s="20">
        <v>1970</v>
      </c>
      <c r="K189" s="20">
        <v>0.1079</v>
      </c>
      <c r="L189" s="20">
        <v>9.6600004000000003E-2</v>
      </c>
      <c r="P189" s="20">
        <v>8.3300001999999998E-2</v>
      </c>
    </row>
    <row r="190" spans="1:16" x14ac:dyDescent="0.5">
      <c r="A190" s="20" t="s">
        <v>27</v>
      </c>
      <c r="B190" s="20">
        <v>1971</v>
      </c>
      <c r="K190" s="20">
        <v>0.1108</v>
      </c>
      <c r="L190" s="20">
        <v>9.6799998999999998E-2</v>
      </c>
      <c r="P190" s="20">
        <v>8.5500002000000005E-2</v>
      </c>
    </row>
    <row r="191" spans="1:16" x14ac:dyDescent="0.5">
      <c r="A191" s="20" t="s">
        <v>27</v>
      </c>
      <c r="B191" s="20">
        <v>1972</v>
      </c>
      <c r="K191" s="20">
        <v>0.11119999999999999</v>
      </c>
      <c r="L191" s="20">
        <v>9.4999999000000002E-2</v>
      </c>
      <c r="P191" s="20">
        <v>8.6099996999999998E-2</v>
      </c>
    </row>
    <row r="192" spans="1:16" x14ac:dyDescent="0.5">
      <c r="A192" s="20" t="s">
        <v>27</v>
      </c>
      <c r="B192" s="20">
        <v>1973</v>
      </c>
      <c r="K192" s="20">
        <v>0.11020000000000001</v>
      </c>
      <c r="L192" s="20">
        <v>0.1009</v>
      </c>
      <c r="P192" s="20">
        <v>8.8399999000000007E-2</v>
      </c>
    </row>
    <row r="193" spans="1:16" x14ac:dyDescent="0.5">
      <c r="A193" s="20" t="s">
        <v>27</v>
      </c>
      <c r="B193" s="20">
        <v>1974</v>
      </c>
      <c r="K193" s="20">
        <v>0.1055</v>
      </c>
      <c r="L193" s="20">
        <v>9.7400001999999999E-2</v>
      </c>
      <c r="P193" s="20">
        <v>8.2699998999999996E-2</v>
      </c>
    </row>
    <row r="194" spans="1:16" x14ac:dyDescent="0.5">
      <c r="A194" s="20" t="s">
        <v>27</v>
      </c>
      <c r="B194" s="20">
        <v>1975</v>
      </c>
      <c r="K194" s="20">
        <v>0.10580000000000001</v>
      </c>
      <c r="L194" s="20">
        <v>9.11E-2</v>
      </c>
      <c r="P194" s="20">
        <v>8.4899999000000004E-2</v>
      </c>
    </row>
    <row r="195" spans="1:16" x14ac:dyDescent="0.5">
      <c r="A195" s="20" t="s">
        <v>27</v>
      </c>
      <c r="B195" s="20">
        <v>1976</v>
      </c>
      <c r="K195" s="20">
        <v>0.1041</v>
      </c>
      <c r="L195" s="20">
        <v>9.0999997999999999E-2</v>
      </c>
      <c r="P195" s="20">
        <v>8.2500003000000002E-2</v>
      </c>
    </row>
    <row r="196" spans="1:16" x14ac:dyDescent="0.5">
      <c r="A196" s="20" t="s">
        <v>27</v>
      </c>
      <c r="B196" s="20">
        <v>1977</v>
      </c>
      <c r="K196" s="20">
        <v>0.1075</v>
      </c>
      <c r="L196" s="20">
        <v>8.5299999000000001E-2</v>
      </c>
      <c r="P196" s="20">
        <v>8.6400002000000004E-2</v>
      </c>
    </row>
    <row r="197" spans="1:16" x14ac:dyDescent="0.5">
      <c r="A197" s="20" t="s">
        <v>27</v>
      </c>
      <c r="B197" s="20">
        <v>1978</v>
      </c>
      <c r="K197" s="20">
        <v>0.10630000000000001</v>
      </c>
      <c r="L197" s="20">
        <v>8.2699998999999996E-2</v>
      </c>
      <c r="P197" s="20">
        <v>8.7399996999999993E-2</v>
      </c>
    </row>
    <row r="198" spans="1:16" x14ac:dyDescent="0.5">
      <c r="A198" s="20" t="s">
        <v>27</v>
      </c>
      <c r="B198" s="20">
        <v>1979</v>
      </c>
      <c r="K198" s="20">
        <v>0.1115</v>
      </c>
      <c r="L198" s="20">
        <v>8.5600003999999993E-2</v>
      </c>
      <c r="P198" s="20">
        <v>9.1399996999999997E-2</v>
      </c>
    </row>
    <row r="199" spans="1:16" x14ac:dyDescent="0.5">
      <c r="A199" s="20" t="s">
        <v>27</v>
      </c>
      <c r="B199" s="20">
        <v>1980</v>
      </c>
      <c r="H199" s="20">
        <v>5.6800000000000003E-2</v>
      </c>
      <c r="I199" s="20">
        <v>5.7100001999999997E-2</v>
      </c>
      <c r="J199" s="20">
        <v>4.9899999E-2</v>
      </c>
      <c r="K199" s="20">
        <v>0.1067</v>
      </c>
      <c r="L199" s="20">
        <v>8.1699996999999996E-2</v>
      </c>
      <c r="M199" s="20">
        <v>5.4499999E-2</v>
      </c>
      <c r="N199" s="20">
        <v>5.2400000000000002E-2</v>
      </c>
      <c r="O199" s="20">
        <v>4.1499998000000003E-2</v>
      </c>
      <c r="P199" s="20">
        <v>8.5699997999999999E-2</v>
      </c>
    </row>
    <row r="200" spans="1:16" x14ac:dyDescent="0.5">
      <c r="A200" s="20" t="s">
        <v>27</v>
      </c>
      <c r="B200" s="20">
        <v>1981</v>
      </c>
      <c r="H200" s="20">
        <v>5.5399998999999998E-2</v>
      </c>
      <c r="I200" s="20">
        <v>5.6600000999999997E-2</v>
      </c>
      <c r="J200" s="20">
        <v>5.0200000000000002E-2</v>
      </c>
      <c r="K200" s="20">
        <v>0.1105</v>
      </c>
      <c r="L200" s="20">
        <v>8.2099996999999994E-2</v>
      </c>
      <c r="M200" s="20">
        <v>5.3800002E-2</v>
      </c>
      <c r="N200" s="20">
        <v>5.2999998999999999E-2</v>
      </c>
      <c r="O200" s="20">
        <v>4.1799999999999997E-2</v>
      </c>
      <c r="P200" s="20">
        <v>9.2799998999999994E-2</v>
      </c>
    </row>
    <row r="201" spans="1:16" x14ac:dyDescent="0.5">
      <c r="A201" s="20" t="s">
        <v>27</v>
      </c>
      <c r="B201" s="20">
        <v>1982</v>
      </c>
      <c r="H201" s="20">
        <v>5.4099999000000003E-2</v>
      </c>
      <c r="I201" s="20">
        <v>5.7700001000000001E-2</v>
      </c>
      <c r="J201" s="20">
        <v>5.5500001E-2</v>
      </c>
      <c r="K201" s="20">
        <v>0.11260000000000001</v>
      </c>
      <c r="L201" s="20">
        <v>7.5199999000000003E-2</v>
      </c>
      <c r="M201" s="20">
        <v>5.2999998999999999E-2</v>
      </c>
      <c r="N201" s="20">
        <v>5.5199999E-2</v>
      </c>
      <c r="O201" s="20">
        <v>4.8099997999999998E-2</v>
      </c>
      <c r="P201" s="20">
        <v>9.4200000000000006E-2</v>
      </c>
    </row>
    <row r="202" spans="1:16" x14ac:dyDescent="0.5">
      <c r="A202" s="20" t="s">
        <v>27</v>
      </c>
      <c r="B202" s="20">
        <v>1983</v>
      </c>
      <c r="H202" s="20">
        <v>5.2400000000000002E-2</v>
      </c>
      <c r="I202" s="20">
        <v>6.7599996999999995E-2</v>
      </c>
      <c r="J202" s="20">
        <v>5.7200000000000001E-2</v>
      </c>
      <c r="K202" s="20">
        <v>0.11509999999999999</v>
      </c>
      <c r="L202" s="20">
        <v>7.3299997000000006E-2</v>
      </c>
      <c r="M202" s="20">
        <v>5.2000000999999997E-2</v>
      </c>
      <c r="N202" s="20">
        <v>6.2899998999999998E-2</v>
      </c>
      <c r="O202" s="20">
        <v>4.9600000999999998E-2</v>
      </c>
      <c r="P202" s="20">
        <v>9.7099996999999993E-2</v>
      </c>
    </row>
    <row r="203" spans="1:16" x14ac:dyDescent="0.5">
      <c r="A203" s="20" t="s">
        <v>27</v>
      </c>
      <c r="B203" s="20">
        <v>1984</v>
      </c>
      <c r="H203" s="20">
        <v>5.6499999000000002E-2</v>
      </c>
      <c r="I203" s="20">
        <v>7.3600001999999998E-2</v>
      </c>
      <c r="J203" s="20">
        <v>6.3299998999999996E-2</v>
      </c>
      <c r="K203" s="20">
        <v>0.125</v>
      </c>
      <c r="L203" s="20">
        <v>7.4699998000000004E-2</v>
      </c>
      <c r="M203" s="20">
        <v>5.6899998E-2</v>
      </c>
      <c r="N203" s="20">
        <v>7.0900001000000004E-2</v>
      </c>
      <c r="O203" s="20">
        <v>5.6699999000000001E-2</v>
      </c>
      <c r="P203" s="20">
        <v>0.1081</v>
      </c>
    </row>
    <row r="204" spans="1:16" x14ac:dyDescent="0.5">
      <c r="A204" s="20" t="s">
        <v>27</v>
      </c>
      <c r="B204" s="20">
        <v>1985</v>
      </c>
      <c r="H204" s="20">
        <v>5.7100001999999997E-2</v>
      </c>
      <c r="I204" s="20">
        <v>7.7899999999999997E-2</v>
      </c>
      <c r="J204" s="20">
        <v>6.2199998999999999E-2</v>
      </c>
      <c r="K204" s="20">
        <v>0.12549999000000001</v>
      </c>
      <c r="L204" s="20">
        <v>7.7399998999999997E-2</v>
      </c>
      <c r="M204" s="20">
        <v>5.8600000999999999E-2</v>
      </c>
      <c r="N204" s="20">
        <v>7.6099999000000002E-2</v>
      </c>
      <c r="O204" s="20">
        <v>5.5899999999999998E-2</v>
      </c>
      <c r="P204" s="20">
        <v>0.107</v>
      </c>
    </row>
    <row r="205" spans="1:16" x14ac:dyDescent="0.5">
      <c r="A205" s="20" t="s">
        <v>27</v>
      </c>
      <c r="B205" s="20">
        <v>1986</v>
      </c>
      <c r="H205" s="20">
        <v>4.5299999000000001E-2</v>
      </c>
      <c r="I205" s="20">
        <v>6.9700002999999996E-2</v>
      </c>
      <c r="J205" s="20">
        <v>6.0299999999999999E-2</v>
      </c>
      <c r="K205" s="20">
        <v>0.1221</v>
      </c>
      <c r="L205" s="20">
        <v>8.2500003000000002E-2</v>
      </c>
      <c r="M205" s="20">
        <v>4.82E-2</v>
      </c>
      <c r="N205" s="20">
        <v>6.7699998999999997E-2</v>
      </c>
      <c r="O205" s="20">
        <v>5.4299999000000002E-2</v>
      </c>
      <c r="P205" s="20">
        <v>9.9699995999999999E-2</v>
      </c>
    </row>
    <row r="206" spans="1:16" x14ac:dyDescent="0.5">
      <c r="A206" s="20" t="s">
        <v>27</v>
      </c>
      <c r="B206" s="20">
        <v>1987</v>
      </c>
      <c r="H206" s="20">
        <v>4.4399999000000002E-2</v>
      </c>
      <c r="I206" s="20">
        <v>6.9300002999999999E-2</v>
      </c>
      <c r="J206" s="20">
        <v>6.1199999999999997E-2</v>
      </c>
      <c r="K206" s="20">
        <v>0.1331</v>
      </c>
      <c r="L206" s="20">
        <v>9.0200000000000002E-2</v>
      </c>
      <c r="M206" s="20">
        <v>4.4599999000000001E-2</v>
      </c>
      <c r="N206" s="20">
        <v>7.0100001999999995E-2</v>
      </c>
      <c r="O206" s="20">
        <v>5.4400001000000003E-2</v>
      </c>
      <c r="P206" s="20">
        <v>0.10979999999999999</v>
      </c>
    </row>
    <row r="207" spans="1:16" x14ac:dyDescent="0.5">
      <c r="A207" s="20" t="s">
        <v>27</v>
      </c>
      <c r="B207" s="20">
        <v>1988</v>
      </c>
      <c r="H207" s="20">
        <v>4.1099998999999998E-2</v>
      </c>
      <c r="I207" s="20">
        <v>6.5499999000000003E-2</v>
      </c>
      <c r="J207" s="20">
        <v>6.4499997000000003E-2</v>
      </c>
      <c r="K207" s="20">
        <v>0.14879999999999999</v>
      </c>
      <c r="L207" s="20">
        <v>9.1600001E-2</v>
      </c>
      <c r="M207" s="20">
        <v>3.9900000999999997E-2</v>
      </c>
      <c r="N207" s="20">
        <v>6.6699996999999997E-2</v>
      </c>
      <c r="O207" s="20">
        <v>5.6699999000000001E-2</v>
      </c>
      <c r="P207" s="20">
        <v>0.1242</v>
      </c>
    </row>
    <row r="208" spans="1:16" x14ac:dyDescent="0.5">
      <c r="A208" s="20" t="s">
        <v>27</v>
      </c>
      <c r="B208" s="20">
        <v>1989</v>
      </c>
      <c r="H208" s="20">
        <v>4.4199998999999997E-2</v>
      </c>
      <c r="I208" s="20">
        <v>6.8199999999999997E-2</v>
      </c>
      <c r="J208" s="20">
        <v>6.1600000000000002E-2</v>
      </c>
      <c r="K208" s="20">
        <v>0.14460000000000001</v>
      </c>
      <c r="L208" s="20">
        <v>9.5200002000000006E-2</v>
      </c>
      <c r="M208" s="20">
        <v>4.2199999000000002E-2</v>
      </c>
      <c r="N208" s="20">
        <v>6.8999998000000007E-2</v>
      </c>
      <c r="O208" s="20">
        <v>5.2400000000000002E-2</v>
      </c>
      <c r="P208" s="20">
        <v>0.1206</v>
      </c>
    </row>
    <row r="209" spans="1:16" x14ac:dyDescent="0.5">
      <c r="A209" s="20" t="s">
        <v>27</v>
      </c>
      <c r="B209" s="20">
        <v>1990</v>
      </c>
      <c r="H209" s="20">
        <v>4.5499998999999999E-2</v>
      </c>
      <c r="I209" s="20">
        <v>6.8599998999999995E-2</v>
      </c>
      <c r="J209" s="20">
        <v>5.4099999000000003E-2</v>
      </c>
      <c r="K209" s="20">
        <v>0.1454</v>
      </c>
      <c r="L209" s="20">
        <v>9.3299999999999994E-2</v>
      </c>
      <c r="M209" s="20">
        <v>4.2700000000000002E-2</v>
      </c>
      <c r="N209" s="20">
        <v>6.9499999000000007E-2</v>
      </c>
      <c r="O209" s="20">
        <v>4.4199998999999997E-2</v>
      </c>
      <c r="P209" s="20">
        <v>0.1208</v>
      </c>
    </row>
    <row r="210" spans="1:16" x14ac:dyDescent="0.5">
      <c r="A210" s="20" t="s">
        <v>27</v>
      </c>
      <c r="B210" s="20">
        <v>1991</v>
      </c>
      <c r="H210" s="20">
        <v>4.6399998999999997E-2</v>
      </c>
      <c r="I210" s="20">
        <v>6.8300000999999999E-2</v>
      </c>
      <c r="J210" s="20">
        <v>5.7100001999999997E-2</v>
      </c>
      <c r="K210" s="20">
        <v>0.1389</v>
      </c>
      <c r="L210" s="20">
        <v>9.1499998999999999E-2</v>
      </c>
      <c r="M210" s="20">
        <v>4.2900000000000001E-2</v>
      </c>
      <c r="N210" s="20">
        <v>6.8899997000000004E-2</v>
      </c>
      <c r="O210" s="20">
        <v>4.3000001000000003E-2</v>
      </c>
      <c r="P210" s="20">
        <v>0.115</v>
      </c>
    </row>
    <row r="211" spans="1:16" x14ac:dyDescent="0.5">
      <c r="A211" s="20" t="s">
        <v>27</v>
      </c>
      <c r="B211" s="20">
        <v>1992</v>
      </c>
      <c r="H211" s="20">
        <v>5.3900000000000003E-2</v>
      </c>
      <c r="I211" s="20">
        <v>6.8499997000000007E-2</v>
      </c>
      <c r="J211" s="20">
        <v>5.6600000999999997E-2</v>
      </c>
      <c r="K211" s="20">
        <v>0.15009998999999999</v>
      </c>
      <c r="L211" s="20">
        <v>8.6199998999999999E-2</v>
      </c>
      <c r="M211" s="20">
        <v>4.9500000000000002E-2</v>
      </c>
      <c r="N211" s="20">
        <v>6.8800001999999999E-2</v>
      </c>
      <c r="O211" s="20">
        <v>4.2800001999999997E-2</v>
      </c>
      <c r="P211" s="20">
        <v>0.1234</v>
      </c>
    </row>
    <row r="212" spans="1:16" x14ac:dyDescent="0.5">
      <c r="A212" s="20" t="s">
        <v>27</v>
      </c>
      <c r="B212" s="20">
        <v>1993</v>
      </c>
      <c r="H212" s="20">
        <v>6.4699999999999994E-2</v>
      </c>
      <c r="I212" s="20">
        <v>6.8899997000000004E-2</v>
      </c>
      <c r="J212" s="20">
        <v>6.1900001000000003E-2</v>
      </c>
      <c r="K212" s="20">
        <v>0.1464</v>
      </c>
      <c r="L212" s="20">
        <v>9.0899995999999997E-2</v>
      </c>
      <c r="M212" s="20">
        <v>6.1999999E-2</v>
      </c>
      <c r="N212" s="20">
        <v>6.6900000000000001E-2</v>
      </c>
      <c r="O212" s="20">
        <v>4.7699999E-2</v>
      </c>
      <c r="P212" s="20">
        <v>0.1173</v>
      </c>
    </row>
    <row r="213" spans="1:16" x14ac:dyDescent="0.5">
      <c r="A213" s="20" t="s">
        <v>27</v>
      </c>
      <c r="B213" s="20">
        <v>1994</v>
      </c>
      <c r="H213" s="20">
        <v>6.8499997000000007E-2</v>
      </c>
      <c r="I213" s="20">
        <v>7.4800000000000005E-2</v>
      </c>
      <c r="J213" s="20">
        <v>7.4699998000000004E-2</v>
      </c>
      <c r="K213" s="20">
        <v>0.1469</v>
      </c>
      <c r="L213" s="20">
        <v>9.1799996999999994E-2</v>
      </c>
      <c r="M213" s="20">
        <v>6.8700000999999997E-2</v>
      </c>
      <c r="N213" s="20">
        <v>7.1699999E-2</v>
      </c>
      <c r="O213" s="20">
        <v>6.0600001000000001E-2</v>
      </c>
      <c r="P213" s="20">
        <v>0.1163</v>
      </c>
    </row>
    <row r="214" spans="1:16" x14ac:dyDescent="0.5">
      <c r="A214" s="20" t="s">
        <v>27</v>
      </c>
      <c r="B214" s="20">
        <v>1995</v>
      </c>
      <c r="H214" s="20">
        <v>6.8099997999999995E-2</v>
      </c>
      <c r="I214" s="20">
        <v>7.6800004000000005E-2</v>
      </c>
      <c r="J214" s="20">
        <v>7.8299998999999995E-2</v>
      </c>
      <c r="K214" s="20">
        <v>0.15279999</v>
      </c>
      <c r="L214" s="20">
        <v>9.2299997999999994E-2</v>
      </c>
      <c r="M214" s="20">
        <v>6.9600000999999995E-2</v>
      </c>
      <c r="N214" s="20">
        <v>7.22E-2</v>
      </c>
      <c r="O214" s="20">
        <v>6.6200002999999993E-2</v>
      </c>
      <c r="P214" s="20">
        <v>0.1205</v>
      </c>
    </row>
    <row r="215" spans="1:16" x14ac:dyDescent="0.5">
      <c r="A215" s="20" t="s">
        <v>27</v>
      </c>
      <c r="B215" s="20">
        <v>1996</v>
      </c>
      <c r="H215" s="20">
        <v>7.6499998999999999E-2</v>
      </c>
      <c r="I215" s="20">
        <v>7.8799999999999995E-2</v>
      </c>
      <c r="J215" s="20">
        <v>7.3200002E-2</v>
      </c>
      <c r="K215" s="20">
        <v>0.15970001</v>
      </c>
      <c r="L215" s="20">
        <v>0.1003</v>
      </c>
      <c r="M215" s="20">
        <v>7.8400000999999997E-2</v>
      </c>
      <c r="N215" s="20">
        <v>7.3899998999999994E-2</v>
      </c>
      <c r="O215" s="20">
        <v>6.1099999000000002E-2</v>
      </c>
      <c r="P215" s="20">
        <v>0.12479999999999999</v>
      </c>
    </row>
    <row r="216" spans="1:16" x14ac:dyDescent="0.5">
      <c r="A216" s="20" t="s">
        <v>27</v>
      </c>
      <c r="B216" s="20">
        <v>1997</v>
      </c>
      <c r="H216" s="20">
        <v>8.2599997999999994E-2</v>
      </c>
      <c r="I216" s="20">
        <v>8.4500000000000006E-2</v>
      </c>
      <c r="J216" s="20">
        <v>7.6200001000000003E-2</v>
      </c>
      <c r="K216" s="20">
        <v>0.1663</v>
      </c>
      <c r="L216" s="20">
        <v>0.10440000000000001</v>
      </c>
      <c r="M216" s="20">
        <v>8.6800002000000001E-2</v>
      </c>
      <c r="N216" s="20">
        <v>7.9499997000000003E-2</v>
      </c>
      <c r="O216" s="20">
        <v>6.5600000000000006E-2</v>
      </c>
      <c r="P216" s="20">
        <v>0.12980000999999999</v>
      </c>
    </row>
    <row r="217" spans="1:16" x14ac:dyDescent="0.5">
      <c r="A217" s="20" t="s">
        <v>27</v>
      </c>
      <c r="B217" s="20">
        <v>1998</v>
      </c>
      <c r="H217" s="20">
        <v>7.2599999999999998E-2</v>
      </c>
      <c r="I217" s="20">
        <v>8.1500001000000002E-2</v>
      </c>
      <c r="J217" s="20">
        <v>7.4500001999999996E-2</v>
      </c>
      <c r="K217" s="20">
        <v>0.16919999999999999</v>
      </c>
      <c r="L217" s="20">
        <v>0.1067</v>
      </c>
      <c r="M217" s="20">
        <v>7.5099997000000002E-2</v>
      </c>
      <c r="N217" s="20">
        <v>7.5800002000000005E-2</v>
      </c>
      <c r="O217" s="20">
        <v>6.4599998000000006E-2</v>
      </c>
      <c r="P217" s="20">
        <v>0.13109999999999999</v>
      </c>
    </row>
    <row r="218" spans="1:16" x14ac:dyDescent="0.5">
      <c r="A218" s="20" t="s">
        <v>27</v>
      </c>
      <c r="B218" s="20">
        <v>1999</v>
      </c>
      <c r="H218" s="20">
        <v>7.8699999000000007E-2</v>
      </c>
      <c r="I218" s="20">
        <v>8.7399996999999993E-2</v>
      </c>
      <c r="J218" s="20">
        <v>7.5800002000000005E-2</v>
      </c>
      <c r="K218" s="20">
        <v>0.17710000000000001</v>
      </c>
      <c r="L218" s="20">
        <v>0.106</v>
      </c>
      <c r="M218" s="20">
        <v>8.0600001000000004E-2</v>
      </c>
      <c r="N218" s="20">
        <v>8.1600003000000004E-2</v>
      </c>
      <c r="O218" s="20">
        <v>6.7000002000000003E-2</v>
      </c>
      <c r="P218" s="20">
        <v>0.13689999</v>
      </c>
    </row>
    <row r="219" spans="1:16" x14ac:dyDescent="0.5">
      <c r="A219" s="20" t="s">
        <v>27</v>
      </c>
      <c r="B219" s="20">
        <v>2000</v>
      </c>
      <c r="H219" s="20">
        <v>9.6299997999999998E-2</v>
      </c>
      <c r="I219" s="20">
        <v>8.7399996999999993E-2</v>
      </c>
      <c r="J219" s="20">
        <v>6.5099999000000006E-2</v>
      </c>
      <c r="K219" s="20">
        <v>0.18269999000000001</v>
      </c>
      <c r="L219" s="20">
        <v>0.1103</v>
      </c>
      <c r="M219" s="20">
        <v>0.1024</v>
      </c>
      <c r="N219" s="20">
        <v>8.0799996999999998E-2</v>
      </c>
      <c r="O219" s="20">
        <v>6.0100000000000001E-2</v>
      </c>
      <c r="P219" s="20">
        <v>0.14080000000000001</v>
      </c>
    </row>
    <row r="220" spans="1:16" x14ac:dyDescent="0.5">
      <c r="A220" s="20" t="s">
        <v>27</v>
      </c>
      <c r="B220" s="20">
        <v>2001</v>
      </c>
      <c r="H220" s="20">
        <v>7.6600000000000001E-2</v>
      </c>
      <c r="I220" s="20">
        <v>7.6899997999999997E-2</v>
      </c>
      <c r="J220" s="20">
        <v>6.1500001999999998E-2</v>
      </c>
      <c r="K220" s="20">
        <v>0.17269999999999999</v>
      </c>
      <c r="L220" s="20">
        <v>0.1132</v>
      </c>
      <c r="M220" s="20">
        <v>7.7299996999999995E-2</v>
      </c>
      <c r="N220" s="20">
        <v>7.0100001999999995E-2</v>
      </c>
      <c r="O220" s="20">
        <v>5.5799998000000003E-2</v>
      </c>
      <c r="P220" s="20">
        <v>0.13770001000000001</v>
      </c>
    </row>
    <row r="221" spans="1:16" x14ac:dyDescent="0.5">
      <c r="A221" s="20" t="s">
        <v>27</v>
      </c>
      <c r="B221" s="20">
        <v>2002</v>
      </c>
      <c r="H221" s="20">
        <v>8.9299999000000005E-2</v>
      </c>
      <c r="I221" s="20">
        <v>7.4699998000000004E-2</v>
      </c>
      <c r="J221" s="20">
        <v>6.2199998999999999E-2</v>
      </c>
      <c r="K221" s="20">
        <v>0.1706</v>
      </c>
      <c r="L221" s="20">
        <v>0.1095</v>
      </c>
      <c r="M221" s="20">
        <v>9.5500000000000002E-2</v>
      </c>
      <c r="N221" s="20">
        <v>6.8099997999999995E-2</v>
      </c>
      <c r="O221" s="20">
        <v>5.6699999000000001E-2</v>
      </c>
      <c r="P221" s="20">
        <v>0.13940000999999999</v>
      </c>
    </row>
    <row r="222" spans="1:16" x14ac:dyDescent="0.5">
      <c r="A222" s="20" t="s">
        <v>27</v>
      </c>
      <c r="B222" s="20">
        <v>2003</v>
      </c>
      <c r="H222" s="20">
        <v>9.4700001000000006E-2</v>
      </c>
      <c r="I222" s="20">
        <v>6.9899999000000004E-2</v>
      </c>
      <c r="J222" s="20">
        <v>6.7199997999999997E-2</v>
      </c>
      <c r="K222" s="20">
        <v>0.17200001000000001</v>
      </c>
      <c r="L222" s="20">
        <v>0.1135</v>
      </c>
      <c r="M222" s="20">
        <v>0.10730000000000001</v>
      </c>
      <c r="N222" s="20">
        <v>6.3199996999999994E-2</v>
      </c>
      <c r="O222" s="20">
        <v>6.2199998999999999E-2</v>
      </c>
      <c r="P222" s="20">
        <v>0.1409</v>
      </c>
    </row>
    <row r="223" spans="1:16" x14ac:dyDescent="0.5">
      <c r="A223" s="20" t="s">
        <v>27</v>
      </c>
      <c r="B223" s="20">
        <v>2004</v>
      </c>
      <c r="H223" s="20">
        <v>0.1048</v>
      </c>
      <c r="I223" s="20">
        <v>7.1999996999999996E-2</v>
      </c>
      <c r="J223" s="20">
        <v>6.9899999000000004E-2</v>
      </c>
      <c r="K223" s="20">
        <v>0.1832</v>
      </c>
      <c r="L223" s="20">
        <v>0.1162</v>
      </c>
      <c r="M223" s="20">
        <v>0.12039999999999999</v>
      </c>
      <c r="N223" s="20">
        <v>6.6799997999999999E-2</v>
      </c>
      <c r="O223" s="20">
        <v>6.0699998999999998E-2</v>
      </c>
      <c r="P223" s="20">
        <v>0.1479</v>
      </c>
    </row>
    <row r="224" spans="1:16" x14ac:dyDescent="0.5">
      <c r="A224" s="20" t="s">
        <v>27</v>
      </c>
      <c r="B224" s="20">
        <v>2005</v>
      </c>
      <c r="H224" s="20">
        <v>0.1409</v>
      </c>
      <c r="I224" s="20">
        <v>8.0499999000000003E-2</v>
      </c>
      <c r="J224" s="20">
        <v>7.6099999000000002E-2</v>
      </c>
      <c r="K224" s="20">
        <v>0.19370000000000001</v>
      </c>
      <c r="L224" s="20">
        <v>0.1147</v>
      </c>
      <c r="M224" s="20">
        <v>0.1477</v>
      </c>
      <c r="N224" s="20">
        <v>7.9899997E-2</v>
      </c>
      <c r="O224" s="20">
        <v>6.3900000999999998E-2</v>
      </c>
      <c r="P224" s="20">
        <v>0.15260001000000001</v>
      </c>
    </row>
    <row r="225" spans="1:16" x14ac:dyDescent="0.5">
      <c r="A225" s="20" t="s">
        <v>27</v>
      </c>
      <c r="B225" s="20">
        <v>2006</v>
      </c>
      <c r="H225" s="20">
        <v>8.4299996000000002E-2</v>
      </c>
      <c r="I225" s="20">
        <v>8.3899997000000004E-2</v>
      </c>
      <c r="J225" s="20">
        <v>8.3199999999999996E-2</v>
      </c>
      <c r="K225" s="20">
        <v>0.20100001000000001</v>
      </c>
      <c r="L225" s="20">
        <v>0.1124</v>
      </c>
      <c r="M225" s="20">
        <v>7.5199999000000003E-2</v>
      </c>
      <c r="N225" s="20">
        <v>8.5699997999999999E-2</v>
      </c>
      <c r="O225" s="20">
        <v>6.7599996999999995E-2</v>
      </c>
      <c r="P225" s="20">
        <v>0.1578</v>
      </c>
    </row>
    <row r="226" spans="1:16" x14ac:dyDescent="0.5">
      <c r="A226" s="20" t="s">
        <v>27</v>
      </c>
      <c r="B226" s="20">
        <v>2007</v>
      </c>
      <c r="H226" s="20">
        <v>8.6599997999999997E-2</v>
      </c>
      <c r="I226" s="20">
        <v>8.0100000000000005E-2</v>
      </c>
      <c r="J226" s="20">
        <v>8.2299999999999998E-2</v>
      </c>
      <c r="K226" s="20">
        <v>0.19869999999999999</v>
      </c>
      <c r="L226" s="20">
        <v>0.1169</v>
      </c>
      <c r="M226" s="20">
        <v>8.2500003000000002E-2</v>
      </c>
      <c r="N226" s="20">
        <v>7.3700003E-2</v>
      </c>
      <c r="O226" s="20">
        <v>6.4499997000000003E-2</v>
      </c>
      <c r="P226" s="20">
        <v>0.15260001000000001</v>
      </c>
    </row>
    <row r="227" spans="1:16" x14ac:dyDescent="0.5">
      <c r="A227" s="20" t="s">
        <v>27</v>
      </c>
      <c r="B227" s="20">
        <v>2008</v>
      </c>
      <c r="H227" s="20">
        <v>8.8399999000000007E-2</v>
      </c>
      <c r="I227" s="20">
        <v>7.6899997999999997E-2</v>
      </c>
      <c r="J227" s="20">
        <v>7.8599997000000005E-2</v>
      </c>
      <c r="K227" s="20">
        <v>0.19520000000000001</v>
      </c>
      <c r="L227" s="20">
        <v>0.1157</v>
      </c>
      <c r="M227" s="20">
        <v>7.6200001000000003E-2</v>
      </c>
      <c r="N227" s="20">
        <v>6.9799997000000003E-2</v>
      </c>
      <c r="O227" s="20">
        <v>6.1199999999999997E-2</v>
      </c>
      <c r="P227" s="20">
        <v>0.1532</v>
      </c>
    </row>
    <row r="228" spans="1:16" x14ac:dyDescent="0.5">
      <c r="A228" s="20" t="s">
        <v>27</v>
      </c>
      <c r="B228" s="20">
        <v>2009</v>
      </c>
      <c r="H228" s="20">
        <v>7.6999999999999999E-2</v>
      </c>
      <c r="I228" s="20">
        <v>7.1599997999999998E-2</v>
      </c>
      <c r="J228" s="20">
        <v>6.9300002999999999E-2</v>
      </c>
      <c r="K228" s="20">
        <v>0.18539998999999999</v>
      </c>
      <c r="L228" s="20">
        <v>0.1018</v>
      </c>
      <c r="M228" s="20">
        <v>7.4500001999999996E-2</v>
      </c>
      <c r="N228" s="20">
        <v>6.7799999999999999E-2</v>
      </c>
      <c r="O228" s="20">
        <v>5.3199998999999998E-2</v>
      </c>
      <c r="P228" s="20">
        <v>0.15090001</v>
      </c>
    </row>
    <row r="229" spans="1:16" x14ac:dyDescent="0.5">
      <c r="A229" s="20" t="s">
        <v>27</v>
      </c>
      <c r="B229" s="20">
        <v>2010</v>
      </c>
      <c r="H229" s="20">
        <v>8.3700000999999996E-2</v>
      </c>
      <c r="I229" s="20">
        <v>8.5500002000000005E-2</v>
      </c>
      <c r="J229" s="20">
        <v>7.7200003000000003E-2</v>
      </c>
      <c r="K229" s="20">
        <v>0.19800000000000001</v>
      </c>
      <c r="L229" s="20">
        <v>0.1084</v>
      </c>
      <c r="M229" s="20">
        <v>7.7699997000000007E-2</v>
      </c>
      <c r="N229" s="20">
        <v>8.9599997000000001E-2</v>
      </c>
      <c r="O229" s="20">
        <v>5.9599999000000001E-2</v>
      </c>
      <c r="P229" s="20">
        <v>0.15939999999999999</v>
      </c>
    </row>
    <row r="230" spans="1:16" x14ac:dyDescent="0.5">
      <c r="A230" s="20" t="s">
        <v>27</v>
      </c>
      <c r="B230" s="20">
        <v>2011</v>
      </c>
      <c r="H230" s="20">
        <v>8.3700000999999996E-2</v>
      </c>
      <c r="I230" s="20">
        <v>9.5399998E-2</v>
      </c>
      <c r="J230" s="20">
        <v>7.3700003E-2</v>
      </c>
      <c r="K230" s="20">
        <v>0.19599999000000001</v>
      </c>
      <c r="L230" s="20">
        <v>0.1145</v>
      </c>
      <c r="M230" s="20">
        <v>8.0200002000000006E-2</v>
      </c>
      <c r="N230" s="20">
        <v>9.2200004000000002E-2</v>
      </c>
      <c r="O230" s="20">
        <v>5.7599998999999999E-2</v>
      </c>
      <c r="P230" s="20">
        <v>0.1583</v>
      </c>
    </row>
    <row r="231" spans="1:16" x14ac:dyDescent="0.5">
      <c r="A231" s="20" t="s">
        <v>27</v>
      </c>
      <c r="B231" s="20">
        <v>2012</v>
      </c>
      <c r="H231" s="20">
        <v>7.8699999000000007E-2</v>
      </c>
      <c r="I231" s="20">
        <v>9.4099998000000004E-2</v>
      </c>
      <c r="J231" s="20">
        <v>7.3399997999999994E-2</v>
      </c>
      <c r="K231" s="20">
        <v>0.20780000000000001</v>
      </c>
      <c r="L231" s="20">
        <v>0.1043</v>
      </c>
      <c r="M231" s="20">
        <v>7.8000001999999999E-2</v>
      </c>
      <c r="N231" s="20">
        <v>9.11E-2</v>
      </c>
      <c r="O231" s="20">
        <v>5.5799998000000003E-2</v>
      </c>
      <c r="P231" s="20">
        <v>0.16670001000000001</v>
      </c>
    </row>
    <row r="232" spans="1:16" x14ac:dyDescent="0.5">
      <c r="A232" s="20" t="s">
        <v>27</v>
      </c>
      <c r="B232" s="20">
        <v>2013</v>
      </c>
      <c r="H232" s="20">
        <v>7.8000001999999999E-2</v>
      </c>
      <c r="I232" s="20">
        <v>0.1047</v>
      </c>
      <c r="J232" s="20">
        <v>7.4000000999999996E-2</v>
      </c>
      <c r="K232" s="20">
        <v>0.19589999</v>
      </c>
      <c r="L232" s="20">
        <v>0.1079</v>
      </c>
      <c r="M232" s="20">
        <v>7.5199999000000003E-2</v>
      </c>
      <c r="N232" s="20">
        <v>9.8899998000000003E-2</v>
      </c>
      <c r="O232" s="20">
        <v>5.5399998999999998E-2</v>
      </c>
      <c r="P232" s="20">
        <v>0.15350000999999999</v>
      </c>
    </row>
    <row r="233" spans="1:16" x14ac:dyDescent="0.5">
      <c r="A233" s="20" t="s">
        <v>27</v>
      </c>
      <c r="B233" s="20">
        <v>2014</v>
      </c>
      <c r="H233" s="20">
        <v>8.5299999000000001E-2</v>
      </c>
      <c r="I233" s="20">
        <v>0.11260000000000001</v>
      </c>
      <c r="J233" s="20">
        <v>8.7899997999999993E-2</v>
      </c>
      <c r="K233" s="20">
        <v>0.20200001000000001</v>
      </c>
      <c r="L233" s="20">
        <v>0.108</v>
      </c>
      <c r="M233" s="20">
        <v>7.4199997000000004E-2</v>
      </c>
      <c r="N233" s="20">
        <v>0.10730000000000001</v>
      </c>
      <c r="O233" s="20">
        <v>6.1199999999999997E-2</v>
      </c>
      <c r="P233" s="20">
        <v>0.15659999999999999</v>
      </c>
    </row>
    <row r="234" spans="1:16" x14ac:dyDescent="0.5">
      <c r="A234" s="20" t="s">
        <v>27</v>
      </c>
      <c r="B234" s="20">
        <v>2015</v>
      </c>
      <c r="H234" s="20">
        <v>7.7600002000000001E-2</v>
      </c>
      <c r="I234" s="20">
        <v>0.1031</v>
      </c>
      <c r="J234" s="20">
        <v>8.5800000000000001E-2</v>
      </c>
      <c r="M234" s="20">
        <v>6.8300000999999999E-2</v>
      </c>
      <c r="N234" s="20">
        <v>9.9900000000000003E-2</v>
      </c>
      <c r="O234" s="20">
        <v>6.0600001000000001E-2</v>
      </c>
    </row>
    <row r="235" spans="1:16" x14ac:dyDescent="0.5">
      <c r="A235" s="20" t="s">
        <v>27</v>
      </c>
      <c r="B235" s="20">
        <v>2016</v>
      </c>
      <c r="H235" s="20">
        <v>8.3700000999999996E-2</v>
      </c>
      <c r="I235" s="20">
        <v>0.1283</v>
      </c>
      <c r="J235" s="20">
        <v>8.2500003000000002E-2</v>
      </c>
      <c r="M235" s="20">
        <v>7.4299999000000005E-2</v>
      </c>
      <c r="N235" s="20">
        <v>0.11650000000000001</v>
      </c>
      <c r="O235" s="20">
        <v>5.6699999000000001E-2</v>
      </c>
    </row>
    <row r="236" spans="1:16" x14ac:dyDescent="0.5">
      <c r="A236" s="20" t="s">
        <v>26</v>
      </c>
      <c r="B236" s="20">
        <v>1900</v>
      </c>
      <c r="L236" s="20">
        <v>0.50029999000000003</v>
      </c>
    </row>
    <row r="237" spans="1:16" x14ac:dyDescent="0.5">
      <c r="A237" s="20" t="s">
        <v>26</v>
      </c>
      <c r="B237" s="20">
        <v>1901</v>
      </c>
    </row>
    <row r="238" spans="1:16" x14ac:dyDescent="0.5">
      <c r="A238" s="20" t="s">
        <v>26</v>
      </c>
      <c r="B238" s="20">
        <v>1902</v>
      </c>
    </row>
    <row r="239" spans="1:16" x14ac:dyDescent="0.5">
      <c r="A239" s="20" t="s">
        <v>26</v>
      </c>
      <c r="B239" s="20">
        <v>1903</v>
      </c>
    </row>
    <row r="240" spans="1:16" x14ac:dyDescent="0.5">
      <c r="A240" s="20" t="s">
        <v>26</v>
      </c>
      <c r="B240" s="20">
        <v>1904</v>
      </c>
    </row>
    <row r="241" spans="1:12" x14ac:dyDescent="0.5">
      <c r="A241" s="20" t="s">
        <v>26</v>
      </c>
      <c r="B241" s="20">
        <v>1905</v>
      </c>
    </row>
    <row r="242" spans="1:12" x14ac:dyDescent="0.5">
      <c r="A242" s="20" t="s">
        <v>26</v>
      </c>
      <c r="B242" s="20">
        <v>1906</v>
      </c>
    </row>
    <row r="243" spans="1:12" x14ac:dyDescent="0.5">
      <c r="A243" s="20" t="s">
        <v>26</v>
      </c>
      <c r="B243" s="20">
        <v>1907</v>
      </c>
    </row>
    <row r="244" spans="1:12" x14ac:dyDescent="0.5">
      <c r="A244" s="20" t="s">
        <v>26</v>
      </c>
      <c r="B244" s="20">
        <v>1908</v>
      </c>
    </row>
    <row r="245" spans="1:12" x14ac:dyDescent="0.5">
      <c r="A245" s="20" t="s">
        <v>26</v>
      </c>
      <c r="B245" s="20">
        <v>1909</v>
      </c>
    </row>
    <row r="246" spans="1:12" x14ac:dyDescent="0.5">
      <c r="A246" s="20" t="s">
        <v>26</v>
      </c>
      <c r="B246" s="20">
        <v>1910</v>
      </c>
      <c r="L246" s="20">
        <v>0.51679998999999999</v>
      </c>
    </row>
    <row r="247" spans="1:12" x14ac:dyDescent="0.5">
      <c r="A247" s="20" t="s">
        <v>26</v>
      </c>
      <c r="B247" s="20">
        <v>1911</v>
      </c>
    </row>
    <row r="248" spans="1:12" x14ac:dyDescent="0.5">
      <c r="A248" s="20" t="s">
        <v>26</v>
      </c>
      <c r="B248" s="20">
        <v>1912</v>
      </c>
    </row>
    <row r="249" spans="1:12" x14ac:dyDescent="0.5">
      <c r="A249" s="20" t="s">
        <v>26</v>
      </c>
      <c r="B249" s="20">
        <v>1913</v>
      </c>
      <c r="K249" s="20">
        <v>0.42309998999999998</v>
      </c>
    </row>
    <row r="250" spans="1:12" x14ac:dyDescent="0.5">
      <c r="A250" s="20" t="s">
        <v>26</v>
      </c>
      <c r="B250" s="20">
        <v>1914</v>
      </c>
      <c r="K250" s="20">
        <v>0.42950000999999999</v>
      </c>
    </row>
    <row r="251" spans="1:12" x14ac:dyDescent="0.5">
      <c r="A251" s="20" t="s">
        <v>26</v>
      </c>
      <c r="B251" s="20">
        <v>1915</v>
      </c>
      <c r="K251" s="20">
        <v>0.4219</v>
      </c>
      <c r="L251" s="20">
        <v>0.48509999999999998</v>
      </c>
    </row>
    <row r="252" spans="1:12" x14ac:dyDescent="0.5">
      <c r="A252" s="20" t="s">
        <v>26</v>
      </c>
      <c r="B252" s="20">
        <v>1916</v>
      </c>
      <c r="K252" s="20">
        <v>0.44389999000000002</v>
      </c>
      <c r="L252" s="20">
        <v>0.50459999</v>
      </c>
    </row>
    <row r="253" spans="1:12" x14ac:dyDescent="0.5">
      <c r="A253" s="20" t="s">
        <v>26</v>
      </c>
      <c r="B253" s="20">
        <v>1917</v>
      </c>
      <c r="K253" s="20">
        <v>0.44900000000000001</v>
      </c>
      <c r="L253" s="20">
        <v>0.50319999000000004</v>
      </c>
    </row>
    <row r="254" spans="1:12" x14ac:dyDescent="0.5">
      <c r="A254" s="20" t="s">
        <v>26</v>
      </c>
      <c r="B254" s="20">
        <v>1918</v>
      </c>
      <c r="K254" s="20">
        <v>0.43640000000000001</v>
      </c>
      <c r="L254" s="20">
        <v>0.47420001000000001</v>
      </c>
    </row>
    <row r="255" spans="1:12" x14ac:dyDescent="0.5">
      <c r="A255" s="20" t="s">
        <v>26</v>
      </c>
      <c r="B255" s="20">
        <v>1919</v>
      </c>
      <c r="K255" s="20">
        <v>0.45429998999999999</v>
      </c>
      <c r="L255" s="20">
        <v>0.48309999999999997</v>
      </c>
    </row>
    <row r="256" spans="1:12" x14ac:dyDescent="0.5">
      <c r="A256" s="20" t="s">
        <v>26</v>
      </c>
      <c r="B256" s="20">
        <v>1920</v>
      </c>
      <c r="K256" s="20">
        <v>0.43439999000000001</v>
      </c>
      <c r="L256" s="20">
        <v>0.47310001000000002</v>
      </c>
    </row>
    <row r="257" spans="1:12" x14ac:dyDescent="0.5">
      <c r="A257" s="20" t="s">
        <v>26</v>
      </c>
      <c r="B257" s="20">
        <v>1921</v>
      </c>
      <c r="K257" s="20">
        <v>0.46529999</v>
      </c>
      <c r="L257" s="20">
        <v>0.46180000999999998</v>
      </c>
    </row>
    <row r="258" spans="1:12" x14ac:dyDescent="0.5">
      <c r="A258" s="20" t="s">
        <v>26</v>
      </c>
      <c r="B258" s="20">
        <v>1922</v>
      </c>
      <c r="K258" s="20">
        <v>0.45539998999999998</v>
      </c>
      <c r="L258" s="20">
        <v>0.47699999999999998</v>
      </c>
    </row>
    <row r="259" spans="1:12" x14ac:dyDescent="0.5">
      <c r="A259" s="20" t="s">
        <v>26</v>
      </c>
      <c r="B259" s="20">
        <v>1923</v>
      </c>
      <c r="K259" s="20">
        <v>0.43099999</v>
      </c>
      <c r="L259" s="20">
        <v>0.49529999000000002</v>
      </c>
    </row>
    <row r="260" spans="1:12" x14ac:dyDescent="0.5">
      <c r="A260" s="20" t="s">
        <v>26</v>
      </c>
      <c r="B260" s="20">
        <v>1924</v>
      </c>
      <c r="K260" s="20">
        <v>0.4526</v>
      </c>
      <c r="L260" s="20">
        <v>0.47789999999999999</v>
      </c>
    </row>
    <row r="261" spans="1:12" x14ac:dyDescent="0.5">
      <c r="A261" s="20" t="s">
        <v>26</v>
      </c>
      <c r="B261" s="20">
        <v>1925</v>
      </c>
      <c r="K261" s="20">
        <v>0.47080000999999999</v>
      </c>
      <c r="L261" s="20">
        <v>0.47089999999999999</v>
      </c>
    </row>
    <row r="262" spans="1:12" x14ac:dyDescent="0.5">
      <c r="A262" s="20" t="s">
        <v>26</v>
      </c>
      <c r="B262" s="20">
        <v>1926</v>
      </c>
      <c r="K262" s="20">
        <v>0.47440000999999998</v>
      </c>
      <c r="L262" s="20">
        <v>0.45480000999999998</v>
      </c>
    </row>
    <row r="263" spans="1:12" x14ac:dyDescent="0.5">
      <c r="A263" s="20" t="s">
        <v>26</v>
      </c>
      <c r="B263" s="20">
        <v>1927</v>
      </c>
      <c r="K263" s="20">
        <v>0.46759999000000002</v>
      </c>
      <c r="L263" s="20">
        <v>0.46790000999999998</v>
      </c>
    </row>
    <row r="264" spans="1:12" x14ac:dyDescent="0.5">
      <c r="A264" s="20" t="s">
        <v>26</v>
      </c>
      <c r="B264" s="20">
        <v>1928</v>
      </c>
      <c r="K264" s="20">
        <v>0.47960001000000002</v>
      </c>
      <c r="L264" s="20">
        <v>0.46689998999999999</v>
      </c>
    </row>
    <row r="265" spans="1:12" x14ac:dyDescent="0.5">
      <c r="A265" s="20" t="s">
        <v>26</v>
      </c>
      <c r="B265" s="20">
        <v>1929</v>
      </c>
      <c r="K265" s="20">
        <v>0.46679999999999999</v>
      </c>
      <c r="L265" s="20">
        <v>0.45269999</v>
      </c>
    </row>
    <row r="266" spans="1:12" x14ac:dyDescent="0.5">
      <c r="A266" s="20" t="s">
        <v>26</v>
      </c>
      <c r="B266" s="20">
        <v>1930</v>
      </c>
      <c r="K266" s="20">
        <v>0.45339998999999997</v>
      </c>
      <c r="L266" s="20">
        <v>0.42989999000000001</v>
      </c>
    </row>
    <row r="267" spans="1:12" x14ac:dyDescent="0.5">
      <c r="A267" s="20" t="s">
        <v>26</v>
      </c>
      <c r="B267" s="20">
        <v>1931</v>
      </c>
      <c r="K267" s="20">
        <v>0.44999999000000002</v>
      </c>
      <c r="L267" s="20">
        <v>0.42640001</v>
      </c>
    </row>
    <row r="268" spans="1:12" x14ac:dyDescent="0.5">
      <c r="A268" s="20" t="s">
        <v>26</v>
      </c>
      <c r="B268" s="20">
        <v>1932</v>
      </c>
      <c r="K268" s="20">
        <v>0.46650001000000002</v>
      </c>
      <c r="L268" s="20">
        <v>0.4481</v>
      </c>
    </row>
    <row r="269" spans="1:12" x14ac:dyDescent="0.5">
      <c r="A269" s="20" t="s">
        <v>26</v>
      </c>
      <c r="B269" s="20">
        <v>1933</v>
      </c>
      <c r="K269" s="20">
        <v>0.46869999000000001</v>
      </c>
      <c r="L269" s="20">
        <v>0.46660000000000001</v>
      </c>
    </row>
    <row r="270" spans="1:12" x14ac:dyDescent="0.5">
      <c r="A270" s="20" t="s">
        <v>26</v>
      </c>
      <c r="B270" s="20">
        <v>1934</v>
      </c>
      <c r="K270" s="20">
        <v>0.48030001</v>
      </c>
      <c r="L270" s="20">
        <v>0.47279999</v>
      </c>
    </row>
    <row r="271" spans="1:12" x14ac:dyDescent="0.5">
      <c r="A271" s="20" t="s">
        <v>26</v>
      </c>
      <c r="B271" s="20">
        <v>1935</v>
      </c>
      <c r="K271" s="20">
        <v>0.47060001000000001</v>
      </c>
      <c r="L271" s="20">
        <v>0.48309999999999997</v>
      </c>
    </row>
    <row r="272" spans="1:12" x14ac:dyDescent="0.5">
      <c r="A272" s="20" t="s">
        <v>26</v>
      </c>
      <c r="B272" s="20">
        <v>1936</v>
      </c>
      <c r="K272" s="20">
        <v>0.47739999999999999</v>
      </c>
      <c r="L272" s="20">
        <v>0.45689999999999997</v>
      </c>
    </row>
    <row r="273" spans="1:12" x14ac:dyDescent="0.5">
      <c r="A273" s="20" t="s">
        <v>26</v>
      </c>
      <c r="B273" s="20">
        <v>1937</v>
      </c>
      <c r="K273" s="20">
        <v>0.46520001</v>
      </c>
      <c r="L273" s="20">
        <v>0.44990000000000002</v>
      </c>
    </row>
    <row r="274" spans="1:12" x14ac:dyDescent="0.5">
      <c r="A274" s="20" t="s">
        <v>26</v>
      </c>
      <c r="B274" s="20">
        <v>1938</v>
      </c>
      <c r="K274" s="20">
        <v>0.46460000000000001</v>
      </c>
      <c r="L274" s="20">
        <v>0.43740001000000001</v>
      </c>
    </row>
    <row r="275" spans="1:12" x14ac:dyDescent="0.5">
      <c r="A275" s="20" t="s">
        <v>26</v>
      </c>
      <c r="B275" s="20">
        <v>1939</v>
      </c>
      <c r="K275" s="20">
        <v>0.47870001000000001</v>
      </c>
      <c r="L275" s="20">
        <v>0.4118</v>
      </c>
    </row>
    <row r="276" spans="1:12" x14ac:dyDescent="0.5">
      <c r="A276" s="20" t="s">
        <v>26</v>
      </c>
      <c r="B276" s="20">
        <v>1940</v>
      </c>
      <c r="K276" s="20">
        <v>0.47729999000000001</v>
      </c>
      <c r="L276" s="20">
        <v>0.42230001</v>
      </c>
    </row>
    <row r="277" spans="1:12" x14ac:dyDescent="0.5">
      <c r="A277" s="20" t="s">
        <v>26</v>
      </c>
      <c r="B277" s="20">
        <v>1941</v>
      </c>
      <c r="K277" s="20">
        <v>0.45789998999999998</v>
      </c>
      <c r="L277" s="20">
        <v>0.41010001000000001</v>
      </c>
    </row>
    <row r="278" spans="1:12" x14ac:dyDescent="0.5">
      <c r="A278" s="20" t="s">
        <v>26</v>
      </c>
      <c r="B278" s="20">
        <v>1942</v>
      </c>
      <c r="K278" s="20">
        <v>0.41069999000000001</v>
      </c>
      <c r="L278" s="20">
        <v>0.38290000000000002</v>
      </c>
    </row>
    <row r="279" spans="1:12" x14ac:dyDescent="0.5">
      <c r="A279" s="20" t="s">
        <v>26</v>
      </c>
      <c r="B279" s="20">
        <v>1943</v>
      </c>
      <c r="K279" s="20">
        <v>0.38060000999999999</v>
      </c>
      <c r="L279" s="20">
        <v>0.34490000999999998</v>
      </c>
    </row>
    <row r="280" spans="1:12" x14ac:dyDescent="0.5">
      <c r="A280" s="20" t="s">
        <v>26</v>
      </c>
      <c r="B280" s="20">
        <v>1944</v>
      </c>
      <c r="K280" s="20">
        <v>0.36199998999999999</v>
      </c>
      <c r="L280" s="20">
        <v>0.32260000999999999</v>
      </c>
    </row>
    <row r="281" spans="1:12" x14ac:dyDescent="0.5">
      <c r="A281" s="20" t="s">
        <v>26</v>
      </c>
      <c r="B281" s="20">
        <v>1945</v>
      </c>
      <c r="K281" s="20">
        <v>0.35820001000000001</v>
      </c>
      <c r="L281" s="20">
        <v>0.31119998999999998</v>
      </c>
    </row>
    <row r="282" spans="1:12" x14ac:dyDescent="0.5">
      <c r="A282" s="20" t="s">
        <v>26</v>
      </c>
      <c r="B282" s="20">
        <v>1946</v>
      </c>
      <c r="K282" s="20">
        <v>0.37209999999999999</v>
      </c>
      <c r="L282" s="20">
        <v>0.34450001000000002</v>
      </c>
    </row>
    <row r="283" spans="1:12" x14ac:dyDescent="0.5">
      <c r="A283" s="20" t="s">
        <v>26</v>
      </c>
      <c r="B283" s="20">
        <v>1947</v>
      </c>
      <c r="K283" s="20">
        <v>0.37079999000000002</v>
      </c>
      <c r="L283" s="20">
        <v>0.35710001000000002</v>
      </c>
    </row>
    <row r="284" spans="1:12" x14ac:dyDescent="0.5">
      <c r="A284" s="20" t="s">
        <v>26</v>
      </c>
      <c r="B284" s="20">
        <v>1948</v>
      </c>
      <c r="K284" s="20">
        <v>0.38909999000000001</v>
      </c>
      <c r="L284" s="20">
        <v>0.33719999</v>
      </c>
    </row>
    <row r="285" spans="1:12" x14ac:dyDescent="0.5">
      <c r="A285" s="20" t="s">
        <v>26</v>
      </c>
      <c r="B285" s="20">
        <v>1949</v>
      </c>
      <c r="K285" s="20">
        <v>0.3836</v>
      </c>
      <c r="L285" s="20">
        <v>0.33950001000000002</v>
      </c>
    </row>
    <row r="286" spans="1:12" x14ac:dyDescent="0.5">
      <c r="A286" s="20" t="s">
        <v>26</v>
      </c>
      <c r="B286" s="20">
        <v>1950</v>
      </c>
      <c r="K286" s="20">
        <v>0.38990000000000002</v>
      </c>
      <c r="L286" s="20">
        <v>0.33770000999999999</v>
      </c>
    </row>
    <row r="287" spans="1:12" x14ac:dyDescent="0.5">
      <c r="A287" s="20" t="s">
        <v>26</v>
      </c>
      <c r="B287" s="20">
        <v>1951</v>
      </c>
      <c r="K287" s="20">
        <v>0.37709999</v>
      </c>
      <c r="L287" s="20">
        <v>0.34599998999999998</v>
      </c>
    </row>
    <row r="288" spans="1:12" x14ac:dyDescent="0.5">
      <c r="A288" s="20" t="s">
        <v>26</v>
      </c>
      <c r="B288" s="20">
        <v>1952</v>
      </c>
      <c r="K288" s="20">
        <v>0.36509999999999998</v>
      </c>
      <c r="L288" s="20">
        <v>0.35339999</v>
      </c>
    </row>
    <row r="289" spans="1:16" x14ac:dyDescent="0.5">
      <c r="A289" s="20" t="s">
        <v>26</v>
      </c>
      <c r="B289" s="20">
        <v>1953</v>
      </c>
      <c r="K289" s="20">
        <v>0.35489999999999999</v>
      </c>
      <c r="L289" s="20">
        <v>0.35060000000000002</v>
      </c>
    </row>
    <row r="290" spans="1:16" x14ac:dyDescent="0.5">
      <c r="A290" s="20" t="s">
        <v>26</v>
      </c>
      <c r="B290" s="20">
        <v>1954</v>
      </c>
      <c r="K290" s="20">
        <v>0.35899999999999999</v>
      </c>
      <c r="L290" s="20">
        <v>0.35730001</v>
      </c>
    </row>
    <row r="291" spans="1:16" x14ac:dyDescent="0.5">
      <c r="A291" s="20" t="s">
        <v>26</v>
      </c>
      <c r="B291" s="20">
        <v>1955</v>
      </c>
      <c r="K291" s="20">
        <v>0.36539999000000001</v>
      </c>
      <c r="L291" s="20">
        <v>0.36399999</v>
      </c>
    </row>
    <row r="292" spans="1:16" x14ac:dyDescent="0.5">
      <c r="A292" s="20" t="s">
        <v>26</v>
      </c>
      <c r="B292" s="20">
        <v>1956</v>
      </c>
      <c r="K292" s="20">
        <v>0.35759999999999997</v>
      </c>
      <c r="L292" s="20">
        <v>0.35929999000000001</v>
      </c>
    </row>
    <row r="293" spans="1:16" x14ac:dyDescent="0.5">
      <c r="A293" s="20" t="s">
        <v>26</v>
      </c>
      <c r="B293" s="20">
        <v>1957</v>
      </c>
      <c r="K293" s="20">
        <v>0.35759999999999997</v>
      </c>
      <c r="L293" s="20">
        <v>0.36410000999999997</v>
      </c>
    </row>
    <row r="294" spans="1:16" x14ac:dyDescent="0.5">
      <c r="A294" s="20" t="s">
        <v>26</v>
      </c>
      <c r="B294" s="20">
        <v>1958</v>
      </c>
      <c r="K294" s="20">
        <v>0.35699998999999999</v>
      </c>
      <c r="L294" s="20">
        <v>0.35519999000000002</v>
      </c>
    </row>
    <row r="295" spans="1:16" x14ac:dyDescent="0.5">
      <c r="A295" s="20" t="s">
        <v>26</v>
      </c>
      <c r="B295" s="20">
        <v>1959</v>
      </c>
      <c r="K295" s="20">
        <v>0.36160001000000003</v>
      </c>
      <c r="L295" s="20">
        <v>0.37569999999999998</v>
      </c>
    </row>
    <row r="296" spans="1:16" x14ac:dyDescent="0.5">
      <c r="A296" s="20" t="s">
        <v>26</v>
      </c>
      <c r="B296" s="20">
        <v>1960</v>
      </c>
      <c r="K296" s="20">
        <v>0.35630000000000001</v>
      </c>
      <c r="L296" s="20">
        <v>0.37709999</v>
      </c>
    </row>
    <row r="297" spans="1:16" x14ac:dyDescent="0.5">
      <c r="A297" s="20" t="s">
        <v>26</v>
      </c>
      <c r="B297" s="20">
        <v>1961</v>
      </c>
      <c r="K297" s="20">
        <v>0.35830000000000001</v>
      </c>
      <c r="L297" s="20">
        <v>0.38119998999999999</v>
      </c>
    </row>
    <row r="298" spans="1:16" x14ac:dyDescent="0.5">
      <c r="A298" s="20" t="s">
        <v>26</v>
      </c>
      <c r="B298" s="20">
        <v>1962</v>
      </c>
      <c r="K298" s="20">
        <v>0.36090000999999999</v>
      </c>
      <c r="L298" s="20">
        <v>0.36919998999999998</v>
      </c>
      <c r="P298" s="20">
        <v>0.32019999999999998</v>
      </c>
    </row>
    <row r="299" spans="1:16" x14ac:dyDescent="0.5">
      <c r="A299" s="20" t="s">
        <v>26</v>
      </c>
      <c r="B299" s="20">
        <v>1963</v>
      </c>
      <c r="K299" s="36">
        <v>0.3649</v>
      </c>
      <c r="L299" s="20">
        <v>0.36950000999999999</v>
      </c>
    </row>
    <row r="300" spans="1:16" x14ac:dyDescent="0.5">
      <c r="A300" s="20" t="s">
        <v>26</v>
      </c>
      <c r="B300" s="20">
        <v>1964</v>
      </c>
      <c r="K300" s="20">
        <v>0.36980000000000002</v>
      </c>
      <c r="L300" s="20">
        <v>0.37560000999999998</v>
      </c>
      <c r="P300" s="20">
        <v>0.32969999</v>
      </c>
    </row>
    <row r="301" spans="1:16" x14ac:dyDescent="0.5">
      <c r="A301" s="20" t="s">
        <v>26</v>
      </c>
      <c r="B301" s="20">
        <v>1965</v>
      </c>
      <c r="K301" s="36">
        <v>0.36634499999999998</v>
      </c>
      <c r="L301" s="20">
        <v>0.37940001000000001</v>
      </c>
    </row>
    <row r="302" spans="1:16" x14ac:dyDescent="0.5">
      <c r="A302" s="20" t="s">
        <v>26</v>
      </c>
      <c r="B302" s="20">
        <v>1966</v>
      </c>
      <c r="K302" s="20">
        <v>0.36289999000000001</v>
      </c>
      <c r="L302" s="20">
        <v>0.36909999999999998</v>
      </c>
      <c r="P302" s="20">
        <v>0.32379999999999998</v>
      </c>
    </row>
    <row r="303" spans="1:16" x14ac:dyDescent="0.5">
      <c r="A303" s="20" t="s">
        <v>26</v>
      </c>
      <c r="B303" s="20">
        <v>1967</v>
      </c>
      <c r="K303" s="20">
        <v>0.35289999999999999</v>
      </c>
      <c r="L303" s="20">
        <v>0.36709999999999998</v>
      </c>
      <c r="P303" s="20">
        <v>0.30860000999999998</v>
      </c>
    </row>
    <row r="304" spans="1:16" x14ac:dyDescent="0.5">
      <c r="A304" s="20" t="s">
        <v>26</v>
      </c>
      <c r="B304" s="20">
        <v>1968</v>
      </c>
      <c r="K304" s="20">
        <v>0.35510001000000002</v>
      </c>
      <c r="L304" s="20">
        <v>0.35310000000000002</v>
      </c>
      <c r="P304" s="20">
        <v>0.30680001000000001</v>
      </c>
    </row>
    <row r="305" spans="1:16" x14ac:dyDescent="0.5">
      <c r="A305" s="20" t="s">
        <v>26</v>
      </c>
      <c r="B305" s="20">
        <v>1969</v>
      </c>
      <c r="K305" s="20">
        <v>0.34130000999999999</v>
      </c>
      <c r="L305" s="20">
        <v>0.34439998999999999</v>
      </c>
      <c r="P305" s="20">
        <v>0.29499998999999999</v>
      </c>
    </row>
    <row r="306" spans="1:16" x14ac:dyDescent="0.5">
      <c r="A306" s="20" t="s">
        <v>26</v>
      </c>
      <c r="B306" s="20">
        <v>1970</v>
      </c>
      <c r="K306" s="20">
        <v>0.33840000999999997</v>
      </c>
      <c r="L306" s="20">
        <v>0.34079999</v>
      </c>
      <c r="P306" s="20">
        <v>0.29319999000000002</v>
      </c>
    </row>
    <row r="307" spans="1:16" x14ac:dyDescent="0.5">
      <c r="A307" s="20" t="s">
        <v>26</v>
      </c>
      <c r="B307" s="20">
        <v>1971</v>
      </c>
      <c r="K307" s="20">
        <v>0.34360000000000002</v>
      </c>
      <c r="L307" s="20">
        <v>0.33739998999999998</v>
      </c>
      <c r="P307" s="20">
        <v>0.29640000999999999</v>
      </c>
    </row>
    <row r="308" spans="1:16" x14ac:dyDescent="0.5">
      <c r="A308" s="20" t="s">
        <v>26</v>
      </c>
      <c r="B308" s="20">
        <v>1972</v>
      </c>
      <c r="K308" s="20">
        <v>0.34650001000000002</v>
      </c>
      <c r="L308" s="20">
        <v>0.33500001000000001</v>
      </c>
      <c r="P308" s="20">
        <v>0.29879999000000002</v>
      </c>
    </row>
    <row r="309" spans="1:16" x14ac:dyDescent="0.5">
      <c r="A309" s="20" t="s">
        <v>26</v>
      </c>
      <c r="B309" s="20">
        <v>1973</v>
      </c>
      <c r="K309" s="20">
        <v>0.34970000000000001</v>
      </c>
      <c r="L309" s="20">
        <v>0.34200001000000002</v>
      </c>
      <c r="P309" s="20">
        <v>0.30500000999999999</v>
      </c>
    </row>
    <row r="310" spans="1:16" x14ac:dyDescent="0.5">
      <c r="A310" s="20" t="s">
        <v>26</v>
      </c>
      <c r="B310" s="20">
        <v>1974</v>
      </c>
      <c r="K310" s="20">
        <v>0.34050000000000002</v>
      </c>
      <c r="L310" s="20">
        <v>0.33779999999999999</v>
      </c>
      <c r="P310" s="20">
        <v>0.29359998999999998</v>
      </c>
    </row>
    <row r="311" spans="1:16" x14ac:dyDescent="0.5">
      <c r="A311" s="20" t="s">
        <v>26</v>
      </c>
      <c r="B311" s="20">
        <v>1975</v>
      </c>
      <c r="K311" s="20">
        <v>0.34410000000000002</v>
      </c>
      <c r="L311" s="20">
        <v>0.33270000999999999</v>
      </c>
      <c r="P311" s="20">
        <v>0.29730001</v>
      </c>
    </row>
    <row r="312" spans="1:16" x14ac:dyDescent="0.5">
      <c r="A312" s="20" t="s">
        <v>26</v>
      </c>
      <c r="B312" s="20">
        <v>1976</v>
      </c>
      <c r="K312" s="20">
        <v>0.34279999</v>
      </c>
      <c r="L312" s="20">
        <v>0.32749999000000002</v>
      </c>
      <c r="P312" s="20">
        <v>0.29429999000000001</v>
      </c>
    </row>
    <row r="313" spans="1:16" x14ac:dyDescent="0.5">
      <c r="A313" s="20" t="s">
        <v>26</v>
      </c>
      <c r="B313" s="20">
        <v>1977</v>
      </c>
      <c r="K313" s="20">
        <v>0.34760001000000001</v>
      </c>
      <c r="L313" s="20">
        <v>0.31230000000000002</v>
      </c>
      <c r="P313" s="20">
        <v>0.29960001000000003</v>
      </c>
    </row>
    <row r="314" spans="1:16" x14ac:dyDescent="0.5">
      <c r="A314" s="20" t="s">
        <v>26</v>
      </c>
      <c r="B314" s="20">
        <v>1978</v>
      </c>
      <c r="K314" s="20">
        <v>0.34650001000000002</v>
      </c>
      <c r="L314" s="20">
        <v>0.30540001</v>
      </c>
      <c r="P314" s="20">
        <v>0.30259999999999998</v>
      </c>
    </row>
    <row r="315" spans="1:16" x14ac:dyDescent="0.5">
      <c r="A315" s="20" t="s">
        <v>26</v>
      </c>
      <c r="B315" s="20">
        <v>1979</v>
      </c>
      <c r="K315" s="20">
        <v>0.34889998999999999</v>
      </c>
      <c r="L315" s="20">
        <v>0.31389999000000002</v>
      </c>
      <c r="P315" s="20">
        <v>0.30370000000000003</v>
      </c>
    </row>
    <row r="316" spans="1:16" x14ac:dyDescent="0.5">
      <c r="A316" s="20" t="s">
        <v>26</v>
      </c>
      <c r="B316" s="20">
        <v>1980</v>
      </c>
      <c r="H316" s="20">
        <v>0.24310000000000001</v>
      </c>
      <c r="I316" s="20">
        <v>0.24250000999999999</v>
      </c>
      <c r="J316" s="20">
        <v>0.22149999000000001</v>
      </c>
      <c r="K316" s="20">
        <v>0.34240000999999998</v>
      </c>
      <c r="L316" s="20">
        <v>0.30630001000000001</v>
      </c>
      <c r="M316" s="20">
        <v>0.2298</v>
      </c>
      <c r="N316" s="20">
        <v>0.22139998999999999</v>
      </c>
      <c r="O316" s="20">
        <v>0.19499999000000001</v>
      </c>
      <c r="P316" s="20">
        <v>0.29589999</v>
      </c>
    </row>
    <row r="317" spans="1:16" x14ac:dyDescent="0.5">
      <c r="A317" s="20" t="s">
        <v>26</v>
      </c>
      <c r="B317" s="20">
        <v>1981</v>
      </c>
      <c r="H317" s="20">
        <v>0.23830000000000001</v>
      </c>
      <c r="I317" s="20">
        <v>0.24259998999999999</v>
      </c>
      <c r="J317" s="20">
        <v>0.21969999000000001</v>
      </c>
      <c r="K317" s="20">
        <v>0.34720001</v>
      </c>
      <c r="L317" s="20">
        <v>0.3019</v>
      </c>
      <c r="M317" s="20">
        <v>0.2271</v>
      </c>
      <c r="N317" s="20">
        <v>0.22470000000000001</v>
      </c>
      <c r="O317" s="20">
        <v>0.19339999999999999</v>
      </c>
      <c r="P317" s="20">
        <v>0.30549999999999999</v>
      </c>
    </row>
    <row r="318" spans="1:16" x14ac:dyDescent="0.5">
      <c r="A318" s="20" t="s">
        <v>26</v>
      </c>
      <c r="B318" s="20">
        <v>1982</v>
      </c>
      <c r="H318" s="20">
        <v>0.2349</v>
      </c>
      <c r="I318" s="20">
        <v>0.24110000000000001</v>
      </c>
      <c r="J318" s="20">
        <v>0.2261</v>
      </c>
      <c r="K318" s="20">
        <v>0.34900001000000003</v>
      </c>
      <c r="L318" s="20">
        <v>0.29280001</v>
      </c>
      <c r="M318" s="20">
        <v>0.22550000000000001</v>
      </c>
      <c r="N318" s="20">
        <v>0.22220001</v>
      </c>
      <c r="O318" s="20">
        <v>0.20150000000000001</v>
      </c>
      <c r="P318" s="20">
        <v>0.30890000000000001</v>
      </c>
    </row>
    <row r="319" spans="1:16" x14ac:dyDescent="0.5">
      <c r="A319" s="20" t="s">
        <v>26</v>
      </c>
      <c r="B319" s="20">
        <v>1983</v>
      </c>
      <c r="H319" s="20">
        <v>0.23029999000000001</v>
      </c>
      <c r="I319" s="20">
        <v>0.25099999000000001</v>
      </c>
      <c r="J319" s="20">
        <v>0.22819999999999999</v>
      </c>
      <c r="K319" s="20">
        <v>0.35420001000000001</v>
      </c>
      <c r="L319" s="20">
        <v>0.29420000000000002</v>
      </c>
      <c r="M319" s="20">
        <v>0.2228</v>
      </c>
      <c r="N319" s="20">
        <v>0.23190000999999999</v>
      </c>
      <c r="O319" s="20">
        <v>0.20399999999999999</v>
      </c>
      <c r="P319" s="20">
        <v>0.31590000000000001</v>
      </c>
    </row>
    <row r="320" spans="1:16" x14ac:dyDescent="0.5">
      <c r="A320" s="20" t="s">
        <v>26</v>
      </c>
      <c r="B320" s="20">
        <v>1984</v>
      </c>
      <c r="H320" s="20">
        <v>0.2326</v>
      </c>
      <c r="I320" s="20">
        <v>0.25650001</v>
      </c>
      <c r="J320" s="20">
        <v>0.23549998999999999</v>
      </c>
      <c r="K320" s="20">
        <v>0.36660000999999998</v>
      </c>
      <c r="L320" s="20">
        <v>0.29719999000000002</v>
      </c>
      <c r="M320" s="20">
        <v>0.22720000000000001</v>
      </c>
      <c r="N320" s="20">
        <v>0.23899999</v>
      </c>
      <c r="O320" s="20">
        <v>0.21290000000000001</v>
      </c>
      <c r="P320" s="20">
        <v>0.33149999000000002</v>
      </c>
    </row>
    <row r="321" spans="1:16" x14ac:dyDescent="0.5">
      <c r="A321" s="20" t="s">
        <v>26</v>
      </c>
      <c r="B321" s="20">
        <v>1985</v>
      </c>
      <c r="H321" s="20">
        <v>0.2334</v>
      </c>
      <c r="I321" s="20">
        <v>0.26159999</v>
      </c>
      <c r="J321" s="20">
        <v>0.23450001000000001</v>
      </c>
      <c r="K321" s="20">
        <v>0.36660000999999998</v>
      </c>
      <c r="L321" s="20">
        <v>0.30280000000000001</v>
      </c>
      <c r="M321" s="20">
        <v>0.23</v>
      </c>
      <c r="N321" s="20">
        <v>0.24660000000000001</v>
      </c>
      <c r="O321" s="20">
        <v>0.21259998999999999</v>
      </c>
      <c r="P321" s="20">
        <v>0.32919999999999999</v>
      </c>
    </row>
    <row r="322" spans="1:16" x14ac:dyDescent="0.5">
      <c r="A322" s="20" t="s">
        <v>26</v>
      </c>
      <c r="B322" s="20">
        <v>1986</v>
      </c>
      <c r="H322" s="20">
        <v>0.21520001</v>
      </c>
      <c r="I322" s="20">
        <v>0.25109999999999999</v>
      </c>
      <c r="J322" s="20">
        <v>0.23250000000000001</v>
      </c>
      <c r="K322" s="20">
        <v>0.36469998999999997</v>
      </c>
      <c r="L322" s="20">
        <v>0.31209998999999999</v>
      </c>
      <c r="M322" s="20">
        <v>0.21439999000000001</v>
      </c>
      <c r="N322" s="20">
        <v>0.23569999999999999</v>
      </c>
      <c r="O322" s="20">
        <v>0.2112</v>
      </c>
      <c r="P322" s="20">
        <v>0.32229998999999998</v>
      </c>
    </row>
    <row r="323" spans="1:16" x14ac:dyDescent="0.5">
      <c r="A323" s="20" t="s">
        <v>26</v>
      </c>
      <c r="B323" s="20">
        <v>1987</v>
      </c>
      <c r="H323" s="20">
        <v>0.2137</v>
      </c>
      <c r="I323" s="20">
        <v>0.25330001000000002</v>
      </c>
      <c r="J323" s="20">
        <v>0.2331</v>
      </c>
      <c r="K323" s="20">
        <v>0.37609999999999999</v>
      </c>
      <c r="L323" s="20">
        <v>0.32089999000000002</v>
      </c>
      <c r="M323" s="20">
        <v>0.20909999000000001</v>
      </c>
      <c r="N323" s="20">
        <v>0.25019999999999998</v>
      </c>
      <c r="O323" s="20">
        <v>0.21160001000000001</v>
      </c>
      <c r="P323" s="20">
        <v>0.32960001</v>
      </c>
    </row>
    <row r="324" spans="1:16" x14ac:dyDescent="0.5">
      <c r="A324" s="20" t="s">
        <v>26</v>
      </c>
      <c r="B324" s="20">
        <v>1988</v>
      </c>
      <c r="H324" s="20">
        <v>0.20730001000000001</v>
      </c>
      <c r="I324" s="20">
        <v>0.25019999999999998</v>
      </c>
      <c r="J324" s="20">
        <v>0.23619999999999999</v>
      </c>
      <c r="K324" s="20">
        <v>0.38949999000000002</v>
      </c>
      <c r="L324" s="20">
        <v>0.3256</v>
      </c>
      <c r="M324" s="20">
        <v>0.2006</v>
      </c>
      <c r="N324" s="20">
        <v>0.24529999</v>
      </c>
      <c r="O324" s="20">
        <v>0.21460000000000001</v>
      </c>
      <c r="P324" s="20">
        <v>0.34380000999999999</v>
      </c>
    </row>
    <row r="325" spans="1:16" x14ac:dyDescent="0.5">
      <c r="A325" s="20" t="s">
        <v>26</v>
      </c>
      <c r="B325" s="20">
        <v>1989</v>
      </c>
      <c r="H325" s="20">
        <v>0.20699999999999999</v>
      </c>
      <c r="I325" s="20">
        <v>0.25310000999999999</v>
      </c>
      <c r="J325" s="20">
        <v>0.23180000000000001</v>
      </c>
      <c r="K325" s="20">
        <v>0.38669999999999999</v>
      </c>
      <c r="L325" s="20">
        <v>0.3276</v>
      </c>
      <c r="M325" s="20">
        <v>0.19919999999999999</v>
      </c>
      <c r="N325" s="20">
        <v>0.2457</v>
      </c>
      <c r="O325" s="20">
        <v>0.2094</v>
      </c>
      <c r="P325" s="20">
        <v>0.33970001</v>
      </c>
    </row>
    <row r="326" spans="1:16" x14ac:dyDescent="0.5">
      <c r="A326" s="20" t="s">
        <v>26</v>
      </c>
      <c r="B326" s="20">
        <v>1990</v>
      </c>
      <c r="H326" s="20">
        <v>0.20999999</v>
      </c>
      <c r="I326" s="20">
        <v>0.2545</v>
      </c>
      <c r="J326" s="20">
        <v>0.2238</v>
      </c>
      <c r="K326" s="20">
        <v>0.38710000999999999</v>
      </c>
      <c r="L326" s="20">
        <v>0.32190001000000001</v>
      </c>
      <c r="M326" s="20">
        <v>0.20050000000000001</v>
      </c>
      <c r="N326" s="20">
        <v>0.24490000000000001</v>
      </c>
      <c r="O326" s="20">
        <v>0.20080000000000001</v>
      </c>
      <c r="P326" s="20">
        <v>0.33919999000000001</v>
      </c>
    </row>
    <row r="327" spans="1:16" x14ac:dyDescent="0.5">
      <c r="A327" s="20" t="s">
        <v>26</v>
      </c>
      <c r="B327" s="20">
        <v>1991</v>
      </c>
      <c r="H327" s="20">
        <v>0.21080001000000001</v>
      </c>
      <c r="I327" s="20">
        <v>0.25340000000000001</v>
      </c>
      <c r="J327" s="20">
        <v>0.23289999</v>
      </c>
      <c r="K327" s="20">
        <v>0.3856</v>
      </c>
      <c r="L327" s="20">
        <v>0.32080001000000002</v>
      </c>
      <c r="M327" s="20">
        <v>0.19949998999999999</v>
      </c>
      <c r="N327" s="20">
        <v>0.2414</v>
      </c>
      <c r="O327" s="20">
        <v>0.20469999</v>
      </c>
      <c r="P327" s="20">
        <v>0.33680000999999998</v>
      </c>
    </row>
    <row r="328" spans="1:16" x14ac:dyDescent="0.5">
      <c r="A328" s="20" t="s">
        <v>26</v>
      </c>
      <c r="B328" s="20">
        <v>1992</v>
      </c>
      <c r="H328" s="20">
        <v>0.21859999999999999</v>
      </c>
      <c r="I328" s="20">
        <v>0.25409999</v>
      </c>
      <c r="J328" s="20">
        <v>0.2326</v>
      </c>
      <c r="K328" s="20">
        <v>0.39779999999999999</v>
      </c>
      <c r="L328" s="20">
        <v>0.31380001000000002</v>
      </c>
      <c r="M328" s="20">
        <v>0.20610000000000001</v>
      </c>
      <c r="N328" s="20">
        <v>0.23930000000000001</v>
      </c>
      <c r="O328" s="20">
        <v>0.20530000000000001</v>
      </c>
      <c r="P328" s="20">
        <v>0.34549998999999998</v>
      </c>
    </row>
    <row r="329" spans="1:16" x14ac:dyDescent="0.5">
      <c r="A329" s="20" t="s">
        <v>26</v>
      </c>
      <c r="B329" s="20">
        <v>1993</v>
      </c>
      <c r="H329" s="20">
        <v>0.23469999</v>
      </c>
      <c r="I329" s="20">
        <v>0.25400001</v>
      </c>
      <c r="J329" s="20">
        <v>0.2402</v>
      </c>
      <c r="K329" s="20">
        <v>0.39559999000000001</v>
      </c>
      <c r="L329" s="20">
        <v>0.31740001000000001</v>
      </c>
      <c r="M329" s="20">
        <v>0.22270000000000001</v>
      </c>
      <c r="N329" s="20">
        <v>0.23540000999999999</v>
      </c>
      <c r="O329" s="20">
        <v>0.21089999000000001</v>
      </c>
      <c r="P329" s="20">
        <v>0.34050000000000002</v>
      </c>
    </row>
    <row r="330" spans="1:16" x14ac:dyDescent="0.5">
      <c r="A330" s="20" t="s">
        <v>26</v>
      </c>
      <c r="B330" s="20">
        <v>1994</v>
      </c>
      <c r="H330" s="20">
        <v>0.24529999</v>
      </c>
      <c r="I330" s="20">
        <v>0.26010000999999999</v>
      </c>
      <c r="J330" s="20">
        <v>0.25979998999999998</v>
      </c>
      <c r="K330" s="20">
        <v>0.39860001</v>
      </c>
      <c r="L330" s="20">
        <v>0.3175</v>
      </c>
      <c r="M330" s="20">
        <v>0.23430000000000001</v>
      </c>
      <c r="N330" s="20">
        <v>0.2392</v>
      </c>
      <c r="O330" s="20">
        <v>0.2281</v>
      </c>
      <c r="P330" s="20">
        <v>0.34119999000000001</v>
      </c>
    </row>
    <row r="331" spans="1:16" x14ac:dyDescent="0.5">
      <c r="A331" s="20" t="s">
        <v>26</v>
      </c>
      <c r="B331" s="20">
        <v>1995</v>
      </c>
      <c r="H331" s="20">
        <v>0.24490000000000001</v>
      </c>
      <c r="I331" s="20">
        <v>0.26219999999999999</v>
      </c>
      <c r="J331" s="20">
        <v>0.26449999000000002</v>
      </c>
      <c r="K331" s="20">
        <v>0.40660000000000002</v>
      </c>
      <c r="L331" s="20">
        <v>0.31709999</v>
      </c>
      <c r="M331" s="20">
        <v>0.23469999</v>
      </c>
      <c r="N331" s="20">
        <v>0.2384</v>
      </c>
      <c r="O331" s="20">
        <v>0.23360001</v>
      </c>
      <c r="P331" s="20">
        <v>0.34699999999999998</v>
      </c>
    </row>
    <row r="332" spans="1:16" x14ac:dyDescent="0.5">
      <c r="A332" s="20" t="s">
        <v>26</v>
      </c>
      <c r="B332" s="20">
        <v>1996</v>
      </c>
      <c r="H332" s="20">
        <v>0.25760000999999999</v>
      </c>
      <c r="I332" s="20">
        <v>0.26460001</v>
      </c>
      <c r="J332" s="20">
        <v>0.26079999999999998</v>
      </c>
      <c r="K332" s="20">
        <v>0.41549998999999999</v>
      </c>
      <c r="L332" s="20">
        <v>0.32229998999999998</v>
      </c>
      <c r="M332" s="20">
        <v>0.24680000999999999</v>
      </c>
      <c r="N332" s="20">
        <v>0.24049999999999999</v>
      </c>
      <c r="O332" s="20">
        <v>0.23039999999999999</v>
      </c>
      <c r="P332" s="20">
        <v>0.35310000000000002</v>
      </c>
    </row>
    <row r="333" spans="1:16" x14ac:dyDescent="0.5">
      <c r="A333" s="20" t="s">
        <v>26</v>
      </c>
      <c r="B333" s="20">
        <v>1997</v>
      </c>
      <c r="H333" s="20">
        <v>0.26890001000000002</v>
      </c>
      <c r="I333" s="20">
        <v>0.27279999999999999</v>
      </c>
      <c r="J333" s="20">
        <v>0.26539998999999997</v>
      </c>
      <c r="K333" s="20">
        <v>0.42269999000000003</v>
      </c>
      <c r="L333" s="20">
        <v>0.32490000000000002</v>
      </c>
      <c r="M333" s="20">
        <v>0.25879999999999997</v>
      </c>
      <c r="N333" s="20">
        <v>0.24840000000000001</v>
      </c>
      <c r="O333" s="20">
        <v>0.23780000000000001</v>
      </c>
      <c r="P333" s="20">
        <v>0.35870001000000001</v>
      </c>
    </row>
    <row r="334" spans="1:16" x14ac:dyDescent="0.5">
      <c r="A334" s="20" t="s">
        <v>26</v>
      </c>
      <c r="B334" s="20">
        <v>1998</v>
      </c>
      <c r="H334" s="20">
        <v>0.25299999000000001</v>
      </c>
      <c r="I334" s="20">
        <v>0.26919999999999999</v>
      </c>
      <c r="J334" s="20">
        <v>0.26190001000000002</v>
      </c>
      <c r="K334" s="20">
        <v>0.42629999000000002</v>
      </c>
      <c r="L334" s="20">
        <v>0.32769999</v>
      </c>
      <c r="M334" s="20">
        <v>0.24179999999999999</v>
      </c>
      <c r="N334" s="20">
        <v>0.2437</v>
      </c>
      <c r="O334" s="20">
        <v>0.2366</v>
      </c>
      <c r="P334" s="20">
        <v>0.36030000000000001</v>
      </c>
    </row>
    <row r="335" spans="1:16" x14ac:dyDescent="0.5">
      <c r="A335" s="20" t="s">
        <v>26</v>
      </c>
      <c r="B335" s="20">
        <v>1999</v>
      </c>
      <c r="H335" s="20">
        <v>0.25999999000000001</v>
      </c>
      <c r="I335" s="20">
        <v>0.27800000000000002</v>
      </c>
      <c r="J335" s="20">
        <v>0.26350001000000001</v>
      </c>
      <c r="K335" s="20">
        <v>0.43349999</v>
      </c>
      <c r="L335" s="20">
        <v>0.32740000000000002</v>
      </c>
      <c r="M335" s="20">
        <v>0.2482</v>
      </c>
      <c r="N335" s="20">
        <v>0.25180000000000002</v>
      </c>
      <c r="O335" s="20">
        <v>0.24060000000000001</v>
      </c>
      <c r="P335" s="20">
        <v>0.36530000000000001</v>
      </c>
    </row>
    <row r="336" spans="1:16" x14ac:dyDescent="0.5">
      <c r="A336" s="20" t="s">
        <v>26</v>
      </c>
      <c r="B336" s="20">
        <v>2000</v>
      </c>
      <c r="H336" s="20">
        <v>0.28110000000000002</v>
      </c>
      <c r="I336" s="20">
        <v>0.2782</v>
      </c>
      <c r="J336" s="20">
        <v>0.26050001</v>
      </c>
      <c r="K336" s="20">
        <v>0.43880001000000002</v>
      </c>
      <c r="L336" s="20">
        <v>0.33090001000000002</v>
      </c>
      <c r="M336" s="20">
        <v>0.27180000999999998</v>
      </c>
      <c r="N336" s="20">
        <v>0.25159999999999999</v>
      </c>
      <c r="O336" s="20">
        <v>0.2419</v>
      </c>
      <c r="P336" s="20">
        <v>0.36959999999999998</v>
      </c>
    </row>
    <row r="337" spans="1:16" x14ac:dyDescent="0.5">
      <c r="A337" s="20" t="s">
        <v>26</v>
      </c>
      <c r="B337" s="20">
        <v>2001</v>
      </c>
      <c r="H337" s="20">
        <v>0.25659999</v>
      </c>
      <c r="I337" s="20">
        <v>0.26539998999999997</v>
      </c>
      <c r="J337" s="20">
        <v>0.25529998999999998</v>
      </c>
      <c r="K337" s="20">
        <v>0.42799999999999999</v>
      </c>
      <c r="L337" s="20">
        <v>0.33419999</v>
      </c>
      <c r="M337" s="20">
        <v>0.24410000000000001</v>
      </c>
      <c r="N337" s="20">
        <v>0.23810001</v>
      </c>
      <c r="O337" s="20">
        <v>0.23530000000000001</v>
      </c>
      <c r="P337" s="20">
        <v>0.36539999000000001</v>
      </c>
    </row>
    <row r="338" spans="1:16" x14ac:dyDescent="0.5">
      <c r="A338" s="20" t="s">
        <v>26</v>
      </c>
      <c r="B338" s="20">
        <v>2002</v>
      </c>
      <c r="H338" s="20">
        <v>0.26660001</v>
      </c>
      <c r="I338" s="20">
        <v>0.2626</v>
      </c>
      <c r="J338" s="20">
        <v>0.25629999999999997</v>
      </c>
      <c r="K338" s="20">
        <v>0.42730001000000001</v>
      </c>
      <c r="L338" s="20">
        <v>0.32850000000000001</v>
      </c>
      <c r="M338" s="20">
        <v>0.25879999999999997</v>
      </c>
      <c r="N338" s="20">
        <v>0.23549998999999999</v>
      </c>
      <c r="O338" s="20">
        <v>0.23649998999999999</v>
      </c>
      <c r="P338" s="20">
        <v>0.36799999999999999</v>
      </c>
    </row>
    <row r="339" spans="1:16" x14ac:dyDescent="0.5">
      <c r="A339" s="20" t="s">
        <v>26</v>
      </c>
      <c r="B339" s="20">
        <v>2003</v>
      </c>
      <c r="H339" s="20">
        <v>0.27300000000000002</v>
      </c>
      <c r="I339" s="20">
        <v>0.25609999999999999</v>
      </c>
      <c r="J339" s="20">
        <v>0.26269998999999999</v>
      </c>
      <c r="K339" s="20">
        <v>0.42870000000000003</v>
      </c>
      <c r="L339" s="20">
        <v>0.33250001000000001</v>
      </c>
      <c r="M339" s="20">
        <v>0.27029999999999998</v>
      </c>
      <c r="N339" s="20">
        <v>0.2288</v>
      </c>
      <c r="O339" s="20">
        <v>0.2437</v>
      </c>
      <c r="P339" s="20">
        <v>0.36980000000000002</v>
      </c>
    </row>
    <row r="340" spans="1:16" x14ac:dyDescent="0.5">
      <c r="A340" s="20" t="s">
        <v>26</v>
      </c>
      <c r="B340" s="20">
        <v>2004</v>
      </c>
      <c r="H340" s="20">
        <v>0.28870001000000001</v>
      </c>
      <c r="I340" s="20">
        <v>0.2581</v>
      </c>
      <c r="J340" s="20">
        <v>0.26440001000000002</v>
      </c>
      <c r="K340" s="20">
        <v>0.43900001</v>
      </c>
      <c r="L340" s="20">
        <v>0.33529999999999999</v>
      </c>
      <c r="M340" s="20">
        <v>0.28459999000000002</v>
      </c>
      <c r="N340" s="20">
        <v>0.2331</v>
      </c>
      <c r="O340" s="20">
        <v>0.23639999</v>
      </c>
      <c r="P340" s="20">
        <v>0.37580001000000002</v>
      </c>
    </row>
    <row r="341" spans="1:16" x14ac:dyDescent="0.5">
      <c r="A341" s="20" t="s">
        <v>26</v>
      </c>
      <c r="B341" s="20">
        <v>2005</v>
      </c>
      <c r="H341" s="20">
        <v>0.32710001</v>
      </c>
      <c r="I341" s="20">
        <v>0.26890001000000002</v>
      </c>
      <c r="J341" s="20">
        <v>0.26890001000000002</v>
      </c>
      <c r="K341" s="20">
        <v>0.4506</v>
      </c>
      <c r="L341" s="20">
        <v>0.33379998999999999</v>
      </c>
      <c r="M341" s="20">
        <v>0.31200000999999999</v>
      </c>
      <c r="N341" s="20">
        <v>0.24860001000000001</v>
      </c>
      <c r="O341" s="20">
        <v>0.23800001000000001</v>
      </c>
      <c r="P341" s="20">
        <v>0.38060000999999999</v>
      </c>
    </row>
    <row r="342" spans="1:16" x14ac:dyDescent="0.5">
      <c r="A342" s="20" t="s">
        <v>26</v>
      </c>
      <c r="B342" s="20">
        <v>2006</v>
      </c>
      <c r="H342" s="20">
        <v>0.27180000999999998</v>
      </c>
      <c r="I342" s="20">
        <v>0.27350000000000002</v>
      </c>
      <c r="J342" s="20">
        <v>0.2782</v>
      </c>
      <c r="K342" s="20">
        <v>0.46029999999999999</v>
      </c>
      <c r="L342" s="20">
        <v>0.33180000999999998</v>
      </c>
      <c r="M342" s="20">
        <v>0.2447</v>
      </c>
      <c r="N342" s="20">
        <v>0.25609999999999999</v>
      </c>
      <c r="O342" s="20">
        <v>0.2394</v>
      </c>
      <c r="P342" s="20">
        <v>0.3876</v>
      </c>
    </row>
    <row r="343" spans="1:16" x14ac:dyDescent="0.5">
      <c r="A343" s="20" t="s">
        <v>26</v>
      </c>
      <c r="B343" s="20">
        <v>2007</v>
      </c>
      <c r="H343" s="20">
        <v>0.27529999999999999</v>
      </c>
      <c r="I343" s="20">
        <v>0.26750001000000001</v>
      </c>
      <c r="J343" s="20">
        <v>0.27489998999999998</v>
      </c>
      <c r="K343" s="20">
        <v>0.45800000000000002</v>
      </c>
      <c r="L343" s="20">
        <v>0.3387</v>
      </c>
      <c r="M343" s="20">
        <v>0.25359999999999999</v>
      </c>
      <c r="N343" s="20">
        <v>0.2437</v>
      </c>
      <c r="O343" s="20">
        <v>0.23569999999999999</v>
      </c>
      <c r="P343" s="20">
        <v>0.38219999999999998</v>
      </c>
    </row>
    <row r="344" spans="1:16" x14ac:dyDescent="0.5">
      <c r="A344" s="20" t="s">
        <v>26</v>
      </c>
      <c r="B344" s="20">
        <v>2008</v>
      </c>
      <c r="H344" s="20">
        <v>0.27540000999999997</v>
      </c>
      <c r="I344" s="20">
        <v>0.26449999000000002</v>
      </c>
      <c r="J344" s="20">
        <v>0.26789998999999998</v>
      </c>
      <c r="K344" s="20">
        <v>0.4531</v>
      </c>
      <c r="L344" s="20">
        <v>0.33729999999999999</v>
      </c>
      <c r="M344" s="20">
        <v>0.24640000000000001</v>
      </c>
      <c r="N344" s="20">
        <v>0.23899999</v>
      </c>
      <c r="O344" s="20">
        <v>0.23109999000000001</v>
      </c>
      <c r="P344" s="20">
        <v>0.37790000000000001</v>
      </c>
    </row>
    <row r="345" spans="1:16" x14ac:dyDescent="0.5">
      <c r="A345" s="20" t="s">
        <v>26</v>
      </c>
      <c r="B345" s="20">
        <v>2009</v>
      </c>
      <c r="H345" s="20">
        <v>0.26440001000000002</v>
      </c>
      <c r="I345" s="20">
        <v>0.25850001</v>
      </c>
      <c r="J345" s="20">
        <v>0.25940001000000001</v>
      </c>
      <c r="K345" s="20">
        <v>0.44340000000000002</v>
      </c>
      <c r="L345" s="20">
        <v>0.32170000999999998</v>
      </c>
      <c r="M345" s="20">
        <v>0.24250000999999999</v>
      </c>
      <c r="N345" s="20">
        <v>0.23680000000000001</v>
      </c>
      <c r="O345" s="20">
        <v>0.22270000000000001</v>
      </c>
      <c r="P345" s="20">
        <v>0.37650001</v>
      </c>
    </row>
    <row r="346" spans="1:16" x14ac:dyDescent="0.5">
      <c r="A346" s="20" t="s">
        <v>26</v>
      </c>
      <c r="B346" s="20">
        <v>2010</v>
      </c>
      <c r="H346" s="20">
        <v>0.27200001000000001</v>
      </c>
      <c r="I346" s="20">
        <v>0.27990000999999998</v>
      </c>
      <c r="J346" s="20">
        <v>0.27050000000000002</v>
      </c>
      <c r="K346" s="20">
        <v>0.45750001000000001</v>
      </c>
      <c r="L346" s="20">
        <v>0.32600001000000001</v>
      </c>
      <c r="M346" s="20">
        <v>0.248</v>
      </c>
      <c r="N346" s="20">
        <v>0.26539998999999997</v>
      </c>
      <c r="O346" s="20">
        <v>0.23370001000000001</v>
      </c>
      <c r="P346" s="20">
        <v>0.38490000000000002</v>
      </c>
    </row>
    <row r="347" spans="1:16" x14ac:dyDescent="0.5">
      <c r="A347" s="20" t="s">
        <v>26</v>
      </c>
      <c r="B347" s="20">
        <v>2011</v>
      </c>
      <c r="H347" s="20">
        <v>0.27439999999999998</v>
      </c>
      <c r="I347" s="20">
        <v>0.29229999000000001</v>
      </c>
      <c r="J347" s="20">
        <v>0.26609999000000001</v>
      </c>
      <c r="K347" s="20">
        <v>0.45919999</v>
      </c>
      <c r="L347" s="20">
        <v>0.33239998999999998</v>
      </c>
      <c r="M347" s="20">
        <v>0.25220000999999997</v>
      </c>
      <c r="N347" s="20">
        <v>0.27169999</v>
      </c>
      <c r="O347" s="20">
        <v>0.23</v>
      </c>
      <c r="P347" s="20">
        <v>0.38699999000000002</v>
      </c>
    </row>
    <row r="348" spans="1:16" x14ac:dyDescent="0.5">
      <c r="A348" s="20" t="s">
        <v>26</v>
      </c>
      <c r="B348" s="20">
        <v>2012</v>
      </c>
      <c r="H348" s="20">
        <v>0.26890001000000002</v>
      </c>
      <c r="I348" s="20">
        <v>0.29249998999999999</v>
      </c>
      <c r="J348" s="20">
        <v>0.26449999000000002</v>
      </c>
      <c r="K348" s="20">
        <v>0.47139998999999999</v>
      </c>
      <c r="L348" s="20">
        <v>0.32219999999999999</v>
      </c>
      <c r="M348" s="20">
        <v>0.25099999000000001</v>
      </c>
      <c r="N348" s="20">
        <v>0.27229999999999999</v>
      </c>
      <c r="O348" s="20">
        <v>0.22689999999999999</v>
      </c>
      <c r="P348" s="20">
        <v>0.39820000999999999</v>
      </c>
    </row>
    <row r="349" spans="1:16" x14ac:dyDescent="0.5">
      <c r="A349" s="20" t="s">
        <v>26</v>
      </c>
      <c r="B349" s="20">
        <v>2013</v>
      </c>
      <c r="H349" s="20">
        <v>0.26699999000000002</v>
      </c>
      <c r="I349" s="20">
        <v>0.30109998999999998</v>
      </c>
      <c r="J349" s="20">
        <v>0.2651</v>
      </c>
      <c r="K349" s="20">
        <v>0.4632</v>
      </c>
      <c r="L349" s="20">
        <v>0.32629999999999998</v>
      </c>
      <c r="M349" s="20">
        <v>0.24690001</v>
      </c>
      <c r="N349" s="20">
        <v>0.27900001000000002</v>
      </c>
      <c r="O349" s="20">
        <v>0.22669998999999999</v>
      </c>
      <c r="P349" s="20">
        <v>0.3876</v>
      </c>
    </row>
    <row r="350" spans="1:16" x14ac:dyDescent="0.5">
      <c r="A350" s="20" t="s">
        <v>26</v>
      </c>
      <c r="B350" s="20">
        <v>2014</v>
      </c>
      <c r="H350" s="20">
        <v>0.27340001000000003</v>
      </c>
      <c r="I350" s="20">
        <v>0.31470000999999997</v>
      </c>
      <c r="J350" s="20">
        <v>0.28070000000000001</v>
      </c>
      <c r="K350" s="20">
        <v>0.47020000000000001</v>
      </c>
      <c r="L350" s="20">
        <v>0.32629999999999998</v>
      </c>
      <c r="M350" s="20">
        <v>0.24330001000000001</v>
      </c>
      <c r="N350" s="20">
        <v>0.29350000999999998</v>
      </c>
      <c r="O350" s="20">
        <v>0.23549998999999999</v>
      </c>
      <c r="P350" s="20">
        <v>0.39120000999999999</v>
      </c>
    </row>
    <row r="351" spans="1:16" x14ac:dyDescent="0.5">
      <c r="A351" s="20" t="s">
        <v>26</v>
      </c>
      <c r="B351" s="20">
        <v>2015</v>
      </c>
      <c r="H351" s="20">
        <v>0.26539998999999997</v>
      </c>
      <c r="I351" s="20">
        <v>0.30329999000000002</v>
      </c>
      <c r="J351" s="20">
        <v>0.28130000999999999</v>
      </c>
      <c r="M351" s="20">
        <v>0.23619999999999999</v>
      </c>
      <c r="N351" s="20">
        <v>0.28520000000000001</v>
      </c>
      <c r="O351" s="20">
        <v>0.2366</v>
      </c>
    </row>
    <row r="352" spans="1:16" x14ac:dyDescent="0.5">
      <c r="A352" s="20" t="s">
        <v>26</v>
      </c>
      <c r="B352" s="20">
        <v>2016</v>
      </c>
      <c r="H352" s="20">
        <v>0.27520000999999999</v>
      </c>
      <c r="I352" s="20">
        <v>0.31879999999999997</v>
      </c>
      <c r="J352" s="20">
        <v>0.27669999000000001</v>
      </c>
      <c r="M352" s="20">
        <v>0.24439999000000001</v>
      </c>
      <c r="N352" s="20">
        <v>0.29339999</v>
      </c>
      <c r="O352" s="20">
        <v>0.23139999999999999</v>
      </c>
    </row>
    <row r="353" spans="1:21" x14ac:dyDescent="0.5">
      <c r="A353" t="s">
        <v>96</v>
      </c>
      <c r="B353">
        <v>1810</v>
      </c>
      <c r="T353">
        <v>20332.199000000001</v>
      </c>
    </row>
    <row r="354" spans="1:21" x14ac:dyDescent="0.5">
      <c r="A354" t="s">
        <v>96</v>
      </c>
      <c r="B354">
        <v>1811</v>
      </c>
      <c r="T354">
        <v>19367.599999999999</v>
      </c>
    </row>
    <row r="355" spans="1:21" x14ac:dyDescent="0.5">
      <c r="A355" t="s">
        <v>96</v>
      </c>
      <c r="B355">
        <v>1812</v>
      </c>
      <c r="T355">
        <v>18862.300999999999</v>
      </c>
    </row>
    <row r="356" spans="1:21" x14ac:dyDescent="0.5">
      <c r="A356" t="s">
        <v>96</v>
      </c>
      <c r="B356">
        <v>1813</v>
      </c>
      <c r="T356">
        <v>20518.800999999999</v>
      </c>
    </row>
    <row r="357" spans="1:21" x14ac:dyDescent="0.5">
      <c r="A357" t="s">
        <v>96</v>
      </c>
      <c r="B357">
        <v>1814</v>
      </c>
      <c r="T357">
        <v>20798.400000000001</v>
      </c>
    </row>
    <row r="358" spans="1:21" x14ac:dyDescent="0.5">
      <c r="A358" t="s">
        <v>96</v>
      </c>
      <c r="B358">
        <v>1815</v>
      </c>
      <c r="T358">
        <v>21226.1</v>
      </c>
    </row>
    <row r="359" spans="1:21" x14ac:dyDescent="0.5">
      <c r="A359" t="s">
        <v>96</v>
      </c>
      <c r="B359">
        <v>1816</v>
      </c>
      <c r="T359">
        <v>20929.800999999999</v>
      </c>
    </row>
    <row r="360" spans="1:21" x14ac:dyDescent="0.5">
      <c r="A360" t="s">
        <v>96</v>
      </c>
      <c r="B360">
        <v>1817</v>
      </c>
      <c r="T360">
        <v>20494.699000000001</v>
      </c>
    </row>
    <row r="361" spans="1:21" x14ac:dyDescent="0.5">
      <c r="A361" t="s">
        <v>96</v>
      </c>
      <c r="B361">
        <v>1818</v>
      </c>
      <c r="T361">
        <v>20031.900000000001</v>
      </c>
    </row>
    <row r="362" spans="1:21" x14ac:dyDescent="0.5">
      <c r="A362" t="s">
        <v>96</v>
      </c>
      <c r="B362">
        <v>1819</v>
      </c>
      <c r="T362">
        <v>20550.300999999999</v>
      </c>
    </row>
    <row r="363" spans="1:21" x14ac:dyDescent="0.5">
      <c r="A363" t="s">
        <v>96</v>
      </c>
      <c r="B363">
        <v>1820</v>
      </c>
      <c r="T363">
        <v>22466</v>
      </c>
      <c r="U363">
        <v>2579.3000000000002</v>
      </c>
    </row>
    <row r="364" spans="1:21" x14ac:dyDescent="0.5">
      <c r="A364" t="s">
        <v>96</v>
      </c>
      <c r="B364">
        <v>1821</v>
      </c>
      <c r="T364">
        <v>22112.5</v>
      </c>
      <c r="U364">
        <v>2806</v>
      </c>
    </row>
    <row r="365" spans="1:21" x14ac:dyDescent="0.5">
      <c r="A365" t="s">
        <v>96</v>
      </c>
      <c r="B365">
        <v>1822</v>
      </c>
      <c r="T365">
        <v>20942.599999999999</v>
      </c>
      <c r="U365">
        <v>2748.3</v>
      </c>
    </row>
    <row r="366" spans="1:21" x14ac:dyDescent="0.5">
      <c r="A366" t="s">
        <v>96</v>
      </c>
      <c r="B366">
        <v>1823</v>
      </c>
      <c r="T366">
        <v>22073.5</v>
      </c>
      <c r="U366">
        <v>2762.5</v>
      </c>
    </row>
    <row r="367" spans="1:21" x14ac:dyDescent="0.5">
      <c r="A367" t="s">
        <v>96</v>
      </c>
      <c r="B367">
        <v>1824</v>
      </c>
      <c r="T367">
        <v>22737.5</v>
      </c>
      <c r="U367">
        <v>2714.8998999999999</v>
      </c>
    </row>
    <row r="368" spans="1:21" x14ac:dyDescent="0.5">
      <c r="A368" t="s">
        <v>96</v>
      </c>
      <c r="B368">
        <v>1825</v>
      </c>
      <c r="T368">
        <v>22083.599999999999</v>
      </c>
      <c r="U368">
        <v>2703.8998999999999</v>
      </c>
    </row>
    <row r="369" spans="1:21" x14ac:dyDescent="0.5">
      <c r="A369" t="s">
        <v>96</v>
      </c>
      <c r="B369">
        <v>1826</v>
      </c>
      <c r="T369">
        <v>19630.800999999999</v>
      </c>
      <c r="U369">
        <v>2688.3998999999999</v>
      </c>
    </row>
    <row r="370" spans="1:21" x14ac:dyDescent="0.5">
      <c r="A370" t="s">
        <v>96</v>
      </c>
      <c r="B370">
        <v>1827</v>
      </c>
      <c r="T370">
        <v>21902.1</v>
      </c>
      <c r="U370">
        <v>2603.5</v>
      </c>
    </row>
    <row r="371" spans="1:21" x14ac:dyDescent="0.5">
      <c r="A371" t="s">
        <v>96</v>
      </c>
      <c r="B371">
        <v>1828</v>
      </c>
      <c r="T371">
        <v>22419.300999999999</v>
      </c>
      <c r="U371">
        <v>2223.3000000000002</v>
      </c>
    </row>
    <row r="372" spans="1:21" x14ac:dyDescent="0.5">
      <c r="A372" t="s">
        <v>96</v>
      </c>
      <c r="B372">
        <v>1829</v>
      </c>
      <c r="T372">
        <v>21572</v>
      </c>
      <c r="U372">
        <v>2279.5</v>
      </c>
    </row>
    <row r="373" spans="1:21" x14ac:dyDescent="0.5">
      <c r="A373" t="s">
        <v>96</v>
      </c>
      <c r="B373">
        <v>1830</v>
      </c>
      <c r="T373">
        <v>20836</v>
      </c>
      <c r="U373">
        <v>2291.1999999999998</v>
      </c>
    </row>
    <row r="374" spans="1:21" x14ac:dyDescent="0.5">
      <c r="A374" t="s">
        <v>96</v>
      </c>
      <c r="B374">
        <v>1831</v>
      </c>
      <c r="T374">
        <v>20404.699000000001</v>
      </c>
      <c r="U374">
        <v>2290.8998999999999</v>
      </c>
    </row>
    <row r="375" spans="1:21" x14ac:dyDescent="0.5">
      <c r="A375" t="s">
        <v>96</v>
      </c>
      <c r="B375">
        <v>1832</v>
      </c>
      <c r="T375">
        <v>22812</v>
      </c>
      <c r="U375">
        <v>2483.6999999999998</v>
      </c>
    </row>
    <row r="376" spans="1:21" x14ac:dyDescent="0.5">
      <c r="A376" t="s">
        <v>96</v>
      </c>
      <c r="B376">
        <v>1833</v>
      </c>
      <c r="T376">
        <v>22374.300999999999</v>
      </c>
      <c r="U376">
        <v>2654.3998999999999</v>
      </c>
    </row>
    <row r="377" spans="1:21" x14ac:dyDescent="0.5">
      <c r="A377" t="s">
        <v>96</v>
      </c>
      <c r="B377">
        <v>1834</v>
      </c>
      <c r="T377">
        <v>20632.599999999999</v>
      </c>
      <c r="U377">
        <v>2642.8998999999999</v>
      </c>
    </row>
    <row r="378" spans="1:21" x14ac:dyDescent="0.5">
      <c r="A378" t="s">
        <v>96</v>
      </c>
      <c r="B378">
        <v>1835</v>
      </c>
      <c r="T378">
        <v>21435.4</v>
      </c>
      <c r="U378">
        <v>2766</v>
      </c>
    </row>
    <row r="379" spans="1:21" x14ac:dyDescent="0.5">
      <c r="A379" t="s">
        <v>96</v>
      </c>
      <c r="B379">
        <v>1836</v>
      </c>
      <c r="T379">
        <v>21195.699000000001</v>
      </c>
      <c r="U379">
        <v>2789.6001000000001</v>
      </c>
    </row>
    <row r="380" spans="1:21" x14ac:dyDescent="0.5">
      <c r="A380" t="s">
        <v>96</v>
      </c>
      <c r="B380">
        <v>1837</v>
      </c>
      <c r="T380">
        <v>19739.900000000001</v>
      </c>
      <c r="U380">
        <v>2777</v>
      </c>
    </row>
    <row r="381" spans="1:21" x14ac:dyDescent="0.5">
      <c r="A381" t="s">
        <v>96</v>
      </c>
      <c r="B381">
        <v>1838</v>
      </c>
      <c r="T381">
        <v>20985</v>
      </c>
      <c r="U381">
        <v>2712.3</v>
      </c>
    </row>
    <row r="382" spans="1:21" x14ac:dyDescent="0.5">
      <c r="A382" t="s">
        <v>96</v>
      </c>
      <c r="B382">
        <v>1839</v>
      </c>
      <c r="T382">
        <v>22270</v>
      </c>
      <c r="U382">
        <v>2557.8998999999999</v>
      </c>
    </row>
    <row r="383" spans="1:21" x14ac:dyDescent="0.5">
      <c r="A383" t="s">
        <v>96</v>
      </c>
      <c r="B383">
        <v>1840</v>
      </c>
      <c r="T383">
        <v>22301.9</v>
      </c>
      <c r="U383">
        <v>2812.3</v>
      </c>
    </row>
    <row r="384" spans="1:21" x14ac:dyDescent="0.5">
      <c r="A384" t="s">
        <v>96</v>
      </c>
      <c r="B384">
        <v>1841</v>
      </c>
      <c r="T384">
        <v>20908.400000000001</v>
      </c>
      <c r="U384">
        <v>2919.2</v>
      </c>
    </row>
    <row r="385" spans="1:21" x14ac:dyDescent="0.5">
      <c r="A385" t="s">
        <v>96</v>
      </c>
      <c r="B385">
        <v>1842</v>
      </c>
      <c r="T385">
        <v>21568.300999999999</v>
      </c>
      <c r="U385">
        <v>2780.7</v>
      </c>
    </row>
    <row r="386" spans="1:21" x14ac:dyDescent="0.5">
      <c r="A386" t="s">
        <v>96</v>
      </c>
      <c r="B386">
        <v>1843</v>
      </c>
      <c r="T386">
        <v>22051.9</v>
      </c>
      <c r="U386">
        <v>2996.1001000000001</v>
      </c>
    </row>
    <row r="387" spans="1:21" x14ac:dyDescent="0.5">
      <c r="A387" t="s">
        <v>96</v>
      </c>
      <c r="B387">
        <v>1844</v>
      </c>
      <c r="T387">
        <v>22328.400000000001</v>
      </c>
      <c r="U387">
        <v>2980.7</v>
      </c>
    </row>
    <row r="388" spans="1:21" x14ac:dyDescent="0.5">
      <c r="A388" t="s">
        <v>96</v>
      </c>
      <c r="B388">
        <v>1845</v>
      </c>
      <c r="T388">
        <v>20939.099999999999</v>
      </c>
      <c r="U388">
        <v>3132.3</v>
      </c>
    </row>
    <row r="389" spans="1:21" x14ac:dyDescent="0.5">
      <c r="A389" t="s">
        <v>96</v>
      </c>
      <c r="B389">
        <v>1846</v>
      </c>
      <c r="T389">
        <v>21014.300999999999</v>
      </c>
      <c r="U389">
        <v>3120.3</v>
      </c>
    </row>
    <row r="390" spans="1:21" x14ac:dyDescent="0.5">
      <c r="A390" t="s">
        <v>96</v>
      </c>
      <c r="B390">
        <v>1847</v>
      </c>
      <c r="T390">
        <v>22182.300999999999</v>
      </c>
      <c r="U390">
        <v>3207.8</v>
      </c>
    </row>
    <row r="391" spans="1:21" x14ac:dyDescent="0.5">
      <c r="A391" t="s">
        <v>96</v>
      </c>
      <c r="B391">
        <v>1848</v>
      </c>
      <c r="T391">
        <v>23513.300999999999</v>
      </c>
      <c r="U391">
        <v>2864.8998999999999</v>
      </c>
    </row>
    <row r="392" spans="1:21" x14ac:dyDescent="0.5">
      <c r="A392" t="s">
        <v>96</v>
      </c>
      <c r="B392">
        <v>1849</v>
      </c>
      <c r="T392">
        <v>23009.9</v>
      </c>
      <c r="U392">
        <v>2918</v>
      </c>
    </row>
    <row r="393" spans="1:21" x14ac:dyDescent="0.5">
      <c r="A393" t="s">
        <v>96</v>
      </c>
      <c r="B393">
        <v>1850</v>
      </c>
      <c r="T393">
        <v>22603.9</v>
      </c>
      <c r="U393">
        <v>3106.5</v>
      </c>
    </row>
    <row r="394" spans="1:21" x14ac:dyDescent="0.5">
      <c r="A394" t="s">
        <v>96</v>
      </c>
      <c r="B394">
        <v>1851</v>
      </c>
      <c r="T394">
        <v>21950</v>
      </c>
      <c r="U394">
        <v>3058.5</v>
      </c>
    </row>
    <row r="395" spans="1:21" x14ac:dyDescent="0.5">
      <c r="A395" t="s">
        <v>96</v>
      </c>
      <c r="B395">
        <v>1852</v>
      </c>
      <c r="T395">
        <v>23119.800999999999</v>
      </c>
      <c r="U395">
        <v>3345.1001000000001</v>
      </c>
    </row>
    <row r="396" spans="1:21" x14ac:dyDescent="0.5">
      <c r="A396" t="s">
        <v>96</v>
      </c>
      <c r="B396">
        <v>1853</v>
      </c>
      <c r="T396">
        <v>22794.5</v>
      </c>
      <c r="U396">
        <v>3356.2</v>
      </c>
    </row>
    <row r="397" spans="1:21" x14ac:dyDescent="0.5">
      <c r="A397" t="s">
        <v>96</v>
      </c>
      <c r="B397">
        <v>1854</v>
      </c>
      <c r="T397">
        <v>23810.400000000001</v>
      </c>
      <c r="U397">
        <v>3381.8998999999999</v>
      </c>
    </row>
    <row r="398" spans="1:21" x14ac:dyDescent="0.5">
      <c r="A398" t="s">
        <v>96</v>
      </c>
      <c r="B398">
        <v>1855</v>
      </c>
      <c r="T398">
        <v>23515.300999999999</v>
      </c>
      <c r="U398">
        <v>3349.5</v>
      </c>
    </row>
    <row r="399" spans="1:21" x14ac:dyDescent="0.5">
      <c r="A399" t="s">
        <v>96</v>
      </c>
      <c r="B399">
        <v>1856</v>
      </c>
      <c r="T399">
        <v>24082.400000000001</v>
      </c>
      <c r="U399">
        <v>3415.6001000000001</v>
      </c>
    </row>
    <row r="400" spans="1:21" x14ac:dyDescent="0.5">
      <c r="A400" t="s">
        <v>96</v>
      </c>
      <c r="B400">
        <v>1857</v>
      </c>
      <c r="T400">
        <v>23851</v>
      </c>
      <c r="U400">
        <v>3514.2</v>
      </c>
    </row>
    <row r="401" spans="1:33" x14ac:dyDescent="0.5">
      <c r="A401" t="s">
        <v>96</v>
      </c>
      <c r="B401">
        <v>1858</v>
      </c>
      <c r="T401">
        <v>24600.5</v>
      </c>
      <c r="U401">
        <v>3599.8998999999999</v>
      </c>
    </row>
    <row r="402" spans="1:33" x14ac:dyDescent="0.5">
      <c r="A402" t="s">
        <v>96</v>
      </c>
      <c r="B402">
        <v>1859</v>
      </c>
      <c r="T402">
        <v>24478.300999999999</v>
      </c>
      <c r="U402">
        <v>3803.2</v>
      </c>
    </row>
    <row r="403" spans="1:33" x14ac:dyDescent="0.5">
      <c r="A403" t="s">
        <v>96</v>
      </c>
      <c r="B403">
        <v>1860</v>
      </c>
      <c r="T403">
        <v>23970.5</v>
      </c>
      <c r="U403">
        <v>3650.7</v>
      </c>
    </row>
    <row r="404" spans="1:33" x14ac:dyDescent="0.5">
      <c r="A404" t="s">
        <v>96</v>
      </c>
      <c r="B404">
        <v>1861</v>
      </c>
      <c r="T404">
        <v>23914.1</v>
      </c>
      <c r="U404">
        <v>3578.3</v>
      </c>
    </row>
    <row r="405" spans="1:33" x14ac:dyDescent="0.5">
      <c r="A405" t="s">
        <v>96</v>
      </c>
      <c r="B405">
        <v>1862</v>
      </c>
      <c r="T405">
        <v>24796.800999999999</v>
      </c>
      <c r="U405">
        <v>3852.6001000000001</v>
      </c>
    </row>
    <row r="406" spans="1:33" x14ac:dyDescent="0.5">
      <c r="A406" t="s">
        <v>96</v>
      </c>
      <c r="B406">
        <v>1863</v>
      </c>
      <c r="T406">
        <v>26008.300999999999</v>
      </c>
      <c r="U406">
        <v>4056.5</v>
      </c>
    </row>
    <row r="407" spans="1:33" x14ac:dyDescent="0.5">
      <c r="A407" t="s">
        <v>96</v>
      </c>
      <c r="B407">
        <v>1864</v>
      </c>
      <c r="T407">
        <v>26572.6</v>
      </c>
      <c r="U407">
        <v>4302</v>
      </c>
    </row>
    <row r="408" spans="1:33" x14ac:dyDescent="0.5">
      <c r="A408" t="s">
        <v>96</v>
      </c>
      <c r="B408">
        <v>1865</v>
      </c>
      <c r="T408">
        <v>25792.400000000001</v>
      </c>
      <c r="U408">
        <v>4302.2997999999998</v>
      </c>
    </row>
    <row r="409" spans="1:33" x14ac:dyDescent="0.5">
      <c r="A409" t="s">
        <v>96</v>
      </c>
      <c r="B409">
        <v>1866</v>
      </c>
      <c r="T409">
        <v>25600.699000000001</v>
      </c>
      <c r="U409">
        <v>4294.6000999999997</v>
      </c>
    </row>
    <row r="410" spans="1:33" x14ac:dyDescent="0.5">
      <c r="A410" t="s">
        <v>96</v>
      </c>
      <c r="B410">
        <v>1867</v>
      </c>
      <c r="T410">
        <v>23304.5</v>
      </c>
      <c r="U410">
        <v>4018.6001000000001</v>
      </c>
    </row>
    <row r="411" spans="1:33" x14ac:dyDescent="0.5">
      <c r="A411" t="s">
        <v>96</v>
      </c>
      <c r="B411">
        <v>1868</v>
      </c>
      <c r="T411">
        <v>23174.199000000001</v>
      </c>
      <c r="U411">
        <v>4264.6000999999997</v>
      </c>
    </row>
    <row r="412" spans="1:33" x14ac:dyDescent="0.5">
      <c r="A412" t="s">
        <v>96</v>
      </c>
      <c r="B412">
        <v>1869</v>
      </c>
      <c r="T412">
        <v>26270.699000000001</v>
      </c>
      <c r="U412">
        <v>4349.7002000000002</v>
      </c>
    </row>
    <row r="413" spans="1:33" x14ac:dyDescent="0.5">
      <c r="A413" t="s">
        <v>96</v>
      </c>
      <c r="B413">
        <v>1870</v>
      </c>
      <c r="T413">
        <v>28109.300999999999</v>
      </c>
      <c r="U413">
        <v>3592.5</v>
      </c>
      <c r="W413">
        <v>6224.6000999999997</v>
      </c>
      <c r="AC413">
        <v>3236.3998999999999</v>
      </c>
      <c r="AD413">
        <v>2282.8000000000002</v>
      </c>
      <c r="AE413"/>
      <c r="AF413">
        <v>15992.1</v>
      </c>
      <c r="AG413"/>
    </row>
    <row r="414" spans="1:33" x14ac:dyDescent="0.5">
      <c r="A414" t="s">
        <v>96</v>
      </c>
      <c r="B414">
        <v>1871</v>
      </c>
      <c r="T414">
        <v>28665.4</v>
      </c>
      <c r="U414">
        <v>3185</v>
      </c>
      <c r="W414">
        <v>6330.7997999999998</v>
      </c>
      <c r="AC414">
        <v>3299.3998999999999</v>
      </c>
      <c r="AD414">
        <v>2026.1</v>
      </c>
      <c r="AE414"/>
      <c r="AF414">
        <v>16268.3</v>
      </c>
      <c r="AG414"/>
    </row>
    <row r="415" spans="1:33" x14ac:dyDescent="0.5">
      <c r="A415" t="s">
        <v>96</v>
      </c>
      <c r="B415">
        <v>1872</v>
      </c>
      <c r="T415">
        <v>30985.300999999999</v>
      </c>
      <c r="U415">
        <v>3617.5</v>
      </c>
      <c r="W415">
        <v>6379.7002000000002</v>
      </c>
      <c r="AC415">
        <v>3332.8</v>
      </c>
      <c r="AD415">
        <v>2303.8998999999999</v>
      </c>
      <c r="AE415"/>
      <c r="AF415">
        <v>17538.599999999999</v>
      </c>
      <c r="AG415"/>
    </row>
    <row r="416" spans="1:33" x14ac:dyDescent="0.5">
      <c r="A416" t="s">
        <v>96</v>
      </c>
      <c r="B416">
        <v>1873</v>
      </c>
      <c r="T416">
        <v>33372.601999999999</v>
      </c>
      <c r="U416">
        <v>3478.8</v>
      </c>
      <c r="W416">
        <v>6526.7002000000002</v>
      </c>
      <c r="AC416">
        <v>3417.6001000000001</v>
      </c>
      <c r="AD416">
        <v>2218.1001000000001</v>
      </c>
      <c r="AE416"/>
      <c r="AF416">
        <v>18860.400000000001</v>
      </c>
      <c r="AG416"/>
    </row>
    <row r="417" spans="1:33" x14ac:dyDescent="0.5">
      <c r="A417" t="s">
        <v>96</v>
      </c>
      <c r="B417">
        <v>1874</v>
      </c>
      <c r="T417">
        <v>33364</v>
      </c>
      <c r="U417">
        <v>3574.3998999999999</v>
      </c>
      <c r="W417">
        <v>6309.1000999999997</v>
      </c>
      <c r="AC417">
        <v>3311.3998999999999</v>
      </c>
      <c r="AD417">
        <v>2281.5</v>
      </c>
      <c r="AE417"/>
      <c r="AF417">
        <v>18889.5</v>
      </c>
      <c r="AG417"/>
    </row>
    <row r="418" spans="1:33" x14ac:dyDescent="0.5">
      <c r="A418" t="s">
        <v>96</v>
      </c>
      <c r="B418">
        <v>1875</v>
      </c>
      <c r="T418">
        <v>32396.5</v>
      </c>
      <c r="U418">
        <v>3965.3</v>
      </c>
      <c r="W418">
        <v>6478.8999000000003</v>
      </c>
      <c r="AC418">
        <v>3408.5</v>
      </c>
      <c r="AD418">
        <v>2533.8998999999999</v>
      </c>
      <c r="AE418"/>
      <c r="AF418">
        <v>18336.699000000001</v>
      </c>
      <c r="AG418"/>
    </row>
    <row r="419" spans="1:33" x14ac:dyDescent="0.5">
      <c r="A419" t="s">
        <v>96</v>
      </c>
      <c r="B419">
        <v>1876</v>
      </c>
      <c r="T419">
        <v>32832.199000000001</v>
      </c>
      <c r="U419">
        <v>3783.2</v>
      </c>
      <c r="W419">
        <v>6394.3999000000003</v>
      </c>
      <c r="AC419">
        <v>3372</v>
      </c>
      <c r="AD419">
        <v>2420.1999999999998</v>
      </c>
      <c r="AE419"/>
      <c r="AF419">
        <v>18601.199000000001</v>
      </c>
      <c r="AG419"/>
    </row>
    <row r="420" spans="1:33" x14ac:dyDescent="0.5">
      <c r="A420" t="s">
        <v>96</v>
      </c>
      <c r="B420">
        <v>1877</v>
      </c>
      <c r="T420">
        <v>32122.6</v>
      </c>
      <c r="U420">
        <v>3714</v>
      </c>
      <c r="W420">
        <v>6471.8999000000003</v>
      </c>
      <c r="AC420">
        <v>3420.8</v>
      </c>
      <c r="AD420">
        <v>2378.6001000000001</v>
      </c>
      <c r="AE420"/>
      <c r="AF420">
        <v>18236.199000000001</v>
      </c>
      <c r="AG420"/>
    </row>
    <row r="421" spans="1:33" x14ac:dyDescent="0.5">
      <c r="A421" t="s">
        <v>96</v>
      </c>
      <c r="B421">
        <v>1878</v>
      </c>
      <c r="T421">
        <v>31887.199000000001</v>
      </c>
      <c r="U421">
        <v>3477.6001000000001</v>
      </c>
      <c r="W421">
        <v>6582.8999000000003</v>
      </c>
      <c r="AC421">
        <v>3487.6001000000001</v>
      </c>
      <c r="AD421">
        <v>2229.6999999999998</v>
      </c>
      <c r="AE421"/>
      <c r="AF421">
        <v>18215.400000000001</v>
      </c>
      <c r="AG421"/>
    </row>
    <row r="422" spans="1:33" x14ac:dyDescent="0.5">
      <c r="A422" t="s">
        <v>96</v>
      </c>
      <c r="B422">
        <v>1879</v>
      </c>
      <c r="T422">
        <v>31651.599999999999</v>
      </c>
      <c r="U422">
        <v>3502.7</v>
      </c>
      <c r="W422">
        <v>7221.7997999999998</v>
      </c>
      <c r="AC422">
        <v>3835</v>
      </c>
      <c r="AD422">
        <v>2248.3000000000002</v>
      </c>
      <c r="AE422"/>
      <c r="AF422">
        <v>18150</v>
      </c>
      <c r="AG422"/>
    </row>
    <row r="423" spans="1:33" x14ac:dyDescent="0.5">
      <c r="A423" t="s">
        <v>96</v>
      </c>
      <c r="B423">
        <v>1880</v>
      </c>
      <c r="T423">
        <v>31821.4</v>
      </c>
      <c r="U423">
        <v>3586.2</v>
      </c>
      <c r="W423">
        <v>7888.2002000000002</v>
      </c>
      <c r="AC423">
        <v>4198.6000999999997</v>
      </c>
      <c r="AD423">
        <v>2304.5</v>
      </c>
      <c r="AE423"/>
      <c r="AF423">
        <v>18299.199000000001</v>
      </c>
      <c r="AG423"/>
    </row>
    <row r="424" spans="1:33" x14ac:dyDescent="0.5">
      <c r="A424" t="s">
        <v>96</v>
      </c>
      <c r="B424">
        <v>1881</v>
      </c>
      <c r="T424">
        <v>31630.400000000001</v>
      </c>
      <c r="U424">
        <v>3843.1001000000001</v>
      </c>
      <c r="W424">
        <v>7943</v>
      </c>
      <c r="AC424">
        <v>4237.6000999999997</v>
      </c>
      <c r="AD424">
        <v>2474.1001000000001</v>
      </c>
      <c r="AE424"/>
      <c r="AF424">
        <v>18199.199000000001</v>
      </c>
      <c r="AG424"/>
    </row>
    <row r="425" spans="1:33" x14ac:dyDescent="0.5">
      <c r="A425" t="s">
        <v>96</v>
      </c>
      <c r="B425">
        <v>1882</v>
      </c>
      <c r="T425">
        <v>32560.199000000001</v>
      </c>
      <c r="U425">
        <v>4079</v>
      </c>
      <c r="W425">
        <v>8114.2002000000002</v>
      </c>
      <c r="AC425">
        <v>4338.8999000000003</v>
      </c>
      <c r="AD425">
        <v>2630.7</v>
      </c>
      <c r="AE425"/>
      <c r="AF425">
        <v>18784.099999999999</v>
      </c>
      <c r="AG425"/>
    </row>
    <row r="426" spans="1:33" x14ac:dyDescent="0.5">
      <c r="A426" t="s">
        <v>96</v>
      </c>
      <c r="B426">
        <v>1883</v>
      </c>
      <c r="T426">
        <v>33310.898000000001</v>
      </c>
      <c r="U426">
        <v>3865.6001000000001</v>
      </c>
      <c r="W426">
        <v>8099</v>
      </c>
      <c r="AC426">
        <v>4340.7997999999998</v>
      </c>
      <c r="AD426">
        <v>2497.6001000000001</v>
      </c>
      <c r="AE426"/>
      <c r="AF426">
        <v>19296.800999999999</v>
      </c>
      <c r="AG426"/>
    </row>
    <row r="427" spans="1:33" x14ac:dyDescent="0.5">
      <c r="A427" t="s">
        <v>96</v>
      </c>
      <c r="B427">
        <v>1884</v>
      </c>
      <c r="T427">
        <v>34313.5</v>
      </c>
      <c r="U427">
        <v>3751.2</v>
      </c>
      <c r="W427">
        <v>8044.7002000000002</v>
      </c>
      <c r="AC427">
        <v>4321.6000999999997</v>
      </c>
      <c r="AD427">
        <v>2428.1001000000001</v>
      </c>
      <c r="AE427"/>
      <c r="AF427">
        <v>19931.300999999999</v>
      </c>
      <c r="AG427"/>
    </row>
    <row r="428" spans="1:33" x14ac:dyDescent="0.5">
      <c r="A428" t="s">
        <v>96</v>
      </c>
      <c r="B428">
        <v>1885</v>
      </c>
      <c r="T428">
        <v>34642.398000000001</v>
      </c>
      <c r="U428">
        <v>3775.6001000000001</v>
      </c>
      <c r="W428">
        <v>7895.6000999999997</v>
      </c>
      <c r="AC428">
        <v>4251.2997999999998</v>
      </c>
      <c r="AD428">
        <v>2448.3000000000002</v>
      </c>
      <c r="AE428"/>
      <c r="AF428">
        <v>20177.099999999999</v>
      </c>
      <c r="AG428"/>
    </row>
    <row r="429" spans="1:33" x14ac:dyDescent="0.5">
      <c r="A429" t="s">
        <v>96</v>
      </c>
      <c r="B429">
        <v>1886</v>
      </c>
      <c r="T429">
        <v>33890.199000000001</v>
      </c>
      <c r="U429">
        <v>3748.1001000000001</v>
      </c>
      <c r="W429">
        <v>7933.7997999999998</v>
      </c>
      <c r="AC429">
        <v>4281.6000999999997</v>
      </c>
      <c r="AD429">
        <v>2435</v>
      </c>
      <c r="AE429"/>
      <c r="AF429">
        <v>19775.099999999999</v>
      </c>
      <c r="AG429"/>
    </row>
    <row r="430" spans="1:33" x14ac:dyDescent="0.5">
      <c r="A430" t="s">
        <v>96</v>
      </c>
      <c r="B430">
        <v>1887</v>
      </c>
      <c r="T430">
        <v>33828.300999999999</v>
      </c>
      <c r="U430">
        <v>3823</v>
      </c>
      <c r="W430">
        <v>7945.2002000000002</v>
      </c>
      <c r="AC430">
        <v>4297.5</v>
      </c>
      <c r="AD430">
        <v>2488.1001000000001</v>
      </c>
      <c r="AE430"/>
      <c r="AF430">
        <v>19711.099999999999</v>
      </c>
      <c r="AG430"/>
    </row>
    <row r="431" spans="1:33" x14ac:dyDescent="0.5">
      <c r="A431" t="s">
        <v>96</v>
      </c>
      <c r="B431">
        <v>1888</v>
      </c>
      <c r="T431">
        <v>34732</v>
      </c>
      <c r="U431">
        <v>4137.3999000000003</v>
      </c>
      <c r="W431">
        <v>7719.6000999999997</v>
      </c>
      <c r="AC431">
        <v>4185.1000999999997</v>
      </c>
      <c r="AD431">
        <v>2697.7</v>
      </c>
      <c r="AE431"/>
      <c r="AF431">
        <v>20117.199000000001</v>
      </c>
      <c r="AG431"/>
    </row>
    <row r="432" spans="1:33" x14ac:dyDescent="0.5">
      <c r="A432" t="s">
        <v>96</v>
      </c>
      <c r="B432">
        <v>1889</v>
      </c>
      <c r="T432">
        <v>35366.199000000001</v>
      </c>
      <c r="U432">
        <v>4147.7002000000002</v>
      </c>
      <c r="W432">
        <v>8017</v>
      </c>
      <c r="AC432">
        <v>4356.2002000000002</v>
      </c>
      <c r="AD432">
        <v>2709.3</v>
      </c>
      <c r="AE432"/>
      <c r="AF432">
        <v>20446.099999999999</v>
      </c>
      <c r="AG432"/>
    </row>
    <row r="433" spans="1:33" x14ac:dyDescent="0.5">
      <c r="A433" t="s">
        <v>96</v>
      </c>
      <c r="B433">
        <v>1890</v>
      </c>
      <c r="T433">
        <v>36501.601999999999</v>
      </c>
      <c r="U433">
        <v>4269.2002000000002</v>
      </c>
      <c r="W433">
        <v>7952.7002000000002</v>
      </c>
      <c r="AC433">
        <v>4331</v>
      </c>
      <c r="AD433">
        <v>2793.7</v>
      </c>
      <c r="AE433"/>
      <c r="AF433">
        <v>21046</v>
      </c>
      <c r="AG433"/>
    </row>
    <row r="434" spans="1:33" x14ac:dyDescent="0.5">
      <c r="A434" t="s">
        <v>96</v>
      </c>
      <c r="B434">
        <v>1891</v>
      </c>
      <c r="T434">
        <v>35722.699000000001</v>
      </c>
      <c r="U434">
        <v>4347.2997999999998</v>
      </c>
      <c r="W434">
        <v>8016.7997999999998</v>
      </c>
      <c r="AC434">
        <v>4375.7997999999998</v>
      </c>
      <c r="AD434">
        <v>2853.2</v>
      </c>
      <c r="AE434"/>
      <c r="AF434">
        <v>20599.300999999999</v>
      </c>
      <c r="AG434"/>
    </row>
    <row r="435" spans="1:33" x14ac:dyDescent="0.5">
      <c r="A435" t="s">
        <v>96</v>
      </c>
      <c r="B435">
        <v>1892</v>
      </c>
      <c r="T435">
        <v>36810.300999999999</v>
      </c>
      <c r="U435">
        <v>4494.7997999999998</v>
      </c>
      <c r="W435">
        <v>8266</v>
      </c>
      <c r="AC435">
        <v>4522</v>
      </c>
      <c r="AD435">
        <v>2958.6001000000001</v>
      </c>
      <c r="AE435"/>
      <c r="AF435">
        <v>21202.9</v>
      </c>
      <c r="AG435"/>
    </row>
    <row r="436" spans="1:33" x14ac:dyDescent="0.5">
      <c r="A436" t="s">
        <v>96</v>
      </c>
      <c r="B436">
        <v>1893</v>
      </c>
      <c r="T436">
        <v>37278.101999999999</v>
      </c>
      <c r="U436">
        <v>4527.3999000000003</v>
      </c>
      <c r="W436">
        <v>8086.8999000000003</v>
      </c>
      <c r="AC436">
        <v>4434</v>
      </c>
      <c r="AD436">
        <v>2988.8</v>
      </c>
      <c r="AE436"/>
      <c r="AF436">
        <v>21474.1</v>
      </c>
      <c r="AG436"/>
    </row>
    <row r="437" spans="1:33" x14ac:dyDescent="0.5">
      <c r="A437" t="s">
        <v>96</v>
      </c>
      <c r="B437">
        <v>1894</v>
      </c>
      <c r="T437">
        <v>38338.5</v>
      </c>
      <c r="U437">
        <v>4437.7997999999998</v>
      </c>
      <c r="W437">
        <v>7679.2997999999998</v>
      </c>
      <c r="AC437">
        <v>4220</v>
      </c>
      <c r="AD437">
        <v>2938.2</v>
      </c>
      <c r="AE437"/>
      <c r="AF437">
        <v>22096.9</v>
      </c>
      <c r="AG437"/>
    </row>
    <row r="438" spans="1:33" x14ac:dyDescent="0.5">
      <c r="A438" t="s">
        <v>96</v>
      </c>
      <c r="B438">
        <v>1895</v>
      </c>
      <c r="T438">
        <v>40726.199000000001</v>
      </c>
      <c r="U438">
        <v>4475.6000999999997</v>
      </c>
      <c r="W438">
        <v>8404.5995999999996</v>
      </c>
      <c r="AC438">
        <v>4629</v>
      </c>
      <c r="AD438">
        <v>2971.8998999999999</v>
      </c>
      <c r="AE438"/>
      <c r="AF438">
        <v>23483.800999999999</v>
      </c>
      <c r="AG438"/>
    </row>
    <row r="439" spans="1:33" x14ac:dyDescent="0.5">
      <c r="A439" t="s">
        <v>96</v>
      </c>
      <c r="B439">
        <v>1896</v>
      </c>
      <c r="T439">
        <v>42436.199000000001</v>
      </c>
      <c r="U439">
        <v>5018.5</v>
      </c>
      <c r="W439">
        <v>8049</v>
      </c>
      <c r="AC439">
        <v>4443</v>
      </c>
      <c r="AD439">
        <v>3342.1001000000001</v>
      </c>
      <c r="AE439"/>
      <c r="AF439">
        <v>24496.800999999999</v>
      </c>
      <c r="AG439"/>
    </row>
    <row r="440" spans="1:33" x14ac:dyDescent="0.5">
      <c r="A440" t="s">
        <v>96</v>
      </c>
      <c r="B440">
        <v>1897</v>
      </c>
      <c r="T440">
        <v>43340.898000000001</v>
      </c>
      <c r="U440">
        <v>4942.6000999999997</v>
      </c>
      <c r="W440">
        <v>8451.9004000000004</v>
      </c>
      <c r="AC440">
        <v>4675.7997999999998</v>
      </c>
      <c r="AD440">
        <v>3298.2</v>
      </c>
      <c r="AE440"/>
      <c r="AF440">
        <v>25077.800999999999</v>
      </c>
      <c r="AG440"/>
    </row>
    <row r="441" spans="1:33" x14ac:dyDescent="0.5">
      <c r="A441" t="s">
        <v>96</v>
      </c>
      <c r="B441">
        <v>1898</v>
      </c>
      <c r="T441">
        <v>44804.898000000001</v>
      </c>
      <c r="U441">
        <v>5162.5</v>
      </c>
      <c r="W441">
        <v>8474.4004000000004</v>
      </c>
      <c r="AC441">
        <v>4698.7997999999998</v>
      </c>
      <c r="AD441">
        <v>3450.3</v>
      </c>
      <c r="AE441"/>
      <c r="AF441">
        <v>25945.699000000001</v>
      </c>
      <c r="AG441"/>
    </row>
    <row r="442" spans="1:33" x14ac:dyDescent="0.5">
      <c r="A442" t="s">
        <v>96</v>
      </c>
      <c r="B442">
        <v>1899</v>
      </c>
      <c r="T442">
        <v>45434</v>
      </c>
      <c r="U442">
        <v>5348.1000999999997</v>
      </c>
      <c r="W442">
        <v>9270.7001999999993</v>
      </c>
      <c r="AC442">
        <v>5151.7002000000002</v>
      </c>
      <c r="AD442">
        <v>3581.2</v>
      </c>
      <c r="AE442"/>
      <c r="AF442">
        <v>26389.1</v>
      </c>
      <c r="AG442"/>
    </row>
    <row r="443" spans="1:33" x14ac:dyDescent="0.5">
      <c r="A443" t="s">
        <v>96</v>
      </c>
      <c r="B443">
        <v>1900</v>
      </c>
      <c r="T443">
        <v>44792.300999999999</v>
      </c>
      <c r="U443">
        <v>5461.3999000000003</v>
      </c>
      <c r="W443">
        <v>9275.4004000000004</v>
      </c>
      <c r="AC443">
        <v>5165.7002000000002</v>
      </c>
      <c r="AD443">
        <v>3642.5</v>
      </c>
      <c r="AE443"/>
      <c r="AF443">
        <v>26030</v>
      </c>
      <c r="AG443"/>
    </row>
    <row r="444" spans="1:33" x14ac:dyDescent="0.5">
      <c r="A444" t="s">
        <v>96</v>
      </c>
      <c r="B444">
        <v>1901</v>
      </c>
      <c r="T444">
        <v>42776.601999999999</v>
      </c>
      <c r="U444">
        <v>5091.7002000000002</v>
      </c>
      <c r="W444">
        <v>10172.4</v>
      </c>
      <c r="AC444">
        <v>5685.7002000000002</v>
      </c>
      <c r="AD444">
        <v>3398.3</v>
      </c>
      <c r="AE444"/>
      <c r="AF444">
        <v>24882.699000000001</v>
      </c>
      <c r="AG444"/>
    </row>
    <row r="445" spans="1:33" x14ac:dyDescent="0.5">
      <c r="A445" t="s">
        <v>96</v>
      </c>
      <c r="B445">
        <v>1902</v>
      </c>
      <c r="T445">
        <v>42031.5</v>
      </c>
      <c r="U445">
        <v>4994.6000999999997</v>
      </c>
      <c r="W445">
        <v>10217.200000000001</v>
      </c>
      <c r="AC445">
        <v>5731.3999000000003</v>
      </c>
      <c r="AD445">
        <v>3335.8998999999999</v>
      </c>
      <c r="AE445"/>
      <c r="AF445">
        <v>24461.300999999999</v>
      </c>
      <c r="AG445"/>
    </row>
    <row r="446" spans="1:33" x14ac:dyDescent="0.5">
      <c r="A446" t="s">
        <v>96</v>
      </c>
      <c r="B446">
        <v>1903</v>
      </c>
      <c r="T446">
        <v>45678.101999999999</v>
      </c>
      <c r="U446">
        <v>5257.6000999999997</v>
      </c>
      <c r="W446">
        <v>10275.9</v>
      </c>
      <c r="AC446">
        <v>5784.8999000000003</v>
      </c>
      <c r="AD446">
        <v>3514.5</v>
      </c>
      <c r="AE446"/>
      <c r="AF446">
        <v>26622.9</v>
      </c>
      <c r="AG446"/>
    </row>
    <row r="447" spans="1:33" x14ac:dyDescent="0.5">
      <c r="A447" t="s">
        <v>96</v>
      </c>
      <c r="B447">
        <v>1904</v>
      </c>
      <c r="T447">
        <v>46233.398000000001</v>
      </c>
      <c r="U447">
        <v>5402.2997999999998</v>
      </c>
      <c r="W447">
        <v>10437.6</v>
      </c>
      <c r="AC447">
        <v>5896.8999000000003</v>
      </c>
      <c r="AD447">
        <v>3616.3</v>
      </c>
      <c r="AE447"/>
      <c r="AF447">
        <v>27001.9</v>
      </c>
      <c r="AG447"/>
    </row>
    <row r="448" spans="1:33" x14ac:dyDescent="0.5">
      <c r="A448" t="s">
        <v>96</v>
      </c>
      <c r="B448">
        <v>1905</v>
      </c>
      <c r="T448">
        <v>46142.5</v>
      </c>
      <c r="U448">
        <v>5419.3999000000003</v>
      </c>
      <c r="W448">
        <v>11113.2</v>
      </c>
      <c r="AC448">
        <v>6300.8999000000003</v>
      </c>
      <c r="AD448">
        <v>3633.8998999999999</v>
      </c>
      <c r="AE448"/>
      <c r="AF448">
        <v>27001.699000000001</v>
      </c>
      <c r="AG448"/>
    </row>
    <row r="449" spans="1:33" x14ac:dyDescent="0.5">
      <c r="A449" t="s">
        <v>96</v>
      </c>
      <c r="B449">
        <v>1906</v>
      </c>
      <c r="T449">
        <v>49486.800999999999</v>
      </c>
      <c r="U449">
        <v>5292.2002000000002</v>
      </c>
      <c r="W449">
        <v>11319.3</v>
      </c>
      <c r="AC449">
        <v>6440.5</v>
      </c>
      <c r="AD449">
        <v>3554</v>
      </c>
      <c r="AE449"/>
      <c r="AF449">
        <v>29028</v>
      </c>
      <c r="AG449"/>
    </row>
    <row r="450" spans="1:33" x14ac:dyDescent="0.5">
      <c r="A450" t="s">
        <v>96</v>
      </c>
      <c r="B450">
        <v>1907</v>
      </c>
      <c r="T450">
        <v>50351</v>
      </c>
      <c r="U450">
        <v>5814.5</v>
      </c>
      <c r="W450">
        <v>10810.6</v>
      </c>
      <c r="AC450">
        <v>6172.7997999999998</v>
      </c>
      <c r="AD450">
        <v>3910.6001000000001</v>
      </c>
      <c r="AE450"/>
      <c r="AF450">
        <v>29594.6</v>
      </c>
      <c r="AG450"/>
    </row>
    <row r="451" spans="1:33" x14ac:dyDescent="0.5">
      <c r="A451" t="s">
        <v>96</v>
      </c>
      <c r="B451">
        <v>1908</v>
      </c>
      <c r="T451">
        <v>48995.101999999999</v>
      </c>
      <c r="U451">
        <v>5619.8999000000003</v>
      </c>
      <c r="W451">
        <v>9988.5</v>
      </c>
      <c r="AC451">
        <v>5723.5</v>
      </c>
      <c r="AD451">
        <v>3783.3</v>
      </c>
      <c r="AE451"/>
      <c r="AF451">
        <v>28834</v>
      </c>
      <c r="AG451"/>
    </row>
    <row r="452" spans="1:33" x14ac:dyDescent="0.5">
      <c r="A452" t="s">
        <v>96</v>
      </c>
      <c r="B452">
        <v>1909</v>
      </c>
      <c r="T452">
        <v>48493.398000000001</v>
      </c>
      <c r="U452">
        <v>5857.8999000000003</v>
      </c>
      <c r="W452">
        <v>10897.9</v>
      </c>
      <c r="AC452">
        <v>6266.3999000000003</v>
      </c>
      <c r="AD452">
        <v>3946.2</v>
      </c>
      <c r="AE452"/>
      <c r="AF452">
        <v>28540.6</v>
      </c>
      <c r="AG452"/>
    </row>
    <row r="453" spans="1:33" x14ac:dyDescent="0.5">
      <c r="A453" t="s">
        <v>96</v>
      </c>
      <c r="B453">
        <v>1910</v>
      </c>
      <c r="T453">
        <v>51996.300999999999</v>
      </c>
      <c r="U453">
        <v>5634.2997999999998</v>
      </c>
      <c r="W453">
        <v>11410.5</v>
      </c>
      <c r="AC453">
        <v>6584.1000999999997</v>
      </c>
      <c r="AD453">
        <v>3799.3</v>
      </c>
      <c r="AE453"/>
      <c r="AF453">
        <v>30683.4</v>
      </c>
      <c r="AG453"/>
    </row>
    <row r="454" spans="1:33" x14ac:dyDescent="0.5">
      <c r="A454" t="s">
        <v>96</v>
      </c>
      <c r="B454">
        <v>1911</v>
      </c>
      <c r="T454">
        <v>51998.898000000001</v>
      </c>
      <c r="U454">
        <v>5712.7997999999998</v>
      </c>
      <c r="W454">
        <v>10814.6</v>
      </c>
      <c r="AC454">
        <v>6262</v>
      </c>
      <c r="AD454">
        <v>3849.8</v>
      </c>
      <c r="AE454"/>
      <c r="AF454">
        <v>30757.300999999999</v>
      </c>
      <c r="AG454"/>
    </row>
    <row r="455" spans="1:33" x14ac:dyDescent="0.5">
      <c r="A455" t="s">
        <v>96</v>
      </c>
      <c r="B455">
        <v>1912</v>
      </c>
      <c r="T455">
        <v>52236.300999999999</v>
      </c>
      <c r="U455">
        <v>6265</v>
      </c>
      <c r="W455">
        <v>11155.7</v>
      </c>
      <c r="AC455">
        <v>6481.8999000000003</v>
      </c>
      <c r="AD455">
        <v>4233.2997999999998</v>
      </c>
      <c r="AE455"/>
      <c r="AF455">
        <v>30943.9</v>
      </c>
      <c r="AG455"/>
    </row>
    <row r="456" spans="1:33" x14ac:dyDescent="0.5">
      <c r="A456" t="s">
        <v>96</v>
      </c>
      <c r="B456">
        <v>1913</v>
      </c>
      <c r="R456">
        <v>17941.400000000001</v>
      </c>
      <c r="T456">
        <v>55482.898000000001</v>
      </c>
      <c r="U456">
        <v>5923.2997999999998</v>
      </c>
      <c r="W456">
        <v>12411</v>
      </c>
      <c r="AC456">
        <v>7236.2002000000002</v>
      </c>
      <c r="AD456">
        <v>4005.7</v>
      </c>
      <c r="AE456"/>
      <c r="AF456">
        <v>32944.699000000001</v>
      </c>
      <c r="AG456"/>
    </row>
    <row r="457" spans="1:33" x14ac:dyDescent="0.5">
      <c r="A457" t="s">
        <v>96</v>
      </c>
      <c r="B457">
        <v>1914</v>
      </c>
      <c r="R457">
        <v>16232.6</v>
      </c>
      <c r="T457">
        <v>55644.5</v>
      </c>
      <c r="U457">
        <v>5465.8999000000003</v>
      </c>
      <c r="W457">
        <v>11213.4</v>
      </c>
      <c r="AC457">
        <v>6560.5</v>
      </c>
      <c r="AD457">
        <v>3704.7</v>
      </c>
      <c r="AE457"/>
      <c r="AF457">
        <v>33123.699000000001</v>
      </c>
      <c r="AG457"/>
    </row>
    <row r="458" spans="1:33" x14ac:dyDescent="0.5">
      <c r="A458" t="s">
        <v>96</v>
      </c>
      <c r="B458">
        <v>1915</v>
      </c>
      <c r="R458">
        <v>16576</v>
      </c>
      <c r="T458">
        <v>55569.800999999999</v>
      </c>
      <c r="U458">
        <v>5162.7997999999998</v>
      </c>
      <c r="W458">
        <v>11436.3</v>
      </c>
      <c r="AC458">
        <v>6713.8999000000003</v>
      </c>
      <c r="AD458">
        <v>3502.8</v>
      </c>
      <c r="AE458"/>
      <c r="AF458">
        <v>33210.601999999999</v>
      </c>
      <c r="AG458"/>
    </row>
    <row r="459" spans="1:33" x14ac:dyDescent="0.5">
      <c r="A459" t="s">
        <v>96</v>
      </c>
      <c r="B459">
        <v>1916</v>
      </c>
      <c r="R459">
        <v>18925.099999999999</v>
      </c>
      <c r="T459">
        <v>61441.699000000001</v>
      </c>
      <c r="U459">
        <v>5847.1000999999997</v>
      </c>
      <c r="W459">
        <v>13040.1</v>
      </c>
      <c r="AC459">
        <v>7681.6000999999997</v>
      </c>
      <c r="AD459">
        <v>3985.6001000000001</v>
      </c>
      <c r="AE459"/>
      <c r="AF459">
        <v>36909.800999999999</v>
      </c>
      <c r="AG459"/>
    </row>
    <row r="460" spans="1:33" x14ac:dyDescent="0.5">
      <c r="A460" t="s">
        <v>96</v>
      </c>
      <c r="B460">
        <v>1917</v>
      </c>
      <c r="R460">
        <v>18611.400000000001</v>
      </c>
      <c r="T460">
        <v>55162.101999999999</v>
      </c>
      <c r="U460">
        <v>5788.2997999999998</v>
      </c>
      <c r="W460">
        <v>12834.9</v>
      </c>
      <c r="AC460">
        <v>7570.7997999999998</v>
      </c>
      <c r="AD460">
        <v>3979.8</v>
      </c>
      <c r="AE460"/>
      <c r="AF460">
        <v>33298.398000000001</v>
      </c>
      <c r="AG460"/>
    </row>
    <row r="461" spans="1:33" x14ac:dyDescent="0.5">
      <c r="A461" t="s">
        <v>96</v>
      </c>
      <c r="B461">
        <v>1918</v>
      </c>
      <c r="R461">
        <v>19518.900000000001</v>
      </c>
      <c r="T461">
        <v>50289.800999999999</v>
      </c>
      <c r="U461">
        <v>5074.1000999999997</v>
      </c>
      <c r="W461">
        <v>13579.2</v>
      </c>
      <c r="AC461">
        <v>7957</v>
      </c>
      <c r="AD461">
        <v>3522.3</v>
      </c>
      <c r="AE461"/>
      <c r="AF461">
        <v>30499.1</v>
      </c>
      <c r="AG461"/>
    </row>
    <row r="462" spans="1:33" x14ac:dyDescent="0.5">
      <c r="A462" t="s">
        <v>96</v>
      </c>
      <c r="B462">
        <v>1919</v>
      </c>
      <c r="R462">
        <v>18610.099999999999</v>
      </c>
      <c r="T462">
        <v>54044.5</v>
      </c>
      <c r="U462">
        <v>5396.7002000000002</v>
      </c>
      <c r="W462">
        <v>12866.9</v>
      </c>
      <c r="AC462">
        <v>7603.1000999999997</v>
      </c>
      <c r="AD462">
        <v>3771.3</v>
      </c>
      <c r="AE462"/>
      <c r="AF462">
        <v>32960.5</v>
      </c>
      <c r="AG462"/>
    </row>
    <row r="463" spans="1:33" x14ac:dyDescent="0.5">
      <c r="A463" t="s">
        <v>96</v>
      </c>
      <c r="B463">
        <v>1920</v>
      </c>
      <c r="R463">
        <v>18225.599999999999</v>
      </c>
      <c r="T463">
        <v>59052.800999999999</v>
      </c>
      <c r="U463">
        <v>5571.2997999999998</v>
      </c>
      <c r="W463">
        <v>12587.1</v>
      </c>
      <c r="AC463">
        <v>7462.5</v>
      </c>
      <c r="AD463">
        <v>3888</v>
      </c>
      <c r="AE463"/>
      <c r="AF463">
        <v>36183.898000000001</v>
      </c>
      <c r="AG463"/>
    </row>
    <row r="464" spans="1:33" x14ac:dyDescent="0.5">
      <c r="A464" t="s">
        <v>96</v>
      </c>
      <c r="B464">
        <v>1921</v>
      </c>
      <c r="R464">
        <v>16396.800999999999</v>
      </c>
      <c r="T464">
        <v>51057.199000000001</v>
      </c>
      <c r="U464">
        <v>6407.3999000000003</v>
      </c>
      <c r="W464">
        <v>11350.8</v>
      </c>
      <c r="AC464">
        <v>6730.7002000000002</v>
      </c>
      <c r="AD464">
        <v>4467.6000999999997</v>
      </c>
      <c r="AE464"/>
      <c r="AF464">
        <v>31445.4</v>
      </c>
      <c r="AG464"/>
    </row>
    <row r="465" spans="1:33" x14ac:dyDescent="0.5">
      <c r="A465" t="s">
        <v>96</v>
      </c>
      <c r="B465">
        <v>1922</v>
      </c>
      <c r="R465">
        <v>17746.599999999999</v>
      </c>
      <c r="T465">
        <v>52269.199000000001</v>
      </c>
      <c r="U465">
        <v>7097</v>
      </c>
      <c r="W465">
        <v>12320.4</v>
      </c>
      <c r="AC465">
        <v>7303.5</v>
      </c>
      <c r="AD465">
        <v>4955.7997999999998</v>
      </c>
      <c r="AE465"/>
      <c r="AF465">
        <v>32384.199000000001</v>
      </c>
      <c r="AG465"/>
    </row>
    <row r="466" spans="1:33" x14ac:dyDescent="0.5">
      <c r="A466" t="s">
        <v>96</v>
      </c>
      <c r="B466">
        <v>1923</v>
      </c>
      <c r="R466">
        <v>19959.099999999999</v>
      </c>
      <c r="T466">
        <v>55216.300999999999</v>
      </c>
      <c r="U466">
        <v>7154.7997999999998</v>
      </c>
      <c r="W466">
        <v>13863.9</v>
      </c>
      <c r="AC466">
        <v>8235.2998000000007</v>
      </c>
      <c r="AD466">
        <v>5006.7002000000002</v>
      </c>
      <c r="AE466"/>
      <c r="AF466">
        <v>34397.300999999999</v>
      </c>
      <c r="AG466"/>
    </row>
    <row r="467" spans="1:33" x14ac:dyDescent="0.5">
      <c r="A467" t="s">
        <v>96</v>
      </c>
      <c r="B467">
        <v>1924</v>
      </c>
      <c r="R467">
        <v>19700.900000000001</v>
      </c>
      <c r="T467">
        <v>56363.699000000001</v>
      </c>
      <c r="U467">
        <v>7137.8999000000003</v>
      </c>
      <c r="W467">
        <v>13687</v>
      </c>
      <c r="AC467">
        <v>8149.7997999999998</v>
      </c>
      <c r="AD467">
        <v>5009.6000999999997</v>
      </c>
      <c r="AE467"/>
      <c r="AF467">
        <v>35355.898000000001</v>
      </c>
      <c r="AG467"/>
    </row>
    <row r="468" spans="1:33" x14ac:dyDescent="0.5">
      <c r="A468" t="s">
        <v>96</v>
      </c>
      <c r="B468">
        <v>1925</v>
      </c>
      <c r="R468">
        <v>20051.099999999999</v>
      </c>
      <c r="T468">
        <v>56850.601999999999</v>
      </c>
      <c r="U468">
        <v>7279.7002000000002</v>
      </c>
      <c r="W468">
        <v>13933.3</v>
      </c>
      <c r="AC468">
        <v>8316.5995999999996</v>
      </c>
      <c r="AD468">
        <v>5121.3999000000003</v>
      </c>
      <c r="AE468"/>
      <c r="AF468">
        <v>35907.300999999999</v>
      </c>
      <c r="AG468"/>
    </row>
    <row r="469" spans="1:33" x14ac:dyDescent="0.5">
      <c r="A469" t="s">
        <v>96</v>
      </c>
      <c r="B469">
        <v>1926</v>
      </c>
      <c r="R469">
        <v>21013.5</v>
      </c>
      <c r="T469">
        <v>58456.398000000001</v>
      </c>
      <c r="U469">
        <v>6929.6000999999997</v>
      </c>
      <c r="W469">
        <v>14583.8</v>
      </c>
      <c r="AC469">
        <v>8739.0995999999996</v>
      </c>
      <c r="AD469">
        <v>4877.3999000000003</v>
      </c>
      <c r="AE469"/>
      <c r="AF469">
        <v>37216.101999999999</v>
      </c>
      <c r="AG469"/>
    </row>
    <row r="470" spans="1:33" x14ac:dyDescent="0.5">
      <c r="A470" t="s">
        <v>96</v>
      </c>
      <c r="B470">
        <v>1927</v>
      </c>
      <c r="R470">
        <v>20654.699000000001</v>
      </c>
      <c r="T470">
        <v>59727.800999999999</v>
      </c>
      <c r="U470">
        <v>6778.7997999999998</v>
      </c>
      <c r="W470">
        <v>14315.9</v>
      </c>
      <c r="AC470">
        <v>8612.9004000000004</v>
      </c>
      <c r="AD470">
        <v>4784</v>
      </c>
      <c r="AE470"/>
      <c r="AF470">
        <v>38352.398000000001</v>
      </c>
      <c r="AG470"/>
    </row>
    <row r="471" spans="1:33" x14ac:dyDescent="0.5">
      <c r="A471" t="s">
        <v>96</v>
      </c>
      <c r="B471">
        <v>1928</v>
      </c>
      <c r="R471">
        <v>20930.800999999999</v>
      </c>
      <c r="T471">
        <v>60932.601999999999</v>
      </c>
      <c r="U471">
        <v>7330.1000999999997</v>
      </c>
      <c r="W471">
        <v>14470.7</v>
      </c>
      <c r="AC471">
        <v>8751.7001999999993</v>
      </c>
      <c r="AD471">
        <v>5180.7997999999998</v>
      </c>
      <c r="AE471"/>
      <c r="AF471">
        <v>39490.898000000001</v>
      </c>
      <c r="AG471"/>
    </row>
    <row r="472" spans="1:33" x14ac:dyDescent="0.5">
      <c r="A472" t="s">
        <v>96</v>
      </c>
      <c r="B472">
        <v>1929</v>
      </c>
      <c r="R472">
        <v>22018.5</v>
      </c>
      <c r="T472">
        <v>63733.699000000001</v>
      </c>
      <c r="U472">
        <v>7368.3999000000003</v>
      </c>
      <c r="W472">
        <v>15184.2</v>
      </c>
      <c r="AC472">
        <v>9233.2001999999993</v>
      </c>
      <c r="AD472">
        <v>5217.7002000000002</v>
      </c>
      <c r="AE472"/>
      <c r="AF472">
        <v>41731</v>
      </c>
      <c r="AG472"/>
    </row>
    <row r="473" spans="1:33" x14ac:dyDescent="0.5">
      <c r="A473" t="s">
        <v>96</v>
      </c>
      <c r="B473">
        <v>1930</v>
      </c>
      <c r="R473">
        <v>19969.800999999999</v>
      </c>
      <c r="T473">
        <v>66054.797000000006</v>
      </c>
      <c r="U473">
        <v>7011.1000999999997</v>
      </c>
      <c r="W473">
        <v>13669.5</v>
      </c>
      <c r="AC473">
        <v>8378.2998000000007</v>
      </c>
      <c r="AD473">
        <v>4971.8999000000003</v>
      </c>
      <c r="AE473"/>
      <c r="AF473">
        <v>43650.199000000001</v>
      </c>
      <c r="AG473"/>
    </row>
    <row r="474" spans="1:33" x14ac:dyDescent="0.5">
      <c r="A474" t="s">
        <v>96</v>
      </c>
      <c r="B474">
        <v>1931</v>
      </c>
      <c r="R474">
        <v>17851.599999999999</v>
      </c>
      <c r="T474">
        <v>60882.199000000001</v>
      </c>
      <c r="U474">
        <v>6722.3999000000003</v>
      </c>
      <c r="W474">
        <v>12228.8</v>
      </c>
      <c r="AC474">
        <v>7547.1000999999997</v>
      </c>
      <c r="AD474">
        <v>4773.8999000000003</v>
      </c>
      <c r="AE474"/>
      <c r="AF474">
        <v>40603.300999999999</v>
      </c>
      <c r="AG474"/>
    </row>
    <row r="475" spans="1:33" x14ac:dyDescent="0.5">
      <c r="A475" t="s">
        <v>96</v>
      </c>
      <c r="B475">
        <v>1932</v>
      </c>
      <c r="R475">
        <v>15098</v>
      </c>
      <c r="T475">
        <v>57307.898000000001</v>
      </c>
      <c r="U475">
        <v>6494.1000999999997</v>
      </c>
      <c r="W475">
        <v>10333.200000000001</v>
      </c>
      <c r="AC475">
        <v>6424.2997999999998</v>
      </c>
      <c r="AD475">
        <v>4614.7002000000002</v>
      </c>
      <c r="AE475"/>
      <c r="AF475">
        <v>38600.800999999999</v>
      </c>
      <c r="AG475"/>
    </row>
    <row r="476" spans="1:33" x14ac:dyDescent="0.5">
      <c r="A476" t="s">
        <v>96</v>
      </c>
      <c r="B476">
        <v>1933</v>
      </c>
      <c r="R476">
        <v>14658</v>
      </c>
      <c r="T476">
        <v>58157.601999999999</v>
      </c>
      <c r="U476">
        <v>6527.5</v>
      </c>
      <c r="W476">
        <v>10018.4</v>
      </c>
      <c r="AC476">
        <v>6278.1000999999997</v>
      </c>
      <c r="AD476">
        <v>4648.1000999999997</v>
      </c>
      <c r="AE476"/>
      <c r="AF476">
        <v>39551.800999999999</v>
      </c>
      <c r="AG476"/>
    </row>
    <row r="477" spans="1:33" x14ac:dyDescent="0.5">
      <c r="A477" t="s">
        <v>96</v>
      </c>
      <c r="B477">
        <v>1934</v>
      </c>
      <c r="R477">
        <v>16460.800999999999</v>
      </c>
      <c r="T477">
        <v>63795.300999999999</v>
      </c>
      <c r="U477">
        <v>6204.7002000000002</v>
      </c>
      <c r="W477">
        <v>11232.5</v>
      </c>
      <c r="AC477">
        <v>7096.8999000000003</v>
      </c>
      <c r="AD477">
        <v>4428.7997999999998</v>
      </c>
      <c r="AE477"/>
      <c r="AF477">
        <v>43788.5</v>
      </c>
      <c r="AG477"/>
    </row>
    <row r="478" spans="1:33" x14ac:dyDescent="0.5">
      <c r="A478" t="s">
        <v>96</v>
      </c>
      <c r="B478">
        <v>1935</v>
      </c>
      <c r="R478">
        <v>18056.5</v>
      </c>
      <c r="T478">
        <v>66673.398000000001</v>
      </c>
      <c r="U478">
        <v>6642.3999000000003</v>
      </c>
      <c r="W478">
        <v>12331.4</v>
      </c>
      <c r="AC478">
        <v>7848.7997999999998</v>
      </c>
      <c r="AD478">
        <v>4750.6000999999997</v>
      </c>
      <c r="AE478"/>
      <c r="AF478">
        <v>46112.398000000001</v>
      </c>
      <c r="AG478"/>
    </row>
    <row r="479" spans="1:33" x14ac:dyDescent="0.5">
      <c r="A479" t="s">
        <v>96</v>
      </c>
      <c r="B479">
        <v>1936</v>
      </c>
      <c r="R479">
        <v>19970.900000000001</v>
      </c>
      <c r="T479">
        <v>70006.101999999999</v>
      </c>
      <c r="U479">
        <v>7048.1000999999997</v>
      </c>
      <c r="W479">
        <v>13632</v>
      </c>
      <c r="AC479">
        <v>8737.2998000000007</v>
      </c>
      <c r="AD479">
        <v>5012.6000999999997</v>
      </c>
      <c r="AE479"/>
      <c r="AF479">
        <v>48746.398000000001</v>
      </c>
      <c r="AG479"/>
    </row>
    <row r="480" spans="1:33" x14ac:dyDescent="0.5">
      <c r="A480" t="s">
        <v>96</v>
      </c>
      <c r="B480">
        <v>1937</v>
      </c>
      <c r="R480">
        <v>21265.9</v>
      </c>
      <c r="T480">
        <v>74342.702999999994</v>
      </c>
      <c r="U480">
        <v>6787.7997999999998</v>
      </c>
      <c r="W480">
        <v>14513.8</v>
      </c>
      <c r="AC480">
        <v>9365.5</v>
      </c>
      <c r="AD480">
        <v>4793.3999000000003</v>
      </c>
      <c r="AE480"/>
      <c r="AF480">
        <v>52100.5</v>
      </c>
      <c r="AG480"/>
    </row>
    <row r="481" spans="1:33" x14ac:dyDescent="0.5">
      <c r="A481" t="s">
        <v>96</v>
      </c>
      <c r="B481">
        <v>1938</v>
      </c>
      <c r="R481">
        <v>19789.199000000001</v>
      </c>
      <c r="T481">
        <v>75574.702999999994</v>
      </c>
      <c r="U481">
        <v>6900.6000999999997</v>
      </c>
      <c r="W481">
        <v>13486.3</v>
      </c>
      <c r="AC481">
        <v>8752</v>
      </c>
      <c r="AD481">
        <v>4843.2997999999998</v>
      </c>
      <c r="AE481"/>
      <c r="AF481">
        <v>53244</v>
      </c>
      <c r="AG481"/>
    </row>
    <row r="482" spans="1:33" x14ac:dyDescent="0.5">
      <c r="A482" t="s">
        <v>96</v>
      </c>
      <c r="B482">
        <v>1939</v>
      </c>
      <c r="R482">
        <v>21088.1</v>
      </c>
      <c r="T482">
        <v>80828.5</v>
      </c>
      <c r="U482">
        <v>8007.2002000000002</v>
      </c>
      <c r="W482">
        <v>14430</v>
      </c>
      <c r="AC482">
        <v>9414.5</v>
      </c>
      <c r="AD482">
        <v>5605.3999000000003</v>
      </c>
      <c r="AE482"/>
      <c r="AF482">
        <v>57193.398000000001</v>
      </c>
      <c r="AG482"/>
    </row>
    <row r="483" spans="1:33" x14ac:dyDescent="0.5">
      <c r="A483" t="s">
        <v>96</v>
      </c>
      <c r="B483">
        <v>1940</v>
      </c>
      <c r="R483">
        <v>22837.9</v>
      </c>
      <c r="T483">
        <v>73092.702999999994</v>
      </c>
      <c r="U483">
        <v>5418.8999000000003</v>
      </c>
      <c r="W483">
        <v>15652.7</v>
      </c>
      <c r="AC483">
        <v>10287.1</v>
      </c>
      <c r="AD483">
        <v>3775.1001000000001</v>
      </c>
      <c r="AE483"/>
      <c r="AF483">
        <v>52200.300999999999</v>
      </c>
      <c r="AG483"/>
    </row>
    <row r="484" spans="1:33" x14ac:dyDescent="0.5">
      <c r="A484" t="s">
        <v>96</v>
      </c>
      <c r="B484">
        <v>1941</v>
      </c>
      <c r="R484">
        <v>27388.199000000001</v>
      </c>
      <c r="T484">
        <v>70237.101999999999</v>
      </c>
      <c r="U484">
        <v>5454.5</v>
      </c>
      <c r="W484">
        <v>18559.800999999999</v>
      </c>
      <c r="AC484">
        <v>12267.3</v>
      </c>
      <c r="AD484">
        <v>3747.8998999999999</v>
      </c>
      <c r="AE484"/>
      <c r="AF484">
        <v>50491.199000000001</v>
      </c>
      <c r="AG484"/>
    </row>
    <row r="485" spans="1:33" x14ac:dyDescent="0.5">
      <c r="A485" t="s">
        <v>96</v>
      </c>
      <c r="B485">
        <v>1942</v>
      </c>
      <c r="R485">
        <v>32737.4</v>
      </c>
      <c r="T485">
        <v>71596.202999999994</v>
      </c>
      <c r="U485">
        <v>5237</v>
      </c>
      <c r="W485">
        <v>21946.800999999999</v>
      </c>
      <c r="AC485">
        <v>14574.8</v>
      </c>
      <c r="AD485">
        <v>3633.7</v>
      </c>
      <c r="AE485"/>
      <c r="AF485">
        <v>51584.601999999999</v>
      </c>
      <c r="AG485"/>
    </row>
    <row r="486" spans="1:33" x14ac:dyDescent="0.5">
      <c r="A486" t="s">
        <v>96</v>
      </c>
      <c r="B486">
        <v>1943</v>
      </c>
      <c r="R486">
        <v>37991.199000000001</v>
      </c>
      <c r="T486">
        <v>76309.797000000006</v>
      </c>
      <c r="U486">
        <v>4643.2997999999998</v>
      </c>
      <c r="W486">
        <v>25326.300999999999</v>
      </c>
      <c r="AC486">
        <v>16854.400000000001</v>
      </c>
      <c r="AD486">
        <v>3238.8998999999999</v>
      </c>
      <c r="AE486"/>
      <c r="AF486">
        <v>54979.101999999999</v>
      </c>
      <c r="AG486"/>
    </row>
    <row r="487" spans="1:33" x14ac:dyDescent="0.5">
      <c r="A487" t="s">
        <v>96</v>
      </c>
      <c r="B487">
        <v>1944</v>
      </c>
      <c r="R487">
        <v>39587</v>
      </c>
      <c r="T487">
        <v>78469.202999999994</v>
      </c>
      <c r="U487">
        <v>4143.7002000000002</v>
      </c>
      <c r="W487">
        <v>26143.800999999999</v>
      </c>
      <c r="AC487">
        <v>17450.199000000001</v>
      </c>
      <c r="AD487">
        <v>2906</v>
      </c>
      <c r="AE487"/>
      <c r="AF487">
        <v>56403.898000000001</v>
      </c>
      <c r="AG487"/>
    </row>
    <row r="488" spans="1:33" x14ac:dyDescent="0.5">
      <c r="A488" t="s">
        <v>96</v>
      </c>
      <c r="B488">
        <v>1945</v>
      </c>
      <c r="R488">
        <v>38337.800999999999</v>
      </c>
      <c r="T488">
        <v>82243.797000000006</v>
      </c>
      <c r="U488">
        <v>5275.5</v>
      </c>
      <c r="W488">
        <v>25111.599999999999</v>
      </c>
      <c r="AC488">
        <v>16814.800999999999</v>
      </c>
      <c r="AD488">
        <v>3706.5</v>
      </c>
      <c r="AE488"/>
      <c r="AF488">
        <v>58976.199000000001</v>
      </c>
      <c r="AG488"/>
    </row>
    <row r="489" spans="1:33" x14ac:dyDescent="0.5">
      <c r="A489" t="s">
        <v>96</v>
      </c>
      <c r="B489">
        <v>1946</v>
      </c>
      <c r="R489">
        <v>33788.800999999999</v>
      </c>
      <c r="T489">
        <v>94142.797000000006</v>
      </c>
      <c r="U489">
        <v>6956.1000999999997</v>
      </c>
      <c r="W489">
        <v>21951.800999999999</v>
      </c>
      <c r="AC489">
        <v>14739.1</v>
      </c>
      <c r="AD489">
        <v>4978.3999000000003</v>
      </c>
      <c r="AE489"/>
      <c r="AF489">
        <v>67278.797000000006</v>
      </c>
      <c r="AG489"/>
    </row>
    <row r="490" spans="1:33" x14ac:dyDescent="0.5">
      <c r="A490" t="s">
        <v>96</v>
      </c>
      <c r="B490">
        <v>1947</v>
      </c>
      <c r="R490">
        <v>32761.9</v>
      </c>
      <c r="T490">
        <v>99870.398000000001</v>
      </c>
      <c r="U490">
        <v>6906.2997999999998</v>
      </c>
      <c r="W490">
        <v>21260</v>
      </c>
      <c r="AC490">
        <v>14187.9</v>
      </c>
      <c r="AD490">
        <v>4938.6000999999997</v>
      </c>
      <c r="AE490"/>
      <c r="AF490">
        <v>71131.202999999994</v>
      </c>
      <c r="AG490"/>
    </row>
    <row r="491" spans="1:33" x14ac:dyDescent="0.5">
      <c r="A491" t="s">
        <v>96</v>
      </c>
      <c r="B491">
        <v>1948</v>
      </c>
      <c r="R491">
        <v>34426.398000000001</v>
      </c>
      <c r="T491">
        <v>102884.1</v>
      </c>
      <c r="U491">
        <v>7786.7002000000002</v>
      </c>
      <c r="W491">
        <v>22253.9</v>
      </c>
      <c r="AC491">
        <v>14805.2</v>
      </c>
      <c r="AD491">
        <v>5552.1000999999997</v>
      </c>
      <c r="AE491"/>
      <c r="AF491">
        <v>73052.5</v>
      </c>
      <c r="AG491"/>
    </row>
    <row r="492" spans="1:33" x14ac:dyDescent="0.5">
      <c r="A492" t="s">
        <v>96</v>
      </c>
      <c r="B492">
        <v>1949</v>
      </c>
      <c r="R492">
        <v>33315.601999999999</v>
      </c>
      <c r="T492">
        <v>104999.3</v>
      </c>
      <c r="U492">
        <v>8353.5</v>
      </c>
      <c r="W492">
        <v>21552</v>
      </c>
      <c r="AC492">
        <v>14293.2</v>
      </c>
      <c r="AD492">
        <v>5942.2997999999998</v>
      </c>
      <c r="AE492"/>
      <c r="AF492">
        <v>74345.202999999994</v>
      </c>
      <c r="AG492"/>
    </row>
    <row r="493" spans="1:33" x14ac:dyDescent="0.5">
      <c r="A493" t="s">
        <v>96</v>
      </c>
      <c r="B493">
        <v>1950</v>
      </c>
      <c r="R493">
        <v>36293.199000000001</v>
      </c>
      <c r="S493">
        <v>157825.5</v>
      </c>
      <c r="T493">
        <v>114980.4</v>
      </c>
      <c r="U493">
        <v>8965.2998000000007</v>
      </c>
      <c r="V493">
        <v>113501.5</v>
      </c>
      <c r="W493">
        <v>23467.4</v>
      </c>
      <c r="AC493">
        <v>15505.9</v>
      </c>
      <c r="AD493">
        <v>6357.8999000000003</v>
      </c>
      <c r="AE493">
        <v>109781.7</v>
      </c>
      <c r="AF493">
        <v>81171.398000000001</v>
      </c>
      <c r="AG493">
        <v>80388</v>
      </c>
    </row>
    <row r="494" spans="1:33" x14ac:dyDescent="0.5">
      <c r="A494" t="s">
        <v>96</v>
      </c>
      <c r="B494">
        <v>1951</v>
      </c>
      <c r="R494">
        <v>38844.800999999999</v>
      </c>
      <c r="S494">
        <v>165347.70000000001</v>
      </c>
      <c r="T494">
        <v>120961.3</v>
      </c>
      <c r="U494">
        <v>9402.9004000000004</v>
      </c>
      <c r="V494">
        <v>113102.6</v>
      </c>
      <c r="W494">
        <v>25113.599999999999</v>
      </c>
      <c r="AC494">
        <v>16513.5</v>
      </c>
      <c r="AD494">
        <v>6659.6000999999997</v>
      </c>
      <c r="AE494">
        <v>114579.9</v>
      </c>
      <c r="AF494">
        <v>85338.202999999994</v>
      </c>
      <c r="AG494">
        <v>79974.601999999999</v>
      </c>
    </row>
    <row r="495" spans="1:33" x14ac:dyDescent="0.5">
      <c r="A495" t="s">
        <v>96</v>
      </c>
      <c r="B495">
        <v>1952</v>
      </c>
      <c r="R495">
        <v>39895</v>
      </c>
      <c r="S495">
        <v>169505.2</v>
      </c>
      <c r="T495">
        <v>121143.7</v>
      </c>
      <c r="U495">
        <v>9637</v>
      </c>
      <c r="V495">
        <v>113054.3</v>
      </c>
      <c r="W495">
        <v>25757.699000000001</v>
      </c>
      <c r="AC495">
        <v>16841.900000000001</v>
      </c>
      <c r="AD495">
        <v>6814.2002000000002</v>
      </c>
      <c r="AE495">
        <v>117189.5</v>
      </c>
      <c r="AF495">
        <v>85332.5</v>
      </c>
      <c r="AG495">
        <v>79889</v>
      </c>
    </row>
    <row r="496" spans="1:33" x14ac:dyDescent="0.5">
      <c r="A496" t="s">
        <v>96</v>
      </c>
      <c r="B496">
        <v>1953</v>
      </c>
      <c r="R496">
        <v>41159.101999999999</v>
      </c>
      <c r="S496">
        <v>174875.2</v>
      </c>
      <c r="T496">
        <v>123799.6</v>
      </c>
      <c r="U496">
        <v>9911.0995999999996</v>
      </c>
      <c r="V496">
        <v>119237.9</v>
      </c>
      <c r="W496">
        <v>26564.300999999999</v>
      </c>
      <c r="AC496">
        <v>17249.099999999999</v>
      </c>
      <c r="AD496">
        <v>6998</v>
      </c>
      <c r="AE496">
        <v>120542.6</v>
      </c>
      <c r="AF496">
        <v>86985.601999999999</v>
      </c>
      <c r="AG496">
        <v>84154.601999999999</v>
      </c>
    </row>
    <row r="497" spans="1:33" x14ac:dyDescent="0.5">
      <c r="A497" t="s">
        <v>96</v>
      </c>
      <c r="B497">
        <v>1954</v>
      </c>
      <c r="R497">
        <v>40275.398000000001</v>
      </c>
      <c r="S497">
        <v>182915.7</v>
      </c>
      <c r="T497">
        <v>131133.5</v>
      </c>
      <c r="U497">
        <v>10408</v>
      </c>
      <c r="V497">
        <v>120751</v>
      </c>
      <c r="W497">
        <v>26019.800999999999</v>
      </c>
      <c r="AC497">
        <v>16763.699000000001</v>
      </c>
      <c r="AD497">
        <v>7330.2002000000002</v>
      </c>
      <c r="AE497">
        <v>125569</v>
      </c>
      <c r="AF497">
        <v>91970</v>
      </c>
      <c r="AG497">
        <v>85066.101999999999</v>
      </c>
    </row>
    <row r="498" spans="1:33" x14ac:dyDescent="0.5">
      <c r="A498" t="s">
        <v>96</v>
      </c>
      <c r="B498">
        <v>1955</v>
      </c>
      <c r="R498">
        <v>43104.800999999999</v>
      </c>
      <c r="S498">
        <v>185530.59</v>
      </c>
      <c r="T498">
        <v>131444.91</v>
      </c>
      <c r="U498">
        <v>10903</v>
      </c>
      <c r="V498">
        <v>121083.1</v>
      </c>
      <c r="W498">
        <v>27868.199000000001</v>
      </c>
      <c r="AC498">
        <v>17806.400000000001</v>
      </c>
      <c r="AD498">
        <v>7662.1000999999997</v>
      </c>
      <c r="AE498">
        <v>126778.9</v>
      </c>
      <c r="AF498">
        <v>92023.797000000006</v>
      </c>
      <c r="AG498">
        <v>85155.702999999994</v>
      </c>
    </row>
    <row r="499" spans="1:33" x14ac:dyDescent="0.5">
      <c r="A499" t="s">
        <v>96</v>
      </c>
      <c r="B499">
        <v>1956</v>
      </c>
      <c r="R499">
        <v>43940.898000000001</v>
      </c>
      <c r="S499">
        <v>194811.91</v>
      </c>
      <c r="T499">
        <v>136801</v>
      </c>
      <c r="U499">
        <v>11353.6</v>
      </c>
      <c r="V499">
        <v>121339.8</v>
      </c>
      <c r="W499">
        <v>28405.1</v>
      </c>
      <c r="AC499">
        <v>18014.699000000001</v>
      </c>
      <c r="AD499">
        <v>7953.1000999999997</v>
      </c>
      <c r="AE499">
        <v>132655</v>
      </c>
      <c r="AF499">
        <v>95649.297000000006</v>
      </c>
      <c r="AG499">
        <v>85322.702999999994</v>
      </c>
    </row>
    <row r="500" spans="1:33" x14ac:dyDescent="0.5">
      <c r="A500" t="s">
        <v>96</v>
      </c>
      <c r="B500">
        <v>1957</v>
      </c>
      <c r="R500">
        <v>44005.5</v>
      </c>
      <c r="S500">
        <v>199809.59</v>
      </c>
      <c r="T500">
        <v>139218.20000000001</v>
      </c>
      <c r="U500">
        <v>11908.1</v>
      </c>
      <c r="V500">
        <v>130567.9</v>
      </c>
      <c r="W500">
        <v>28459</v>
      </c>
      <c r="AC500">
        <v>17903.5</v>
      </c>
      <c r="AD500">
        <v>8310.5</v>
      </c>
      <c r="AE500">
        <v>135313.79999999999</v>
      </c>
      <c r="AF500">
        <v>97225.898000000001</v>
      </c>
      <c r="AG500">
        <v>91681.297000000006</v>
      </c>
    </row>
    <row r="501" spans="1:33" x14ac:dyDescent="0.5">
      <c r="A501" t="s">
        <v>96</v>
      </c>
      <c r="B501">
        <v>1958</v>
      </c>
      <c r="R501">
        <v>42770.398000000001</v>
      </c>
      <c r="S501">
        <v>197993.41</v>
      </c>
      <c r="T501">
        <v>142556.20000000001</v>
      </c>
      <c r="U501">
        <v>12136.4</v>
      </c>
      <c r="V501">
        <v>132298</v>
      </c>
      <c r="W501">
        <v>27667.199000000001</v>
      </c>
      <c r="AC501">
        <v>17271.699000000001</v>
      </c>
      <c r="AD501">
        <v>8433.9004000000004</v>
      </c>
      <c r="AE501">
        <v>133326.29999999999</v>
      </c>
      <c r="AF501">
        <v>99549.601999999999</v>
      </c>
      <c r="AG501">
        <v>92785.702999999994</v>
      </c>
    </row>
    <row r="502" spans="1:33" x14ac:dyDescent="0.5">
      <c r="A502" t="s">
        <v>96</v>
      </c>
      <c r="B502">
        <v>1959</v>
      </c>
      <c r="R502">
        <v>45666</v>
      </c>
      <c r="S502">
        <v>205507.3</v>
      </c>
      <c r="T502">
        <v>149562.91</v>
      </c>
      <c r="U502">
        <v>12359.7</v>
      </c>
      <c r="V502">
        <v>141656.29999999999</v>
      </c>
      <c r="W502">
        <v>29358.6</v>
      </c>
      <c r="AC502">
        <v>18269</v>
      </c>
      <c r="AD502">
        <v>8557.2001999999993</v>
      </c>
      <c r="AE502">
        <v>137795.29999999999</v>
      </c>
      <c r="AF502">
        <v>104517.6</v>
      </c>
      <c r="AG502">
        <v>99365.202999999994</v>
      </c>
    </row>
    <row r="503" spans="1:33" x14ac:dyDescent="0.5">
      <c r="A503" t="s">
        <v>96</v>
      </c>
      <c r="B503">
        <v>1960</v>
      </c>
      <c r="R503">
        <v>46612.101999999999</v>
      </c>
      <c r="S503">
        <v>216125.3</v>
      </c>
      <c r="T503">
        <v>156067.41</v>
      </c>
      <c r="U503">
        <v>13249.4</v>
      </c>
      <c r="V503">
        <v>143749.5</v>
      </c>
      <c r="W503">
        <v>29906.6</v>
      </c>
      <c r="AC503">
        <v>18416.699000000001</v>
      </c>
      <c r="AD503">
        <v>9135.7001999999993</v>
      </c>
      <c r="AE503">
        <v>144589.41</v>
      </c>
      <c r="AF503">
        <v>109076</v>
      </c>
      <c r="AG503">
        <v>101015.7</v>
      </c>
    </row>
    <row r="504" spans="1:33" x14ac:dyDescent="0.5">
      <c r="A504" t="s">
        <v>96</v>
      </c>
      <c r="B504">
        <v>1961</v>
      </c>
      <c r="R504">
        <v>46774.601999999999</v>
      </c>
      <c r="S504">
        <v>229848.7</v>
      </c>
      <c r="T504">
        <v>165385.79999999999</v>
      </c>
      <c r="U504">
        <v>13823.3</v>
      </c>
      <c r="V504">
        <v>151603.09</v>
      </c>
      <c r="W504">
        <v>30297.9</v>
      </c>
      <c r="AC504">
        <v>18542.300999999999</v>
      </c>
      <c r="AD504">
        <v>9477.2001999999993</v>
      </c>
      <c r="AE504">
        <v>153118.20000000001</v>
      </c>
      <c r="AF504">
        <v>115722.1</v>
      </c>
      <c r="AG504">
        <v>106535.3</v>
      </c>
    </row>
    <row r="505" spans="1:33" x14ac:dyDescent="0.5">
      <c r="A505" t="s">
        <v>96</v>
      </c>
      <c r="B505">
        <v>1962</v>
      </c>
      <c r="R505">
        <v>48693.898000000001</v>
      </c>
      <c r="S505">
        <v>232806</v>
      </c>
      <c r="T505">
        <v>170657.59</v>
      </c>
      <c r="U505">
        <v>14716.5</v>
      </c>
      <c r="V505">
        <v>158890.79999999999</v>
      </c>
      <c r="W505">
        <v>31816.699000000001</v>
      </c>
      <c r="AC505">
        <v>19396.900000000001</v>
      </c>
      <c r="AD505">
        <v>10020.6</v>
      </c>
      <c r="AE505">
        <v>154805.29999999999</v>
      </c>
      <c r="AF505">
        <v>119796.5</v>
      </c>
      <c r="AG505">
        <v>111863.4</v>
      </c>
    </row>
    <row r="506" spans="1:33" x14ac:dyDescent="0.5">
      <c r="A506" t="s">
        <v>96</v>
      </c>
      <c r="B506">
        <v>1963</v>
      </c>
      <c r="R506">
        <v>50226.898000000001</v>
      </c>
      <c r="S506">
        <v>241468</v>
      </c>
      <c r="T506">
        <v>176884.7</v>
      </c>
      <c r="U506">
        <v>15309.3</v>
      </c>
      <c r="V506">
        <v>157672.41</v>
      </c>
      <c r="W506">
        <v>32891.398000000001</v>
      </c>
      <c r="AC506">
        <v>19998.300999999999</v>
      </c>
      <c r="AD506">
        <v>10380.700000000001</v>
      </c>
      <c r="AE506">
        <v>160600.09</v>
      </c>
      <c r="AF506">
        <v>124712.8</v>
      </c>
      <c r="AG506">
        <v>111369.9</v>
      </c>
    </row>
    <row r="507" spans="1:33" x14ac:dyDescent="0.5">
      <c r="A507" t="s">
        <v>96</v>
      </c>
      <c r="B507">
        <v>1964</v>
      </c>
      <c r="R507">
        <v>52105.5</v>
      </c>
      <c r="S507">
        <v>248597.41</v>
      </c>
      <c r="T507">
        <v>187831.8</v>
      </c>
      <c r="U507">
        <v>16212.8</v>
      </c>
      <c r="V507">
        <v>172807.5</v>
      </c>
      <c r="W507">
        <v>34234.601999999999</v>
      </c>
      <c r="AC507">
        <v>20833.199000000001</v>
      </c>
      <c r="AD507">
        <v>10946.3</v>
      </c>
      <c r="AE507">
        <v>165571.79999999999</v>
      </c>
      <c r="AF507">
        <v>133005.91</v>
      </c>
      <c r="AG507">
        <v>122561.1</v>
      </c>
    </row>
    <row r="508" spans="1:33" x14ac:dyDescent="0.5">
      <c r="A508" t="s">
        <v>96</v>
      </c>
      <c r="B508">
        <v>1965</v>
      </c>
      <c r="R508">
        <v>54760.199000000001</v>
      </c>
      <c r="S508">
        <v>260737.91</v>
      </c>
      <c r="T508">
        <v>192655.8</v>
      </c>
      <c r="U508">
        <v>16850.800999999999</v>
      </c>
      <c r="V508">
        <v>180105</v>
      </c>
      <c r="W508">
        <v>36007.300999999999</v>
      </c>
      <c r="AC508">
        <v>21913.300999999999</v>
      </c>
      <c r="AD508">
        <v>11334</v>
      </c>
      <c r="AE508">
        <v>174030</v>
      </c>
      <c r="AF508">
        <v>137015.20000000001</v>
      </c>
      <c r="AG508">
        <v>128337.5</v>
      </c>
    </row>
    <row r="509" spans="1:33" x14ac:dyDescent="0.5">
      <c r="A509" t="s">
        <v>96</v>
      </c>
      <c r="B509">
        <v>1966</v>
      </c>
      <c r="R509">
        <v>57064.199000000001</v>
      </c>
      <c r="S509">
        <v>269616</v>
      </c>
      <c r="T509">
        <v>196118.8</v>
      </c>
      <c r="U509">
        <v>17614.199000000001</v>
      </c>
      <c r="V509">
        <v>182738.8</v>
      </c>
      <c r="W509">
        <v>37680.199000000001</v>
      </c>
      <c r="AC509">
        <v>22946.300999999999</v>
      </c>
      <c r="AD509">
        <v>11808.6</v>
      </c>
      <c r="AE509">
        <v>180290.7</v>
      </c>
      <c r="AF509">
        <v>140071</v>
      </c>
      <c r="AG509">
        <v>130214.2</v>
      </c>
    </row>
    <row r="510" spans="1:33" x14ac:dyDescent="0.5">
      <c r="A510" t="s">
        <v>96</v>
      </c>
      <c r="B510">
        <v>1967</v>
      </c>
      <c r="R510">
        <v>57862.199000000001</v>
      </c>
      <c r="S510">
        <v>279433.90999999997</v>
      </c>
      <c r="T510">
        <v>204031.7</v>
      </c>
      <c r="U510">
        <v>18230.699000000001</v>
      </c>
      <c r="V510">
        <v>191554.3</v>
      </c>
      <c r="W510">
        <v>38205.699000000001</v>
      </c>
      <c r="AC510">
        <v>23287</v>
      </c>
      <c r="AD510">
        <v>12258.3</v>
      </c>
      <c r="AE510">
        <v>187305.5</v>
      </c>
      <c r="AF510">
        <v>146256.91</v>
      </c>
      <c r="AG510">
        <v>136495.91</v>
      </c>
    </row>
    <row r="511" spans="1:33" x14ac:dyDescent="0.5">
      <c r="A511" t="s">
        <v>96</v>
      </c>
      <c r="B511">
        <v>1968</v>
      </c>
      <c r="R511">
        <v>59829.898000000001</v>
      </c>
      <c r="S511">
        <v>284437.5</v>
      </c>
      <c r="T511">
        <v>210120.91</v>
      </c>
      <c r="U511">
        <v>18745.699000000001</v>
      </c>
      <c r="V511">
        <v>199115.2</v>
      </c>
      <c r="W511">
        <v>39320.699000000001</v>
      </c>
      <c r="AC511">
        <v>24191.800999999999</v>
      </c>
      <c r="AD511">
        <v>12663.2</v>
      </c>
      <c r="AE511">
        <v>191198.09</v>
      </c>
      <c r="AF511">
        <v>151221.70000000001</v>
      </c>
      <c r="AG511">
        <v>141883.5</v>
      </c>
    </row>
    <row r="512" spans="1:33" x14ac:dyDescent="0.5">
      <c r="A512" t="s">
        <v>96</v>
      </c>
      <c r="B512">
        <v>1969</v>
      </c>
      <c r="R512">
        <v>60854</v>
      </c>
      <c r="S512">
        <v>297514.90999999997</v>
      </c>
      <c r="T512">
        <v>218879.09</v>
      </c>
      <c r="U512">
        <v>19802.5</v>
      </c>
      <c r="V512">
        <v>212334.09</v>
      </c>
      <c r="W512">
        <v>39843.800999999999</v>
      </c>
      <c r="AC512">
        <v>24672.9</v>
      </c>
      <c r="AD512">
        <v>13445.7</v>
      </c>
      <c r="AE512">
        <v>200637.59</v>
      </c>
      <c r="AF512">
        <v>158021.09</v>
      </c>
      <c r="AG512">
        <v>151303</v>
      </c>
    </row>
    <row r="513" spans="1:33" x14ac:dyDescent="0.5">
      <c r="A513" t="s">
        <v>96</v>
      </c>
      <c r="B513">
        <v>1970</v>
      </c>
      <c r="R513">
        <v>59457.699000000001</v>
      </c>
      <c r="S513">
        <v>308080.19</v>
      </c>
      <c r="T513">
        <v>224549.09</v>
      </c>
      <c r="U513">
        <v>20717.400000000001</v>
      </c>
      <c r="V513">
        <v>220507.5</v>
      </c>
      <c r="W513">
        <v>38879</v>
      </c>
      <c r="AC513">
        <v>24203.300999999999</v>
      </c>
      <c r="AD513">
        <v>14133</v>
      </c>
      <c r="AE513">
        <v>208501.41</v>
      </c>
      <c r="AF513">
        <v>162491</v>
      </c>
      <c r="AG513">
        <v>157127.09</v>
      </c>
    </row>
    <row r="514" spans="1:33" x14ac:dyDescent="0.5">
      <c r="A514" t="s">
        <v>96</v>
      </c>
      <c r="B514">
        <v>1971</v>
      </c>
      <c r="R514">
        <v>59745.898000000001</v>
      </c>
      <c r="S514">
        <v>322619.90999999997</v>
      </c>
      <c r="T514">
        <v>223664.3</v>
      </c>
      <c r="U514">
        <v>21538.800999999999</v>
      </c>
      <c r="V514">
        <v>223897</v>
      </c>
      <c r="W514">
        <v>39079.601999999999</v>
      </c>
      <c r="AC514">
        <v>24606.6</v>
      </c>
      <c r="AD514">
        <v>14756.7</v>
      </c>
      <c r="AE514">
        <v>218685.3</v>
      </c>
      <c r="AF514">
        <v>162090.70000000001</v>
      </c>
      <c r="AG514">
        <v>159542.41</v>
      </c>
    </row>
    <row r="515" spans="1:33" x14ac:dyDescent="0.5">
      <c r="A515" t="s">
        <v>96</v>
      </c>
      <c r="B515">
        <v>1972</v>
      </c>
      <c r="R515">
        <v>61720.101999999999</v>
      </c>
      <c r="S515">
        <v>332347.5</v>
      </c>
      <c r="T515">
        <v>229257.7</v>
      </c>
      <c r="U515">
        <v>22227.800999999999</v>
      </c>
      <c r="V515">
        <v>233266.7</v>
      </c>
      <c r="W515">
        <v>40505.898000000001</v>
      </c>
      <c r="AC515">
        <v>25759.800999999999</v>
      </c>
      <c r="AD515">
        <v>15266.1</v>
      </c>
      <c r="AE515">
        <v>225470.3</v>
      </c>
      <c r="AF515">
        <v>166331.20000000001</v>
      </c>
      <c r="AG515">
        <v>166218.91</v>
      </c>
    </row>
    <row r="516" spans="1:33" x14ac:dyDescent="0.5">
      <c r="A516" t="s">
        <v>96</v>
      </c>
      <c r="B516">
        <v>1973</v>
      </c>
      <c r="R516">
        <v>64161.601999999999</v>
      </c>
      <c r="S516">
        <v>347818.31</v>
      </c>
      <c r="T516">
        <v>235772.3</v>
      </c>
      <c r="U516">
        <v>23309.599999999999</v>
      </c>
      <c r="V516">
        <v>244116</v>
      </c>
      <c r="W516">
        <v>42196</v>
      </c>
      <c r="AC516">
        <v>27078.199000000001</v>
      </c>
      <c r="AD516">
        <v>16054.3</v>
      </c>
      <c r="AE516">
        <v>236408.8</v>
      </c>
      <c r="AF516">
        <v>171359.41</v>
      </c>
      <c r="AG516">
        <v>173949.8</v>
      </c>
    </row>
    <row r="517" spans="1:33" x14ac:dyDescent="0.5">
      <c r="A517" t="s">
        <v>96</v>
      </c>
      <c r="B517">
        <v>1974</v>
      </c>
      <c r="R517">
        <v>62095</v>
      </c>
      <c r="S517">
        <v>361553.31</v>
      </c>
      <c r="T517">
        <v>236775.5</v>
      </c>
      <c r="U517">
        <v>23985.5</v>
      </c>
      <c r="V517">
        <v>230018.7</v>
      </c>
      <c r="W517">
        <v>41003.800999999999</v>
      </c>
      <c r="AC517">
        <v>26539.300999999999</v>
      </c>
      <c r="AD517">
        <v>16567</v>
      </c>
      <c r="AE517">
        <v>246437.91</v>
      </c>
      <c r="AF517">
        <v>172181.91</v>
      </c>
      <c r="AG517">
        <v>163904.5</v>
      </c>
    </row>
    <row r="518" spans="1:33" x14ac:dyDescent="0.5">
      <c r="A518" t="s">
        <v>96</v>
      </c>
      <c r="B518">
        <v>1975</v>
      </c>
      <c r="R518">
        <v>59819.199000000001</v>
      </c>
      <c r="S518">
        <v>364137.5</v>
      </c>
      <c r="T518">
        <v>253186.5</v>
      </c>
      <c r="U518">
        <v>23538</v>
      </c>
      <c r="V518">
        <v>226524.2</v>
      </c>
      <c r="W518">
        <v>39685.800999999999</v>
      </c>
      <c r="AC518">
        <v>25918.400000000001</v>
      </c>
      <c r="AD518">
        <v>16328.3</v>
      </c>
      <c r="AE518">
        <v>248962.3</v>
      </c>
      <c r="AF518">
        <v>184373.59</v>
      </c>
      <c r="AG518">
        <v>161414.41</v>
      </c>
    </row>
    <row r="519" spans="1:33" x14ac:dyDescent="0.5">
      <c r="A519" t="s">
        <v>96</v>
      </c>
      <c r="B519">
        <v>1976</v>
      </c>
      <c r="R519">
        <v>61810.300999999999</v>
      </c>
      <c r="S519">
        <v>372834.19</v>
      </c>
      <c r="T519">
        <v>259847</v>
      </c>
      <c r="U519">
        <v>24371.300999999999</v>
      </c>
      <c r="V519">
        <v>241792.7</v>
      </c>
      <c r="W519">
        <v>41134.699000000001</v>
      </c>
      <c r="AC519">
        <v>27087</v>
      </c>
      <c r="AD519">
        <v>16978</v>
      </c>
      <c r="AE519">
        <v>255916.09</v>
      </c>
      <c r="AF519">
        <v>189605.59</v>
      </c>
      <c r="AG519">
        <v>172294.3</v>
      </c>
    </row>
    <row r="520" spans="1:33" x14ac:dyDescent="0.5">
      <c r="A520" t="s">
        <v>96</v>
      </c>
      <c r="B520">
        <v>1977</v>
      </c>
      <c r="R520">
        <v>63425.898000000001</v>
      </c>
      <c r="S520">
        <v>374854.81</v>
      </c>
      <c r="T520">
        <v>247377.41</v>
      </c>
      <c r="U520">
        <v>24887.300999999999</v>
      </c>
      <c r="V520">
        <v>245637.7</v>
      </c>
      <c r="W520">
        <v>42405.398000000001</v>
      </c>
      <c r="AC520">
        <v>28163.599999999999</v>
      </c>
      <c r="AD520">
        <v>17426.400000000001</v>
      </c>
      <c r="AE520">
        <v>258562.41</v>
      </c>
      <c r="AF520">
        <v>180943.3</v>
      </c>
      <c r="AG520">
        <v>175034.09</v>
      </c>
    </row>
    <row r="521" spans="1:33" x14ac:dyDescent="0.5">
      <c r="A521" t="s">
        <v>96</v>
      </c>
      <c r="B521">
        <v>1978</v>
      </c>
      <c r="R521">
        <v>65401.601999999999</v>
      </c>
      <c r="S521">
        <v>375303.19</v>
      </c>
      <c r="T521">
        <v>254229.7</v>
      </c>
      <c r="U521">
        <v>25634.6</v>
      </c>
      <c r="V521">
        <v>253401.09</v>
      </c>
      <c r="W521">
        <v>43915.300999999999</v>
      </c>
      <c r="AC521">
        <v>29419.5</v>
      </c>
      <c r="AD521">
        <v>18038.300999999999</v>
      </c>
      <c r="AE521">
        <v>260186.2</v>
      </c>
      <c r="AF521">
        <v>186453.09</v>
      </c>
      <c r="AG521">
        <v>180566</v>
      </c>
    </row>
    <row r="522" spans="1:33" x14ac:dyDescent="0.5">
      <c r="A522" t="s">
        <v>96</v>
      </c>
      <c r="B522">
        <v>1979</v>
      </c>
      <c r="R522">
        <v>65360.699000000001</v>
      </c>
      <c r="S522">
        <v>387929.09</v>
      </c>
      <c r="T522">
        <v>260922.59</v>
      </c>
      <c r="U522">
        <v>26321.199000000001</v>
      </c>
      <c r="V522">
        <v>258110.41</v>
      </c>
      <c r="W522">
        <v>44082.800999999999</v>
      </c>
      <c r="AC522">
        <v>29787</v>
      </c>
      <c r="AD522">
        <v>18610.300999999999</v>
      </c>
      <c r="AE522">
        <v>270232</v>
      </c>
      <c r="AF522">
        <v>191780</v>
      </c>
      <c r="AG522">
        <v>183921.8</v>
      </c>
    </row>
    <row r="523" spans="1:33" x14ac:dyDescent="0.5">
      <c r="A523" t="s">
        <v>96</v>
      </c>
      <c r="B523">
        <v>1980</v>
      </c>
      <c r="R523">
        <v>63373.898000000001</v>
      </c>
      <c r="S523">
        <v>409326.09</v>
      </c>
      <c r="T523">
        <v>263454.31</v>
      </c>
      <c r="U523">
        <v>26361</v>
      </c>
      <c r="V523">
        <v>253599.41</v>
      </c>
      <c r="W523">
        <v>42805.199000000001</v>
      </c>
      <c r="AC523">
        <v>29185.4</v>
      </c>
      <c r="AD523">
        <v>18728.5</v>
      </c>
      <c r="AE523">
        <v>286507</v>
      </c>
      <c r="AF523">
        <v>193948.41</v>
      </c>
      <c r="AG523">
        <v>180707.41</v>
      </c>
    </row>
    <row r="524" spans="1:33" x14ac:dyDescent="0.5">
      <c r="A524" t="s">
        <v>96</v>
      </c>
      <c r="B524">
        <v>1981</v>
      </c>
      <c r="R524">
        <v>63788.699000000001</v>
      </c>
      <c r="S524">
        <v>413489.59</v>
      </c>
      <c r="T524">
        <v>261202.09</v>
      </c>
      <c r="U524">
        <v>26266.199000000001</v>
      </c>
      <c r="V524">
        <v>245597.91</v>
      </c>
      <c r="W524">
        <v>43132.800999999999</v>
      </c>
      <c r="AC524">
        <v>29635.599999999999</v>
      </c>
      <c r="AD524">
        <v>18730.599999999999</v>
      </c>
      <c r="AE524">
        <v>290697.69</v>
      </c>
      <c r="AF524">
        <v>192737.91</v>
      </c>
      <c r="AG524">
        <v>175851.41</v>
      </c>
    </row>
    <row r="525" spans="1:33" x14ac:dyDescent="0.5">
      <c r="A525" t="s">
        <v>96</v>
      </c>
      <c r="B525">
        <v>1982</v>
      </c>
      <c r="R525">
        <v>61683.800999999999</v>
      </c>
      <c r="S525">
        <v>407198</v>
      </c>
      <c r="T525">
        <v>257914</v>
      </c>
      <c r="U525">
        <v>26494.5</v>
      </c>
      <c r="V525">
        <v>250823</v>
      </c>
      <c r="W525">
        <v>41718.800999999999</v>
      </c>
      <c r="AC525">
        <v>28864.199000000001</v>
      </c>
      <c r="AD525">
        <v>18971.099999999999</v>
      </c>
      <c r="AE525">
        <v>287595.90999999997</v>
      </c>
      <c r="AF525">
        <v>190879.59</v>
      </c>
      <c r="AG525">
        <v>180644.5</v>
      </c>
    </row>
    <row r="526" spans="1:33" x14ac:dyDescent="0.5">
      <c r="A526" t="s">
        <v>96</v>
      </c>
      <c r="B526">
        <v>1983</v>
      </c>
      <c r="R526">
        <v>62577.300999999999</v>
      </c>
      <c r="S526">
        <v>420713.91</v>
      </c>
      <c r="T526">
        <v>262207.19</v>
      </c>
      <c r="U526">
        <v>26394.699000000001</v>
      </c>
      <c r="V526">
        <v>257749.3</v>
      </c>
      <c r="W526">
        <v>42399.300999999999</v>
      </c>
      <c r="AC526">
        <v>29516.9</v>
      </c>
      <c r="AD526">
        <v>18963.300999999999</v>
      </c>
      <c r="AE526">
        <v>298520.19</v>
      </c>
      <c r="AF526">
        <v>194807.59</v>
      </c>
      <c r="AG526">
        <v>186802.41</v>
      </c>
    </row>
    <row r="527" spans="1:33" x14ac:dyDescent="0.5">
      <c r="A527" t="s">
        <v>96</v>
      </c>
      <c r="B527">
        <v>1984</v>
      </c>
      <c r="R527">
        <v>66665.202999999994</v>
      </c>
      <c r="S527">
        <v>446111.31</v>
      </c>
      <c r="T527">
        <v>271544.5</v>
      </c>
      <c r="U527">
        <v>26500.9</v>
      </c>
      <c r="V527">
        <v>266335.31</v>
      </c>
      <c r="W527">
        <v>45227.199000000001</v>
      </c>
      <c r="AC527">
        <v>31692.300999999999</v>
      </c>
      <c r="AD527">
        <v>19132</v>
      </c>
      <c r="AE527">
        <v>318184.59000000003</v>
      </c>
      <c r="AF527">
        <v>202757.91</v>
      </c>
      <c r="AG527">
        <v>194526</v>
      </c>
    </row>
    <row r="528" spans="1:33" x14ac:dyDescent="0.5">
      <c r="A528" t="s">
        <v>96</v>
      </c>
      <c r="B528">
        <v>1985</v>
      </c>
      <c r="R528">
        <v>67685.398000000001</v>
      </c>
      <c r="S528">
        <v>471731.19</v>
      </c>
      <c r="T528">
        <v>277675.09000000003</v>
      </c>
      <c r="U528">
        <v>26852.9</v>
      </c>
      <c r="V528">
        <v>275889.90999999997</v>
      </c>
      <c r="W528">
        <v>46035.898000000001</v>
      </c>
      <c r="AC528">
        <v>32466.6</v>
      </c>
      <c r="AD528">
        <v>19483.400000000001</v>
      </c>
      <c r="AE528">
        <v>338399.19</v>
      </c>
      <c r="AF528">
        <v>208216.5</v>
      </c>
      <c r="AG528">
        <v>203077</v>
      </c>
    </row>
    <row r="529" spans="1:33" x14ac:dyDescent="0.5">
      <c r="A529" t="s">
        <v>96</v>
      </c>
      <c r="B529">
        <v>1986</v>
      </c>
      <c r="R529">
        <v>68025.5</v>
      </c>
      <c r="S529">
        <v>479545.19</v>
      </c>
      <c r="T529">
        <v>294103.19</v>
      </c>
      <c r="U529">
        <v>27451.699000000001</v>
      </c>
      <c r="V529">
        <v>292032.90999999997</v>
      </c>
      <c r="W529">
        <v>46469.800999999999</v>
      </c>
      <c r="AC529">
        <v>32930</v>
      </c>
      <c r="AD529">
        <v>20007.599999999999</v>
      </c>
      <c r="AE529">
        <v>345933.31</v>
      </c>
      <c r="AF529">
        <v>221336.09</v>
      </c>
      <c r="AG529">
        <v>216658</v>
      </c>
    </row>
    <row r="530" spans="1:33" x14ac:dyDescent="0.5">
      <c r="A530" t="s">
        <v>96</v>
      </c>
      <c r="B530">
        <v>1987</v>
      </c>
      <c r="R530">
        <v>69693.202999999994</v>
      </c>
      <c r="S530">
        <v>479717.31</v>
      </c>
      <c r="T530">
        <v>301866.19</v>
      </c>
      <c r="U530">
        <v>27963.699000000001</v>
      </c>
      <c r="V530">
        <v>289961.5</v>
      </c>
      <c r="W530">
        <v>47918.699000000001</v>
      </c>
      <c r="AC530">
        <v>34048.5</v>
      </c>
      <c r="AD530">
        <v>20467.400000000001</v>
      </c>
      <c r="AE530">
        <v>348023.5</v>
      </c>
      <c r="AF530">
        <v>227865.8</v>
      </c>
      <c r="AG530">
        <v>216836.5</v>
      </c>
    </row>
    <row r="531" spans="1:33" x14ac:dyDescent="0.5">
      <c r="A531" t="s">
        <v>96</v>
      </c>
      <c r="B531">
        <v>1988</v>
      </c>
      <c r="R531">
        <v>72173.601999999999</v>
      </c>
      <c r="S531">
        <v>462304.19</v>
      </c>
      <c r="T531">
        <v>308536.59000000003</v>
      </c>
      <c r="U531">
        <v>29012.400000000001</v>
      </c>
      <c r="V531">
        <v>284353.69</v>
      </c>
      <c r="W531">
        <v>49937.199000000001</v>
      </c>
      <c r="AC531">
        <v>35526.898000000001</v>
      </c>
      <c r="AD531">
        <v>21319.300999999999</v>
      </c>
      <c r="AE531">
        <v>337113.59</v>
      </c>
      <c r="AF531">
        <v>233090.41</v>
      </c>
      <c r="AG531">
        <v>213912.91</v>
      </c>
    </row>
    <row r="532" spans="1:33" x14ac:dyDescent="0.5">
      <c r="A532" t="s">
        <v>96</v>
      </c>
      <c r="B532">
        <v>1989</v>
      </c>
      <c r="R532">
        <v>72459.702999999994</v>
      </c>
      <c r="S532">
        <v>462364.31</v>
      </c>
      <c r="T532">
        <v>316661.40999999997</v>
      </c>
      <c r="U532">
        <v>29911</v>
      </c>
      <c r="V532">
        <v>283646.31</v>
      </c>
      <c r="W532">
        <v>50542.601999999999</v>
      </c>
      <c r="AC532">
        <v>35970.101999999999</v>
      </c>
      <c r="AD532">
        <v>22064.800999999999</v>
      </c>
      <c r="AE532">
        <v>338700.81</v>
      </c>
      <c r="AF532">
        <v>239109.3</v>
      </c>
      <c r="AG532">
        <v>214216.91</v>
      </c>
    </row>
    <row r="533" spans="1:33" x14ac:dyDescent="0.5">
      <c r="A533" t="s">
        <v>96</v>
      </c>
      <c r="B533">
        <v>1990</v>
      </c>
      <c r="R533">
        <v>71976.601999999999</v>
      </c>
      <c r="S533">
        <v>469671.31</v>
      </c>
      <c r="T533">
        <v>310654.5</v>
      </c>
      <c r="U533">
        <v>30410.1</v>
      </c>
      <c r="V533">
        <v>285730.5</v>
      </c>
      <c r="W533">
        <v>50516.5</v>
      </c>
      <c r="AC533">
        <v>36015.398000000001</v>
      </c>
      <c r="AD533">
        <v>22526.9</v>
      </c>
      <c r="AE533">
        <v>345408.91</v>
      </c>
      <c r="AF533">
        <v>234298.5</v>
      </c>
      <c r="AG533">
        <v>216337.91</v>
      </c>
    </row>
    <row r="534" spans="1:33" x14ac:dyDescent="0.5">
      <c r="A534" t="s">
        <v>96</v>
      </c>
      <c r="B534">
        <v>1991</v>
      </c>
      <c r="R534">
        <v>70650.898000000001</v>
      </c>
      <c r="S534">
        <v>481035</v>
      </c>
      <c r="T534">
        <v>304640.81</v>
      </c>
      <c r="U534">
        <v>30205.199000000001</v>
      </c>
      <c r="V534">
        <v>286267.90999999997</v>
      </c>
      <c r="W534">
        <v>49498.898000000001</v>
      </c>
      <c r="AC534">
        <v>35333.898000000001</v>
      </c>
      <c r="AD534">
        <v>22483.1</v>
      </c>
      <c r="AE534">
        <v>354589.59</v>
      </c>
      <c r="AF534">
        <v>229668.5</v>
      </c>
      <c r="AG534">
        <v>217185.5</v>
      </c>
    </row>
    <row r="535" spans="1:33" x14ac:dyDescent="0.5">
      <c r="A535" t="s">
        <v>96</v>
      </c>
      <c r="B535">
        <v>1992</v>
      </c>
      <c r="R535">
        <v>72059</v>
      </c>
      <c r="S535">
        <v>500305.91</v>
      </c>
      <c r="T535">
        <v>293133.90999999997</v>
      </c>
      <c r="U535">
        <v>30457</v>
      </c>
      <c r="V535">
        <v>294078.09000000003</v>
      </c>
      <c r="W535">
        <v>50470.800999999999</v>
      </c>
      <c r="AC535">
        <v>36036.300999999999</v>
      </c>
      <c r="AD535">
        <v>22789</v>
      </c>
      <c r="AE535">
        <v>369851.81</v>
      </c>
      <c r="AF535">
        <v>220894.91</v>
      </c>
      <c r="AG535">
        <v>223734.8</v>
      </c>
    </row>
    <row r="536" spans="1:33" x14ac:dyDescent="0.5">
      <c r="A536" t="s">
        <v>96</v>
      </c>
      <c r="B536">
        <v>1993</v>
      </c>
      <c r="R536">
        <v>72668.5</v>
      </c>
      <c r="S536">
        <v>509376.41</v>
      </c>
      <c r="T536">
        <v>277680.19</v>
      </c>
      <c r="U536">
        <v>29943.5</v>
      </c>
      <c r="V536">
        <v>292343.81</v>
      </c>
      <c r="W536">
        <v>50886.898000000001</v>
      </c>
      <c r="AC536">
        <v>36302.699000000001</v>
      </c>
      <c r="AD536">
        <v>22525.300999999999</v>
      </c>
      <c r="AE536">
        <v>377565</v>
      </c>
      <c r="AF536">
        <v>209168.7</v>
      </c>
      <c r="AG536">
        <v>222908.3</v>
      </c>
    </row>
    <row r="537" spans="1:33" x14ac:dyDescent="0.5">
      <c r="A537" t="s">
        <v>96</v>
      </c>
      <c r="B537">
        <v>1994</v>
      </c>
      <c r="R537">
        <v>75011</v>
      </c>
      <c r="S537">
        <v>537556.81000000006</v>
      </c>
      <c r="T537">
        <v>294381</v>
      </c>
      <c r="U537">
        <v>30370.1</v>
      </c>
      <c r="V537">
        <v>306148.09000000003</v>
      </c>
      <c r="W537">
        <v>52543</v>
      </c>
      <c r="AC537">
        <v>37445.898000000001</v>
      </c>
      <c r="AD537">
        <v>22963</v>
      </c>
      <c r="AE537">
        <v>398987.09</v>
      </c>
      <c r="AF537">
        <v>221760.8</v>
      </c>
      <c r="AG537">
        <v>233760.41</v>
      </c>
    </row>
    <row r="538" spans="1:33" x14ac:dyDescent="0.5">
      <c r="A538" t="s">
        <v>96</v>
      </c>
      <c r="B538">
        <v>1995</v>
      </c>
      <c r="R538">
        <v>76755.898000000001</v>
      </c>
      <c r="S538">
        <v>561722.88</v>
      </c>
      <c r="T538">
        <v>312695.5</v>
      </c>
      <c r="U538">
        <v>30850.6</v>
      </c>
      <c r="V538">
        <v>311829.69</v>
      </c>
      <c r="W538">
        <v>53708.398000000001</v>
      </c>
      <c r="AC538">
        <v>38260.601999999999</v>
      </c>
      <c r="AD538">
        <v>23413.1</v>
      </c>
      <c r="AE538">
        <v>417541.91</v>
      </c>
      <c r="AF538">
        <v>235840.09</v>
      </c>
      <c r="AG538">
        <v>238332.2</v>
      </c>
    </row>
    <row r="539" spans="1:33" x14ac:dyDescent="0.5">
      <c r="A539" t="s">
        <v>96</v>
      </c>
      <c r="B539">
        <v>1996</v>
      </c>
      <c r="R539">
        <v>78992.202999999994</v>
      </c>
      <c r="S539">
        <v>592327.88</v>
      </c>
      <c r="T539">
        <v>320526.40999999997</v>
      </c>
      <c r="U539">
        <v>31293.9</v>
      </c>
      <c r="V539">
        <v>320753.5</v>
      </c>
      <c r="W539">
        <v>55405.300999999999</v>
      </c>
      <c r="AC539">
        <v>39449.898000000001</v>
      </c>
      <c r="AD539">
        <v>23798.199000000001</v>
      </c>
      <c r="AE539">
        <v>440410.81</v>
      </c>
      <c r="AF539">
        <v>242070.09</v>
      </c>
      <c r="AG539">
        <v>245266.91</v>
      </c>
    </row>
    <row r="540" spans="1:33" x14ac:dyDescent="0.5">
      <c r="A540" t="s">
        <v>96</v>
      </c>
      <c r="B540">
        <v>1997</v>
      </c>
      <c r="R540">
        <v>81821.101999999999</v>
      </c>
      <c r="S540">
        <v>624642.63</v>
      </c>
      <c r="T540">
        <v>328735.19</v>
      </c>
      <c r="U540">
        <v>32037</v>
      </c>
      <c r="V540">
        <v>329892.59000000003</v>
      </c>
      <c r="W540">
        <v>57424.5</v>
      </c>
      <c r="AC540">
        <v>40903</v>
      </c>
      <c r="AD540">
        <v>24399.300999999999</v>
      </c>
      <c r="AE540">
        <v>464155.09</v>
      </c>
      <c r="AF540">
        <v>248588.59</v>
      </c>
      <c r="AG540">
        <v>252192.7</v>
      </c>
    </row>
    <row r="541" spans="1:33" x14ac:dyDescent="0.5">
      <c r="A541" t="s">
        <v>96</v>
      </c>
      <c r="B541">
        <v>1998</v>
      </c>
      <c r="R541">
        <v>84889.5</v>
      </c>
      <c r="S541">
        <v>631928</v>
      </c>
      <c r="T541">
        <v>349833.59</v>
      </c>
      <c r="U541">
        <v>33101</v>
      </c>
      <c r="V541">
        <v>336325.69</v>
      </c>
      <c r="W541">
        <v>59624.699000000001</v>
      </c>
      <c r="AC541">
        <v>42490.199000000001</v>
      </c>
      <c r="AD541">
        <v>25262.800999999999</v>
      </c>
      <c r="AE541">
        <v>469034.81</v>
      </c>
      <c r="AF541">
        <v>264789.40999999997</v>
      </c>
      <c r="AG541">
        <v>256949.09</v>
      </c>
    </row>
    <row r="542" spans="1:33" x14ac:dyDescent="0.5">
      <c r="A542" t="s">
        <v>96</v>
      </c>
      <c r="B542">
        <v>1999</v>
      </c>
      <c r="R542">
        <v>87586.601999999999</v>
      </c>
      <c r="S542">
        <v>645338.13</v>
      </c>
      <c r="T542">
        <v>363580.31</v>
      </c>
      <c r="U542">
        <v>34298.601999999999</v>
      </c>
      <c r="V542">
        <v>345842.09</v>
      </c>
      <c r="W542">
        <v>61418.300999999999</v>
      </c>
      <c r="AC542">
        <v>43811.898000000001</v>
      </c>
      <c r="AD542">
        <v>26220.9</v>
      </c>
      <c r="AE542">
        <v>478734.5</v>
      </c>
      <c r="AF542">
        <v>275596.90999999997</v>
      </c>
      <c r="AG542">
        <v>264144.69</v>
      </c>
    </row>
    <row r="543" spans="1:33" x14ac:dyDescent="0.5">
      <c r="A543" t="s">
        <v>96</v>
      </c>
      <c r="B543">
        <v>2000</v>
      </c>
      <c r="R543">
        <v>90120.101999999999</v>
      </c>
      <c r="S543">
        <v>671558.13</v>
      </c>
      <c r="T543">
        <v>380066.81</v>
      </c>
      <c r="U543">
        <v>35211.5</v>
      </c>
      <c r="V543">
        <v>354927.09</v>
      </c>
      <c r="W543">
        <v>63442.300999999999</v>
      </c>
      <c r="AC543">
        <v>45301</v>
      </c>
      <c r="AD543">
        <v>26965.5</v>
      </c>
      <c r="AE543">
        <v>497598.09</v>
      </c>
      <c r="AF543">
        <v>288529.5</v>
      </c>
      <c r="AG543">
        <v>270858.31</v>
      </c>
    </row>
    <row r="544" spans="1:33" x14ac:dyDescent="0.5">
      <c r="A544" t="s">
        <v>96</v>
      </c>
      <c r="B544">
        <v>2001</v>
      </c>
      <c r="R544">
        <v>89091.702999999994</v>
      </c>
      <c r="S544">
        <v>691697.81</v>
      </c>
      <c r="T544">
        <v>381461.5</v>
      </c>
      <c r="U544">
        <v>35447.601999999999</v>
      </c>
      <c r="V544">
        <v>358295.81</v>
      </c>
      <c r="W544">
        <v>63149.601999999999</v>
      </c>
      <c r="AC544">
        <v>45116.5</v>
      </c>
      <c r="AD544">
        <v>27209.4</v>
      </c>
      <c r="AE544">
        <v>512240.69</v>
      </c>
      <c r="AF544">
        <v>289861.69</v>
      </c>
      <c r="AG544">
        <v>272996.59000000003</v>
      </c>
    </row>
    <row r="545" spans="1:33" x14ac:dyDescent="0.5">
      <c r="A545" t="s">
        <v>96</v>
      </c>
      <c r="B545">
        <v>2002</v>
      </c>
      <c r="R545">
        <v>88353.398000000001</v>
      </c>
      <c r="S545">
        <v>697164.69</v>
      </c>
      <c r="T545">
        <v>385904.09</v>
      </c>
      <c r="U545">
        <v>35103.300999999999</v>
      </c>
      <c r="V545">
        <v>360872.31</v>
      </c>
      <c r="W545">
        <v>63001.101999999999</v>
      </c>
      <c r="AC545">
        <v>45114.199000000001</v>
      </c>
      <c r="AD545">
        <v>27010.5</v>
      </c>
      <c r="AE545">
        <v>516172.19</v>
      </c>
      <c r="AF545">
        <v>293357.81</v>
      </c>
      <c r="AG545">
        <v>274306.59000000003</v>
      </c>
    </row>
    <row r="546" spans="1:33" x14ac:dyDescent="0.5">
      <c r="A546" t="s">
        <v>96</v>
      </c>
      <c r="B546">
        <v>2003</v>
      </c>
      <c r="R546">
        <v>89091.797000000006</v>
      </c>
      <c r="S546">
        <v>704786.13</v>
      </c>
      <c r="T546">
        <v>405207.59</v>
      </c>
      <c r="U546">
        <v>35095.5</v>
      </c>
      <c r="V546">
        <v>363100.69</v>
      </c>
      <c r="W546">
        <v>63690.5</v>
      </c>
      <c r="AC546">
        <v>45715.800999999999</v>
      </c>
      <c r="AD546">
        <v>27066.800999999999</v>
      </c>
      <c r="AE546">
        <v>521724.09</v>
      </c>
      <c r="AF546">
        <v>308042.19</v>
      </c>
      <c r="AG546">
        <v>275432.40999999997</v>
      </c>
    </row>
    <row r="547" spans="1:33" x14ac:dyDescent="0.5">
      <c r="A547" t="s">
        <v>96</v>
      </c>
      <c r="B547">
        <v>2004</v>
      </c>
      <c r="R547">
        <v>91300.297000000006</v>
      </c>
      <c r="S547">
        <v>731618.38</v>
      </c>
      <c r="T547">
        <v>417076.81</v>
      </c>
      <c r="U547">
        <v>35841.601999999999</v>
      </c>
      <c r="V547">
        <v>378834.91</v>
      </c>
      <c r="W547">
        <v>65471.5</v>
      </c>
      <c r="AC547">
        <v>47095.300999999999</v>
      </c>
      <c r="AD547">
        <v>27674.400000000001</v>
      </c>
      <c r="AE547">
        <v>541362.88</v>
      </c>
      <c r="AF547">
        <v>317184.59000000003</v>
      </c>
      <c r="AG547">
        <v>286704.59000000003</v>
      </c>
    </row>
    <row r="548" spans="1:33" x14ac:dyDescent="0.5">
      <c r="A548" t="s">
        <v>96</v>
      </c>
      <c r="B548">
        <v>2005</v>
      </c>
      <c r="R548">
        <v>93215.898000000001</v>
      </c>
      <c r="S548">
        <v>760869.19</v>
      </c>
      <c r="T548">
        <v>429832.91</v>
      </c>
      <c r="U548">
        <v>36159.398000000001</v>
      </c>
      <c r="V548">
        <v>395505.41</v>
      </c>
      <c r="W548">
        <v>66984.202999999994</v>
      </c>
      <c r="AC548">
        <v>48281.5</v>
      </c>
      <c r="AD548">
        <v>27960</v>
      </c>
      <c r="AE548">
        <v>562926.5</v>
      </c>
      <c r="AF548">
        <v>327257.5</v>
      </c>
      <c r="AG548">
        <v>298830.69</v>
      </c>
    </row>
    <row r="549" spans="1:33" x14ac:dyDescent="0.5">
      <c r="A549" t="s">
        <v>96</v>
      </c>
      <c r="B549">
        <v>2006</v>
      </c>
      <c r="R549">
        <v>95161.702999999994</v>
      </c>
      <c r="S549">
        <v>767482.81</v>
      </c>
      <c r="T549">
        <v>454797.81</v>
      </c>
      <c r="U549">
        <v>36737.800999999999</v>
      </c>
      <c r="V549">
        <v>412394.31</v>
      </c>
      <c r="W549">
        <v>68662.101999999999</v>
      </c>
      <c r="AC549">
        <v>49608.5</v>
      </c>
      <c r="AD549">
        <v>28449</v>
      </c>
      <c r="AE549">
        <v>568015.18999999994</v>
      </c>
      <c r="AF549">
        <v>346538.31</v>
      </c>
      <c r="AG549">
        <v>311330</v>
      </c>
    </row>
    <row r="550" spans="1:33" x14ac:dyDescent="0.5">
      <c r="A550" t="s">
        <v>96</v>
      </c>
      <c r="B550">
        <v>2007</v>
      </c>
      <c r="R550">
        <v>93959.202999999994</v>
      </c>
      <c r="S550">
        <v>773289.19</v>
      </c>
      <c r="T550">
        <v>466195.31</v>
      </c>
      <c r="U550">
        <v>37296.398000000001</v>
      </c>
      <c r="V550">
        <v>408065.41</v>
      </c>
      <c r="W550">
        <v>67787</v>
      </c>
      <c r="AC550">
        <v>49084.300999999999</v>
      </c>
      <c r="AD550">
        <v>28925.699000000001</v>
      </c>
      <c r="AE550">
        <v>572712</v>
      </c>
      <c r="AF550">
        <v>355584.81</v>
      </c>
      <c r="AG550">
        <v>307906.69</v>
      </c>
    </row>
    <row r="551" spans="1:33" x14ac:dyDescent="0.5">
      <c r="A551" t="s">
        <v>96</v>
      </c>
      <c r="B551">
        <v>2008</v>
      </c>
      <c r="R551">
        <v>91406.898000000001</v>
      </c>
      <c r="S551">
        <v>764781.88</v>
      </c>
      <c r="T551">
        <v>468515.59</v>
      </c>
      <c r="U551">
        <v>36864.300999999999</v>
      </c>
      <c r="V551">
        <v>406617.59</v>
      </c>
      <c r="W551">
        <v>66281.797000000006</v>
      </c>
      <c r="AC551">
        <v>48073.898000000001</v>
      </c>
      <c r="AD551">
        <v>28646.699000000001</v>
      </c>
      <c r="AE551">
        <v>567346.18999999994</v>
      </c>
      <c r="AF551">
        <v>357980.69</v>
      </c>
      <c r="AG551">
        <v>306802.40999999997</v>
      </c>
    </row>
    <row r="552" spans="1:33" x14ac:dyDescent="0.5">
      <c r="A552" t="s">
        <v>96</v>
      </c>
      <c r="B552">
        <v>2009</v>
      </c>
      <c r="R552">
        <v>87505.5</v>
      </c>
      <c r="S552">
        <v>730550.31</v>
      </c>
      <c r="T552">
        <v>432927.69</v>
      </c>
      <c r="U552">
        <v>35102.800999999999</v>
      </c>
      <c r="V552">
        <v>382126.31</v>
      </c>
      <c r="W552">
        <v>63255.101999999999</v>
      </c>
      <c r="AC552">
        <v>45965.5</v>
      </c>
      <c r="AD552">
        <v>27322</v>
      </c>
      <c r="AE552">
        <v>543099.88</v>
      </c>
      <c r="AF552">
        <v>331518.09000000003</v>
      </c>
      <c r="AG552">
        <v>288456.31</v>
      </c>
    </row>
    <row r="553" spans="1:33" x14ac:dyDescent="0.5">
      <c r="A553" t="s">
        <v>96</v>
      </c>
      <c r="B553">
        <v>2010</v>
      </c>
      <c r="R553">
        <v>89004.5</v>
      </c>
      <c r="S553">
        <v>732115</v>
      </c>
      <c r="T553">
        <v>454132.69</v>
      </c>
      <c r="U553">
        <v>35763.898000000001</v>
      </c>
      <c r="V553">
        <v>395494.5</v>
      </c>
      <c r="W553">
        <v>64700.398000000001</v>
      </c>
      <c r="AC553">
        <v>47135.898000000001</v>
      </c>
      <c r="AD553">
        <v>27861.699000000001</v>
      </c>
      <c r="AE553">
        <v>545287.63</v>
      </c>
      <c r="AF553">
        <v>348814.81</v>
      </c>
      <c r="AG553">
        <v>298867.40999999997</v>
      </c>
    </row>
    <row r="554" spans="1:33" x14ac:dyDescent="0.5">
      <c r="A554" t="s">
        <v>96</v>
      </c>
      <c r="B554">
        <v>2011</v>
      </c>
      <c r="R554">
        <v>90068.898000000001</v>
      </c>
      <c r="S554">
        <v>729583.69</v>
      </c>
      <c r="T554">
        <v>455583.09</v>
      </c>
      <c r="U554">
        <v>36409.199000000001</v>
      </c>
      <c r="V554">
        <v>396280</v>
      </c>
      <c r="W554">
        <v>65743</v>
      </c>
      <c r="AC554">
        <v>47991.699000000001</v>
      </c>
      <c r="AD554">
        <v>28336.699000000001</v>
      </c>
      <c r="AE554">
        <v>544925.5</v>
      </c>
      <c r="AF554">
        <v>351010.81</v>
      </c>
      <c r="AG554">
        <v>299961.19</v>
      </c>
    </row>
    <row r="555" spans="1:33" x14ac:dyDescent="0.5">
      <c r="A555" t="s">
        <v>96</v>
      </c>
      <c r="B555">
        <v>2012</v>
      </c>
      <c r="R555">
        <v>91844.202999999994</v>
      </c>
      <c r="S555">
        <v>737202.13</v>
      </c>
      <c r="T555">
        <v>454356.31</v>
      </c>
      <c r="U555">
        <v>35835.300999999999</v>
      </c>
      <c r="V555">
        <v>395370.69</v>
      </c>
      <c r="W555">
        <v>67306.797000000006</v>
      </c>
      <c r="AC555">
        <v>49232</v>
      </c>
      <c r="AD555">
        <v>27867.599999999999</v>
      </c>
      <c r="AE555">
        <v>552591.38</v>
      </c>
      <c r="AF555">
        <v>350870.41</v>
      </c>
      <c r="AG555">
        <v>300038.31</v>
      </c>
    </row>
    <row r="556" spans="1:33" x14ac:dyDescent="0.5">
      <c r="A556" t="s">
        <v>96</v>
      </c>
      <c r="B556">
        <v>2013</v>
      </c>
      <c r="R556">
        <v>91551.101999999999</v>
      </c>
      <c r="S556">
        <v>732856.81</v>
      </c>
      <c r="T556">
        <v>458775.41</v>
      </c>
      <c r="U556">
        <v>35946.398000000001</v>
      </c>
      <c r="V556">
        <v>402389</v>
      </c>
      <c r="W556">
        <v>67402</v>
      </c>
      <c r="AC556">
        <v>49400.699000000001</v>
      </c>
      <c r="AD556">
        <v>27933.800999999999</v>
      </c>
      <c r="AE556">
        <v>551001.38</v>
      </c>
      <c r="AF556">
        <v>354617</v>
      </c>
      <c r="AG556">
        <v>306448.5</v>
      </c>
    </row>
    <row r="557" spans="1:33" x14ac:dyDescent="0.5">
      <c r="A557" t="s">
        <v>96</v>
      </c>
      <c r="B557">
        <v>2014</v>
      </c>
      <c r="R557">
        <v>93252</v>
      </c>
      <c r="S557">
        <v>751652.31</v>
      </c>
      <c r="T557">
        <v>475011.81</v>
      </c>
      <c r="U557">
        <v>36171.800999999999</v>
      </c>
      <c r="V557">
        <v>411658.91</v>
      </c>
      <c r="W557">
        <v>68841.702999999994</v>
      </c>
      <c r="AC557">
        <v>50557.199000000001</v>
      </c>
      <c r="AD557">
        <v>28093.4</v>
      </c>
      <c r="AE557">
        <v>566772</v>
      </c>
      <c r="AF557">
        <v>367348.81</v>
      </c>
      <c r="AG557">
        <v>314698.40999999997</v>
      </c>
    </row>
    <row r="558" spans="1:33" x14ac:dyDescent="0.5">
      <c r="A558" t="s">
        <v>96</v>
      </c>
      <c r="B558">
        <v>2015</v>
      </c>
      <c r="S558">
        <v>754891.88</v>
      </c>
      <c r="T558">
        <v>497268.59</v>
      </c>
      <c r="U558">
        <v>36485.898000000001</v>
      </c>
      <c r="V558">
        <v>416460.91</v>
      </c>
      <c r="W558">
        <v>69705.297000000006</v>
      </c>
      <c r="AC558">
        <v>51294.300999999999</v>
      </c>
      <c r="AD558">
        <v>28331.199000000001</v>
      </c>
      <c r="AE558">
        <v>570925.81000000006</v>
      </c>
      <c r="AF558">
        <v>384215.31</v>
      </c>
      <c r="AG558">
        <v>319726.90999999997</v>
      </c>
    </row>
    <row r="559" spans="1:33" x14ac:dyDescent="0.5">
      <c r="A559" t="s">
        <v>96</v>
      </c>
      <c r="B559">
        <v>2016</v>
      </c>
      <c r="S559">
        <v>742871</v>
      </c>
      <c r="T559">
        <v>507191.19</v>
      </c>
      <c r="U559">
        <v>36479</v>
      </c>
      <c r="V559">
        <v>420205.91</v>
      </c>
      <c r="W559">
        <v>69964.601999999999</v>
      </c>
      <c r="AC559">
        <v>51638.398000000001</v>
      </c>
      <c r="AD559">
        <v>28324.699000000001</v>
      </c>
      <c r="AE559">
        <v>563231.38</v>
      </c>
      <c r="AF559">
        <v>390957.31</v>
      </c>
      <c r="AG559">
        <v>323867.5</v>
      </c>
    </row>
    <row r="560" spans="1:33" x14ac:dyDescent="0.5">
      <c r="A560" t="s">
        <v>96</v>
      </c>
      <c r="B560">
        <v>2017</v>
      </c>
      <c r="S560">
        <v>754132.13</v>
      </c>
      <c r="T560">
        <v>513582.81</v>
      </c>
      <c r="U560">
        <v>37729.300999999999</v>
      </c>
      <c r="V560">
        <v>426918.59</v>
      </c>
      <c r="W560">
        <v>70988.101999999999</v>
      </c>
      <c r="AC560">
        <v>52533.601999999999</v>
      </c>
      <c r="AD560">
        <v>29313</v>
      </c>
      <c r="AE560">
        <v>573325.81000000006</v>
      </c>
      <c r="AF560">
        <v>395254.09</v>
      </c>
      <c r="AG560">
        <v>329903</v>
      </c>
    </row>
    <row r="561" spans="1:33" x14ac:dyDescent="0.5">
      <c r="A561" t="s">
        <v>96</v>
      </c>
      <c r="B561">
        <v>2018</v>
      </c>
      <c r="S561">
        <v>754925.13</v>
      </c>
      <c r="T561">
        <v>523091.91</v>
      </c>
      <c r="U561">
        <v>38276.199000000001</v>
      </c>
      <c r="V561">
        <v>430213.09</v>
      </c>
      <c r="W561">
        <v>72471.898000000001</v>
      </c>
      <c r="AC561">
        <v>53770.699000000001</v>
      </c>
      <c r="AD561">
        <v>29772.5</v>
      </c>
      <c r="AE561">
        <v>575677</v>
      </c>
      <c r="AF561">
        <v>401710.5</v>
      </c>
      <c r="AG561">
        <v>333087.81</v>
      </c>
    </row>
    <row r="562" spans="1:33" x14ac:dyDescent="0.5">
      <c r="AC562"/>
      <c r="AD562"/>
      <c r="AE562"/>
      <c r="AF562"/>
      <c r="AG562"/>
    </row>
  </sheetData>
  <hyperlinks>
    <hyperlink ref="H1" location="Index" display="Back to Index" xr:uid="{624F232E-C7B6-4C8D-ABED-0EF83DD4178A}"/>
  </hyperlinks>
  <pageMargins left="0.7" right="0.7" top="0.75" bottom="0.75" header="0.3" footer="0.3"/>
  <pageSetup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83664-C3DF-4FD2-827E-CD6FAA85AD06}">
  <sheetPr codeName="Sheet4"/>
  <dimension ref="A1:J36"/>
  <sheetViews>
    <sheetView topLeftCell="G31" zoomScale="85" zoomScaleNormal="85" workbookViewId="0">
      <selection activeCell="J23" sqref="J23"/>
    </sheetView>
  </sheetViews>
  <sheetFormatPr defaultRowHeight="14.25" x14ac:dyDescent="0.45"/>
  <cols>
    <col min="1" max="11" width="44.375" style="20" customWidth="1"/>
    <col min="12" max="16384" width="9" style="20"/>
  </cols>
  <sheetData>
    <row r="1" spans="1:10" ht="15.75" x14ac:dyDescent="0.45">
      <c r="A1" s="22" t="s">
        <v>81</v>
      </c>
      <c r="B1" s="22" t="s">
        <v>80</v>
      </c>
      <c r="C1" s="22" t="s">
        <v>79</v>
      </c>
      <c r="D1" s="22" t="s">
        <v>78</v>
      </c>
      <c r="E1" s="22" t="s">
        <v>77</v>
      </c>
      <c r="F1" s="22" t="s">
        <v>76</v>
      </c>
      <c r="G1" s="22" t="s">
        <v>75</v>
      </c>
      <c r="H1" s="99" t="s">
        <v>543</v>
      </c>
      <c r="I1" s="22" t="s">
        <v>74</v>
      </c>
      <c r="J1" s="22" t="s">
        <v>73</v>
      </c>
    </row>
    <row r="2" spans="1:10" ht="185.25" x14ac:dyDescent="0.45">
      <c r="A2" s="21" t="s">
        <v>71</v>
      </c>
      <c r="B2" s="21" t="s">
        <v>70</v>
      </c>
      <c r="C2" s="21" t="s">
        <v>56</v>
      </c>
      <c r="D2" s="21" t="s">
        <v>28</v>
      </c>
      <c r="E2" s="21" t="s">
        <v>72</v>
      </c>
      <c r="F2" s="21" t="s">
        <v>54</v>
      </c>
      <c r="G2" s="21" t="s">
        <v>53</v>
      </c>
      <c r="H2" s="21" t="s">
        <v>52</v>
      </c>
      <c r="J2" s="21" t="s">
        <v>60</v>
      </c>
    </row>
    <row r="3" spans="1:10" ht="85.5" x14ac:dyDescent="0.45">
      <c r="A3" s="21" t="s">
        <v>71</v>
      </c>
      <c r="B3" s="21" t="s">
        <v>70</v>
      </c>
      <c r="C3" s="21" t="s">
        <v>50</v>
      </c>
      <c r="D3" s="21" t="s">
        <v>26</v>
      </c>
      <c r="E3" s="21" t="s">
        <v>49</v>
      </c>
      <c r="F3" s="21" t="s">
        <v>48</v>
      </c>
      <c r="G3" s="21" t="s">
        <v>47</v>
      </c>
      <c r="H3" s="21" t="s">
        <v>46</v>
      </c>
      <c r="J3" s="21" t="s">
        <v>60</v>
      </c>
    </row>
    <row r="4" spans="1:10" ht="185.25" x14ac:dyDescent="0.45">
      <c r="A4" s="21" t="s">
        <v>71</v>
      </c>
      <c r="B4" s="21" t="s">
        <v>70</v>
      </c>
      <c r="C4" s="21" t="s">
        <v>59</v>
      </c>
      <c r="D4" s="21" t="s">
        <v>27</v>
      </c>
      <c r="E4" s="21" t="s">
        <v>49</v>
      </c>
      <c r="F4" s="21" t="s">
        <v>58</v>
      </c>
      <c r="G4" s="21" t="s">
        <v>57</v>
      </c>
      <c r="H4" s="21" t="s">
        <v>52</v>
      </c>
      <c r="J4" s="21" t="s">
        <v>60</v>
      </c>
    </row>
    <row r="5" spans="1:10" ht="85.5" x14ac:dyDescent="0.45">
      <c r="A5" s="21" t="s">
        <v>71</v>
      </c>
      <c r="B5" s="21" t="s">
        <v>70</v>
      </c>
      <c r="C5" s="21" t="s">
        <v>50</v>
      </c>
      <c r="D5" s="21" t="s">
        <v>27</v>
      </c>
      <c r="E5" s="21" t="s">
        <v>49</v>
      </c>
      <c r="F5" s="21" t="s">
        <v>48</v>
      </c>
      <c r="G5" s="21" t="s">
        <v>47</v>
      </c>
      <c r="H5" s="21" t="s">
        <v>46</v>
      </c>
      <c r="J5" s="21" t="s">
        <v>60</v>
      </c>
    </row>
    <row r="6" spans="1:10" ht="185.25" x14ac:dyDescent="0.45">
      <c r="A6" s="21" t="s">
        <v>71</v>
      </c>
      <c r="B6" s="21" t="s">
        <v>70</v>
      </c>
      <c r="C6" s="21" t="s">
        <v>59</v>
      </c>
      <c r="D6" s="21" t="s">
        <v>26</v>
      </c>
      <c r="E6" s="21" t="s">
        <v>49</v>
      </c>
      <c r="F6" s="21" t="s">
        <v>58</v>
      </c>
      <c r="G6" s="21" t="s">
        <v>57</v>
      </c>
      <c r="H6" s="21" t="s">
        <v>52</v>
      </c>
      <c r="J6" s="21" t="s">
        <v>60</v>
      </c>
    </row>
    <row r="7" spans="1:10" ht="185.25" x14ac:dyDescent="0.45">
      <c r="A7" s="21" t="s">
        <v>67</v>
      </c>
      <c r="B7" s="21" t="s">
        <v>66</v>
      </c>
      <c r="C7" s="21" t="s">
        <v>56</v>
      </c>
      <c r="D7" s="21" t="s">
        <v>28</v>
      </c>
      <c r="E7" s="26" t="s">
        <v>69</v>
      </c>
      <c r="F7" s="21" t="s">
        <v>54</v>
      </c>
      <c r="G7" s="21" t="s">
        <v>53</v>
      </c>
      <c r="H7" s="21" t="s">
        <v>52</v>
      </c>
      <c r="J7" s="21" t="s">
        <v>65</v>
      </c>
    </row>
    <row r="8" spans="1:10" ht="85.5" x14ac:dyDescent="0.45">
      <c r="A8" s="21" t="s">
        <v>67</v>
      </c>
      <c r="B8" s="21" t="s">
        <v>66</v>
      </c>
      <c r="C8" s="21" t="s">
        <v>50</v>
      </c>
      <c r="D8" s="21" t="s">
        <v>26</v>
      </c>
      <c r="E8" s="21" t="s">
        <v>49</v>
      </c>
      <c r="F8" s="21" t="s">
        <v>48</v>
      </c>
      <c r="G8" s="21" t="s">
        <v>47</v>
      </c>
      <c r="H8" s="21" t="s">
        <v>46</v>
      </c>
      <c r="J8" s="21" t="s">
        <v>68</v>
      </c>
    </row>
    <row r="9" spans="1:10" ht="185.25" x14ac:dyDescent="0.45">
      <c r="A9" s="21" t="s">
        <v>67</v>
      </c>
      <c r="B9" s="21" t="s">
        <v>66</v>
      </c>
      <c r="C9" s="21" t="s">
        <v>59</v>
      </c>
      <c r="D9" s="21" t="s">
        <v>27</v>
      </c>
      <c r="E9" s="21" t="s">
        <v>49</v>
      </c>
      <c r="F9" s="21" t="s">
        <v>58</v>
      </c>
      <c r="G9" s="21" t="s">
        <v>57</v>
      </c>
      <c r="H9" s="21" t="s">
        <v>52</v>
      </c>
      <c r="J9" s="21" t="s">
        <v>65</v>
      </c>
    </row>
    <row r="10" spans="1:10" ht="85.5" x14ac:dyDescent="0.45">
      <c r="A10" s="21" t="s">
        <v>67</v>
      </c>
      <c r="B10" s="21" t="s">
        <v>66</v>
      </c>
      <c r="C10" s="21" t="s">
        <v>50</v>
      </c>
      <c r="D10" s="21" t="s">
        <v>27</v>
      </c>
      <c r="E10" s="21" t="s">
        <v>49</v>
      </c>
      <c r="F10" s="21" t="s">
        <v>48</v>
      </c>
      <c r="G10" s="21" t="s">
        <v>47</v>
      </c>
      <c r="H10" s="21" t="s">
        <v>46</v>
      </c>
      <c r="J10" s="21" t="s">
        <v>68</v>
      </c>
    </row>
    <row r="11" spans="1:10" ht="185.25" x14ac:dyDescent="0.45">
      <c r="A11" s="21" t="s">
        <v>67</v>
      </c>
      <c r="B11" s="21" t="s">
        <v>66</v>
      </c>
      <c r="C11" s="21" t="s">
        <v>59</v>
      </c>
      <c r="D11" s="21" t="s">
        <v>26</v>
      </c>
      <c r="E11" s="21" t="s">
        <v>49</v>
      </c>
      <c r="F11" s="21" t="s">
        <v>58</v>
      </c>
      <c r="G11" s="21" t="s">
        <v>57</v>
      </c>
      <c r="H11" s="21" t="s">
        <v>52</v>
      </c>
      <c r="J11" s="21" t="s">
        <v>65</v>
      </c>
    </row>
    <row r="12" spans="1:10" ht="85.5" x14ac:dyDescent="0.45">
      <c r="A12" s="21" t="s">
        <v>64</v>
      </c>
      <c r="B12" s="21" t="s">
        <v>6</v>
      </c>
      <c r="C12" s="21" t="s">
        <v>50</v>
      </c>
      <c r="D12" s="21" t="s">
        <v>26</v>
      </c>
      <c r="E12" s="21" t="s">
        <v>49</v>
      </c>
      <c r="F12" s="21" t="s">
        <v>48</v>
      </c>
      <c r="G12" s="21" t="s">
        <v>47</v>
      </c>
      <c r="H12" s="21" t="s">
        <v>46</v>
      </c>
      <c r="J12" s="21" t="s">
        <v>60</v>
      </c>
    </row>
    <row r="13" spans="1:10" ht="85.5" x14ac:dyDescent="0.45">
      <c r="A13" s="21" t="s">
        <v>64</v>
      </c>
      <c r="B13" s="21" t="s">
        <v>6</v>
      </c>
      <c r="C13" s="21" t="s">
        <v>50</v>
      </c>
      <c r="D13" s="21" t="s">
        <v>27</v>
      </c>
      <c r="E13" s="21" t="s">
        <v>49</v>
      </c>
      <c r="F13" s="21" t="s">
        <v>48</v>
      </c>
      <c r="G13" s="21" t="s">
        <v>47</v>
      </c>
      <c r="H13" s="21" t="s">
        <v>46</v>
      </c>
      <c r="J13" s="21" t="s">
        <v>60</v>
      </c>
    </row>
    <row r="14" spans="1:10" ht="185.25" x14ac:dyDescent="0.45">
      <c r="A14" s="21" t="s">
        <v>64</v>
      </c>
      <c r="B14" s="21" t="s">
        <v>6</v>
      </c>
      <c r="C14" s="21" t="s">
        <v>59</v>
      </c>
      <c r="D14" s="21" t="s">
        <v>26</v>
      </c>
      <c r="E14" s="21" t="s">
        <v>49</v>
      </c>
      <c r="F14" s="21" t="s">
        <v>58</v>
      </c>
      <c r="G14" s="21" t="s">
        <v>57</v>
      </c>
      <c r="H14" s="21" t="s">
        <v>52</v>
      </c>
      <c r="J14" s="21" t="s">
        <v>60</v>
      </c>
    </row>
    <row r="15" spans="1:10" ht="185.25" x14ac:dyDescent="0.45">
      <c r="A15" s="21" t="s">
        <v>64</v>
      </c>
      <c r="B15" s="21" t="s">
        <v>6</v>
      </c>
      <c r="C15" s="21" t="s">
        <v>59</v>
      </c>
      <c r="D15" s="21" t="s">
        <v>27</v>
      </c>
      <c r="E15" s="21" t="s">
        <v>49</v>
      </c>
      <c r="F15" s="21" t="s">
        <v>58</v>
      </c>
      <c r="G15" s="38" t="s">
        <v>57</v>
      </c>
      <c r="H15" s="21" t="s">
        <v>52</v>
      </c>
      <c r="J15" s="21" t="s">
        <v>60</v>
      </c>
    </row>
    <row r="16" spans="1:10" ht="185.25" x14ac:dyDescent="0.45">
      <c r="A16" s="21" t="s">
        <v>64</v>
      </c>
      <c r="B16" s="21" t="s">
        <v>6</v>
      </c>
      <c r="C16" s="21" t="s">
        <v>56</v>
      </c>
      <c r="D16" s="21" t="s">
        <v>28</v>
      </c>
      <c r="E16" s="21" t="s">
        <v>63</v>
      </c>
      <c r="F16" s="21" t="s">
        <v>54</v>
      </c>
      <c r="G16" s="21" t="s">
        <v>53</v>
      </c>
      <c r="H16" s="21" t="s">
        <v>52</v>
      </c>
      <c r="J16" s="21" t="s">
        <v>60</v>
      </c>
    </row>
    <row r="17" spans="1:10" ht="185.25" x14ac:dyDescent="0.45">
      <c r="A17" s="21" t="s">
        <v>61</v>
      </c>
      <c r="B17" s="21" t="s">
        <v>7</v>
      </c>
      <c r="C17" s="21" t="s">
        <v>59</v>
      </c>
      <c r="D17" s="21" t="s">
        <v>26</v>
      </c>
      <c r="E17" s="21" t="s">
        <v>49</v>
      </c>
      <c r="F17" s="21" t="s">
        <v>58</v>
      </c>
      <c r="G17" s="38" t="s">
        <v>57</v>
      </c>
      <c r="H17" s="21" t="s">
        <v>52</v>
      </c>
      <c r="J17" s="21" t="s">
        <v>60</v>
      </c>
    </row>
    <row r="18" spans="1:10" ht="185.25" x14ac:dyDescent="0.45">
      <c r="A18" s="21" t="s">
        <v>61</v>
      </c>
      <c r="B18" s="21" t="s">
        <v>7</v>
      </c>
      <c r="C18" s="21" t="s">
        <v>59</v>
      </c>
      <c r="D18" s="21" t="s">
        <v>27</v>
      </c>
      <c r="E18" s="21" t="s">
        <v>49</v>
      </c>
      <c r="F18" s="21" t="s">
        <v>58</v>
      </c>
      <c r="G18" s="21" t="s">
        <v>57</v>
      </c>
      <c r="H18" s="21" t="s">
        <v>52</v>
      </c>
      <c r="J18" s="21" t="s">
        <v>60</v>
      </c>
    </row>
    <row r="19" spans="1:10" ht="85.5" x14ac:dyDescent="0.45">
      <c r="A19" s="21" t="s">
        <v>61</v>
      </c>
      <c r="B19" s="21" t="s">
        <v>7</v>
      </c>
      <c r="C19" s="21" t="s">
        <v>50</v>
      </c>
      <c r="D19" s="21" t="s">
        <v>27</v>
      </c>
      <c r="E19" s="21" t="s">
        <v>49</v>
      </c>
      <c r="F19" s="21" t="s">
        <v>48</v>
      </c>
      <c r="G19" s="21" t="s">
        <v>47</v>
      </c>
      <c r="H19" s="21" t="s">
        <v>46</v>
      </c>
      <c r="J19" s="21" t="s">
        <v>60</v>
      </c>
    </row>
    <row r="20" spans="1:10" ht="185.25" x14ac:dyDescent="0.45">
      <c r="A20" s="21" t="s">
        <v>61</v>
      </c>
      <c r="B20" s="21" t="s">
        <v>7</v>
      </c>
      <c r="C20" s="21" t="s">
        <v>56</v>
      </c>
      <c r="D20" s="21" t="s">
        <v>28</v>
      </c>
      <c r="E20" s="21" t="s">
        <v>62</v>
      </c>
      <c r="F20" s="21" t="s">
        <v>54</v>
      </c>
      <c r="G20" s="21" t="s">
        <v>53</v>
      </c>
      <c r="H20" s="21" t="s">
        <v>52</v>
      </c>
      <c r="J20" s="21" t="s">
        <v>60</v>
      </c>
    </row>
    <row r="21" spans="1:10" ht="85.5" x14ac:dyDescent="0.45">
      <c r="A21" s="21" t="s">
        <v>61</v>
      </c>
      <c r="B21" s="21" t="s">
        <v>7</v>
      </c>
      <c r="C21" s="21" t="s">
        <v>50</v>
      </c>
      <c r="D21" s="21" t="s">
        <v>26</v>
      </c>
      <c r="E21" s="21" t="s">
        <v>49</v>
      </c>
      <c r="F21" s="21" t="s">
        <v>48</v>
      </c>
      <c r="G21" s="21" t="s">
        <v>47</v>
      </c>
      <c r="H21" s="21" t="s">
        <v>46</v>
      </c>
      <c r="J21" s="21" t="s">
        <v>60</v>
      </c>
    </row>
    <row r="22" spans="1:10" ht="185.25" x14ac:dyDescent="0.45">
      <c r="A22" s="21" t="s">
        <v>8</v>
      </c>
      <c r="B22" s="21" t="s">
        <v>51</v>
      </c>
      <c r="C22" s="21" t="s">
        <v>59</v>
      </c>
      <c r="D22" s="21" t="s">
        <v>26</v>
      </c>
      <c r="E22" s="21" t="s">
        <v>49</v>
      </c>
      <c r="F22" s="21" t="s">
        <v>58</v>
      </c>
      <c r="G22" s="21" t="s">
        <v>57</v>
      </c>
      <c r="H22" s="21" t="s">
        <v>52</v>
      </c>
      <c r="I22" s="21" t="s">
        <v>45</v>
      </c>
      <c r="J22" s="21" t="s">
        <v>44</v>
      </c>
    </row>
    <row r="23" spans="1:10" ht="185.25" x14ac:dyDescent="0.45">
      <c r="A23" s="21" t="s">
        <v>8</v>
      </c>
      <c r="B23" s="21" t="s">
        <v>51</v>
      </c>
      <c r="C23" s="21" t="s">
        <v>59</v>
      </c>
      <c r="D23" s="21" t="s">
        <v>27</v>
      </c>
      <c r="E23" s="21" t="s">
        <v>49</v>
      </c>
      <c r="F23" s="21" t="s">
        <v>58</v>
      </c>
      <c r="G23" s="21" t="s">
        <v>57</v>
      </c>
      <c r="H23" s="21" t="s">
        <v>52</v>
      </c>
      <c r="I23" s="21" t="s">
        <v>45</v>
      </c>
      <c r="J23" s="40" t="s">
        <v>44</v>
      </c>
    </row>
    <row r="24" spans="1:10" ht="99.75" x14ac:dyDescent="0.45">
      <c r="A24" s="21" t="s">
        <v>8</v>
      </c>
      <c r="B24" s="21" t="s">
        <v>51</v>
      </c>
      <c r="C24" s="21" t="s">
        <v>50</v>
      </c>
      <c r="D24" s="21" t="s">
        <v>27</v>
      </c>
      <c r="E24" s="21" t="s">
        <v>49</v>
      </c>
      <c r="F24" s="21" t="s">
        <v>48</v>
      </c>
      <c r="G24" s="21" t="s">
        <v>47</v>
      </c>
      <c r="H24" s="21" t="s">
        <v>46</v>
      </c>
      <c r="I24" s="21" t="s">
        <v>45</v>
      </c>
      <c r="J24" s="21" t="s">
        <v>44</v>
      </c>
    </row>
    <row r="25" spans="1:10" ht="185.25" x14ac:dyDescent="0.45">
      <c r="A25" s="21" t="s">
        <v>8</v>
      </c>
      <c r="B25" s="21" t="s">
        <v>51</v>
      </c>
      <c r="C25" s="21" t="s">
        <v>56</v>
      </c>
      <c r="D25" s="21" t="s">
        <v>28</v>
      </c>
      <c r="E25" s="21" t="s">
        <v>55</v>
      </c>
      <c r="F25" s="21" t="s">
        <v>54</v>
      </c>
      <c r="G25" s="21" t="s">
        <v>53</v>
      </c>
      <c r="H25" s="21" t="s">
        <v>52</v>
      </c>
      <c r="I25" s="21" t="s">
        <v>45</v>
      </c>
      <c r="J25" s="21" t="s">
        <v>44</v>
      </c>
    </row>
    <row r="26" spans="1:10" ht="99.75" x14ac:dyDescent="0.45">
      <c r="A26" s="21" t="s">
        <v>8</v>
      </c>
      <c r="B26" s="21" t="s">
        <v>51</v>
      </c>
      <c r="C26" s="21" t="s">
        <v>50</v>
      </c>
      <c r="D26" s="21" t="s">
        <v>26</v>
      </c>
      <c r="E26" s="21" t="s">
        <v>49</v>
      </c>
      <c r="F26" s="21" t="s">
        <v>48</v>
      </c>
      <c r="G26" s="21" t="s">
        <v>47</v>
      </c>
      <c r="H26" s="21" t="s">
        <v>46</v>
      </c>
      <c r="I26" s="21" t="s">
        <v>45</v>
      </c>
      <c r="J26" s="21" t="s">
        <v>44</v>
      </c>
    </row>
    <row r="27" spans="1:10" customFormat="1" ht="126" x14ac:dyDescent="0.5">
      <c r="A27" s="27" t="s">
        <v>8</v>
      </c>
      <c r="B27" s="27" t="s">
        <v>51</v>
      </c>
      <c r="C27" s="27" t="s">
        <v>112</v>
      </c>
      <c r="D27" s="27" t="s">
        <v>107</v>
      </c>
      <c r="E27" s="27" t="s">
        <v>55</v>
      </c>
      <c r="F27" s="27" t="s">
        <v>113</v>
      </c>
      <c r="G27" s="27" t="s">
        <v>114</v>
      </c>
      <c r="H27" s="27" t="s">
        <v>46</v>
      </c>
      <c r="I27" s="27" t="s">
        <v>45</v>
      </c>
      <c r="J27" s="27" t="s">
        <v>44</v>
      </c>
    </row>
    <row r="28" spans="1:10" customFormat="1" ht="409.5" x14ac:dyDescent="0.5">
      <c r="A28" s="27" t="s">
        <v>71</v>
      </c>
      <c r="B28" s="27" t="s">
        <v>70</v>
      </c>
      <c r="C28" s="27" t="s">
        <v>108</v>
      </c>
      <c r="D28" s="27" t="s">
        <v>107</v>
      </c>
      <c r="E28" s="27" t="s">
        <v>72</v>
      </c>
      <c r="F28" s="27" t="s">
        <v>106</v>
      </c>
      <c r="G28" s="27" t="s">
        <v>105</v>
      </c>
      <c r="H28" s="27" t="s">
        <v>104</v>
      </c>
      <c r="J28" s="27" t="s">
        <v>111</v>
      </c>
    </row>
    <row r="29" spans="1:10" customFormat="1" ht="409.5" x14ac:dyDescent="0.5">
      <c r="A29" s="27" t="s">
        <v>67</v>
      </c>
      <c r="B29" s="27" t="s">
        <v>66</v>
      </c>
      <c r="C29" s="27" t="s">
        <v>108</v>
      </c>
      <c r="D29" s="27" t="s">
        <v>107</v>
      </c>
      <c r="E29" s="27" t="s">
        <v>69</v>
      </c>
      <c r="F29" s="27" t="s">
        <v>106</v>
      </c>
      <c r="G29" s="27" t="s">
        <v>105</v>
      </c>
      <c r="H29" s="27" t="s">
        <v>104</v>
      </c>
      <c r="J29" s="27" t="s">
        <v>103</v>
      </c>
    </row>
    <row r="30" spans="1:10" customFormat="1" ht="409.5" x14ac:dyDescent="0.5">
      <c r="A30" s="27" t="s">
        <v>64</v>
      </c>
      <c r="B30" s="27" t="s">
        <v>6</v>
      </c>
      <c r="C30" s="27" t="s">
        <v>108</v>
      </c>
      <c r="D30" s="27" t="s">
        <v>107</v>
      </c>
      <c r="E30" s="27" t="s">
        <v>63</v>
      </c>
      <c r="F30" s="27" t="s">
        <v>106</v>
      </c>
      <c r="G30" s="27" t="s">
        <v>105</v>
      </c>
      <c r="H30" s="27" t="s">
        <v>104</v>
      </c>
      <c r="J30" s="27" t="s">
        <v>110</v>
      </c>
    </row>
    <row r="31" spans="1:10" customFormat="1" ht="409.5" x14ac:dyDescent="0.5">
      <c r="A31" s="27" t="s">
        <v>61</v>
      </c>
      <c r="B31" s="27" t="s">
        <v>7</v>
      </c>
      <c r="C31" s="27" t="s">
        <v>108</v>
      </c>
      <c r="D31" s="27" t="s">
        <v>107</v>
      </c>
      <c r="E31" s="27" t="s">
        <v>62</v>
      </c>
      <c r="F31" s="27" t="s">
        <v>106</v>
      </c>
      <c r="G31" s="27" t="s">
        <v>105</v>
      </c>
      <c r="H31" s="27" t="s">
        <v>104</v>
      </c>
      <c r="J31" s="27" t="s">
        <v>109</v>
      </c>
    </row>
    <row r="32" spans="1:10" customFormat="1" ht="409.5" x14ac:dyDescent="0.5">
      <c r="A32" s="27" t="s">
        <v>8</v>
      </c>
      <c r="B32" s="27" t="s">
        <v>51</v>
      </c>
      <c r="C32" s="27" t="s">
        <v>108</v>
      </c>
      <c r="D32" s="27" t="s">
        <v>107</v>
      </c>
      <c r="E32" s="27" t="s">
        <v>55</v>
      </c>
      <c r="F32" s="27" t="s">
        <v>106</v>
      </c>
      <c r="G32" s="27" t="s">
        <v>105</v>
      </c>
      <c r="H32" s="27" t="s">
        <v>104</v>
      </c>
      <c r="J32" s="27" t="s">
        <v>103</v>
      </c>
    </row>
    <row r="33" spans="1:10" customFormat="1" ht="393.75" x14ac:dyDescent="0.5">
      <c r="A33" s="27" t="s">
        <v>71</v>
      </c>
      <c r="B33" s="27" t="s">
        <v>70</v>
      </c>
      <c r="C33" s="27" t="s">
        <v>172</v>
      </c>
      <c r="D33" s="27" t="s">
        <v>107</v>
      </c>
      <c r="E33" s="27" t="s">
        <v>72</v>
      </c>
      <c r="F33" s="27" t="s">
        <v>173</v>
      </c>
      <c r="G33" s="27" t="s">
        <v>174</v>
      </c>
      <c r="H33" s="27" t="s">
        <v>104</v>
      </c>
      <c r="J33" s="27" t="s">
        <v>111</v>
      </c>
    </row>
    <row r="34" spans="1:10" customFormat="1" ht="393.75" x14ac:dyDescent="0.5">
      <c r="A34" s="27" t="s">
        <v>67</v>
      </c>
      <c r="B34" s="27" t="s">
        <v>66</v>
      </c>
      <c r="C34" s="27" t="s">
        <v>172</v>
      </c>
      <c r="D34" s="27" t="s">
        <v>107</v>
      </c>
      <c r="E34" s="27" t="s">
        <v>69</v>
      </c>
      <c r="F34" s="27" t="s">
        <v>173</v>
      </c>
      <c r="G34" s="27" t="s">
        <v>174</v>
      </c>
      <c r="H34" s="27" t="s">
        <v>104</v>
      </c>
      <c r="J34" s="27" t="s">
        <v>103</v>
      </c>
    </row>
    <row r="35" spans="1:10" customFormat="1" ht="393.75" x14ac:dyDescent="0.5">
      <c r="A35" s="27" t="s">
        <v>64</v>
      </c>
      <c r="B35" s="27" t="s">
        <v>6</v>
      </c>
      <c r="C35" s="27" t="s">
        <v>172</v>
      </c>
      <c r="D35" s="27" t="s">
        <v>107</v>
      </c>
      <c r="E35" s="27" t="s">
        <v>63</v>
      </c>
      <c r="F35" s="27" t="s">
        <v>173</v>
      </c>
      <c r="G35" s="27" t="s">
        <v>174</v>
      </c>
      <c r="H35" s="27" t="s">
        <v>104</v>
      </c>
      <c r="J35" s="27" t="s">
        <v>110</v>
      </c>
    </row>
    <row r="36" spans="1:10" customFormat="1" ht="393.75" x14ac:dyDescent="0.5">
      <c r="A36" s="27" t="s">
        <v>61</v>
      </c>
      <c r="B36" s="27" t="s">
        <v>7</v>
      </c>
      <c r="C36" s="27" t="s">
        <v>172</v>
      </c>
      <c r="D36" s="27" t="s">
        <v>107</v>
      </c>
      <c r="E36" s="27" t="s">
        <v>62</v>
      </c>
      <c r="F36" s="27" t="s">
        <v>173</v>
      </c>
      <c r="G36" s="27" t="s">
        <v>174</v>
      </c>
      <c r="H36" s="27" t="s">
        <v>104</v>
      </c>
      <c r="J36" s="27" t="s">
        <v>109</v>
      </c>
    </row>
  </sheetData>
  <hyperlinks>
    <hyperlink ref="H1" location="Index" display="Back to Index" xr:uid="{A54E5658-B594-42FB-BF79-F125E355D806}"/>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4FFA99-C7F8-4C36-B637-63CF3BC6D6C0}">
  <sheetPr codeName="Sheet5"/>
  <dimension ref="A1:I48"/>
  <sheetViews>
    <sheetView workbookViewId="0">
      <pane ySplit="1" topLeftCell="A35" activePane="bottomLeft" state="frozen"/>
      <selection pane="bottomLeft" activeCell="E45" sqref="E45"/>
    </sheetView>
  </sheetViews>
  <sheetFormatPr defaultRowHeight="15.75" x14ac:dyDescent="0.5"/>
  <cols>
    <col min="1" max="1" width="22.625" style="20" customWidth="1"/>
    <col min="2" max="2" width="19.75" style="20" customWidth="1"/>
    <col min="3" max="3" width="21.875" customWidth="1"/>
    <col min="4" max="4" width="9.5" customWidth="1"/>
    <col min="5" max="5" width="17.375" customWidth="1"/>
    <col min="6" max="6" width="12.625" customWidth="1"/>
  </cols>
  <sheetData>
    <row r="1" spans="1:8" x14ac:dyDescent="0.5">
      <c r="A1" s="102" t="s">
        <v>5</v>
      </c>
      <c r="B1" t="s">
        <v>6</v>
      </c>
      <c r="C1" t="s">
        <v>7</v>
      </c>
      <c r="D1" t="s">
        <v>66</v>
      </c>
      <c r="E1" t="s">
        <v>70</v>
      </c>
      <c r="F1" t="s">
        <v>51</v>
      </c>
      <c r="H1" s="5" t="s">
        <v>543</v>
      </c>
    </row>
    <row r="2" spans="1:8" x14ac:dyDescent="0.5">
      <c r="A2" s="102"/>
      <c r="B2" s="2" t="s">
        <v>94</v>
      </c>
      <c r="C2" s="2" t="s">
        <v>94</v>
      </c>
      <c r="D2" s="2" t="s">
        <v>94</v>
      </c>
      <c r="E2" s="2" t="s">
        <v>94</v>
      </c>
      <c r="F2" s="2" t="s">
        <v>94</v>
      </c>
    </row>
    <row r="3" spans="1:8" x14ac:dyDescent="0.5">
      <c r="A3" s="1">
        <v>1980</v>
      </c>
      <c r="B3" s="20">
        <f>B4/1.02</f>
        <v>110447.01597468146</v>
      </c>
      <c r="C3" s="20">
        <f t="shared" ref="C3:E40" si="0">C4/1.02</f>
        <v>80123.533519486286</v>
      </c>
      <c r="D3" s="20">
        <f t="shared" si="0"/>
        <v>8437.0223538020127</v>
      </c>
      <c r="E3" s="20">
        <f t="shared" si="0"/>
        <v>78568.064306955392</v>
      </c>
      <c r="F3" s="20">
        <f>3.1*1790</f>
        <v>5549</v>
      </c>
    </row>
    <row r="4" spans="1:8" x14ac:dyDescent="0.5">
      <c r="A4" s="1">
        <v>1981</v>
      </c>
      <c r="B4" s="20">
        <f t="shared" ref="B4:B40" si="1">B5/1.02</f>
        <v>112655.95629417509</v>
      </c>
      <c r="C4" s="20">
        <f t="shared" si="0"/>
        <v>81726.00418987601</v>
      </c>
      <c r="D4" s="20">
        <f t="shared" si="0"/>
        <v>8605.7628008780539</v>
      </c>
      <c r="E4" s="20">
        <f t="shared" si="0"/>
        <v>80139.425593094507</v>
      </c>
      <c r="F4" s="20">
        <f>3.35*1790</f>
        <v>5996.5</v>
      </c>
    </row>
    <row r="5" spans="1:8" x14ac:dyDescent="0.5">
      <c r="A5" s="1">
        <v>1982</v>
      </c>
      <c r="B5" s="20">
        <f t="shared" si="1"/>
        <v>114909.07542005859</v>
      </c>
      <c r="C5" s="20">
        <f t="shared" si="0"/>
        <v>83360.524273673538</v>
      </c>
      <c r="D5" s="20">
        <f t="shared" si="0"/>
        <v>8777.8780568956154</v>
      </c>
      <c r="E5" s="20">
        <f t="shared" si="0"/>
        <v>81742.214104956394</v>
      </c>
      <c r="F5" s="20">
        <f t="shared" ref="F5:F12" si="2">3.35*1790</f>
        <v>5996.5</v>
      </c>
    </row>
    <row r="6" spans="1:8" x14ac:dyDescent="0.5">
      <c r="A6" s="1">
        <v>1983</v>
      </c>
      <c r="B6" s="20">
        <f t="shared" si="1"/>
        <v>117207.25692845977</v>
      </c>
      <c r="C6" s="20">
        <f t="shared" si="0"/>
        <v>85027.734759147017</v>
      </c>
      <c r="D6" s="20">
        <f t="shared" si="0"/>
        <v>8953.4356180335271</v>
      </c>
      <c r="E6" s="20">
        <f t="shared" si="0"/>
        <v>83377.058387055527</v>
      </c>
      <c r="F6" s="20">
        <f t="shared" si="2"/>
        <v>5996.5</v>
      </c>
    </row>
    <row r="7" spans="1:8" x14ac:dyDescent="0.5">
      <c r="A7" s="1">
        <v>1984</v>
      </c>
      <c r="B7" s="20">
        <f t="shared" si="1"/>
        <v>119551.40206702896</v>
      </c>
      <c r="C7" s="20">
        <f t="shared" si="0"/>
        <v>86728.289454329963</v>
      </c>
      <c r="D7" s="20">
        <f t="shared" si="0"/>
        <v>9132.5043303941984</v>
      </c>
      <c r="E7" s="20">
        <f t="shared" si="0"/>
        <v>85044.599554796645</v>
      </c>
      <c r="F7" s="20">
        <f t="shared" si="2"/>
        <v>5996.5</v>
      </c>
    </row>
    <row r="8" spans="1:8" x14ac:dyDescent="0.5">
      <c r="A8" s="1">
        <v>1985</v>
      </c>
      <c r="B8" s="20">
        <f t="shared" si="1"/>
        <v>121942.43010836955</v>
      </c>
      <c r="C8" s="20">
        <f t="shared" si="0"/>
        <v>88462.855243416561</v>
      </c>
      <c r="D8" s="20">
        <f t="shared" si="0"/>
        <v>9315.1544170020825</v>
      </c>
      <c r="E8" s="20">
        <f t="shared" si="0"/>
        <v>86745.491545892583</v>
      </c>
      <c r="F8" s="20">
        <f t="shared" si="2"/>
        <v>5996.5</v>
      </c>
    </row>
    <row r="9" spans="1:8" x14ac:dyDescent="0.5">
      <c r="A9" s="1">
        <v>1986</v>
      </c>
      <c r="B9" s="20">
        <f t="shared" si="1"/>
        <v>124381.27871053694</v>
      </c>
      <c r="C9" s="20">
        <f t="shared" si="0"/>
        <v>90232.112348284893</v>
      </c>
      <c r="D9" s="20">
        <f t="shared" si="0"/>
        <v>9501.4575053421249</v>
      </c>
      <c r="E9" s="20">
        <f t="shared" si="0"/>
        <v>88480.401376810434</v>
      </c>
      <c r="F9" s="20">
        <f t="shared" si="2"/>
        <v>5996.5</v>
      </c>
    </row>
    <row r="10" spans="1:8" x14ac:dyDescent="0.5">
      <c r="A10" s="1">
        <v>1987</v>
      </c>
      <c r="B10" s="20">
        <f t="shared" si="1"/>
        <v>126868.90428474768</v>
      </c>
      <c r="C10" s="20">
        <f t="shared" si="0"/>
        <v>92036.75459525059</v>
      </c>
      <c r="D10" s="20">
        <f t="shared" si="0"/>
        <v>9691.4866554489672</v>
      </c>
      <c r="E10" s="20">
        <f t="shared" si="0"/>
        <v>90250.009404346638</v>
      </c>
      <c r="F10" s="20">
        <f t="shared" si="2"/>
        <v>5996.5</v>
      </c>
    </row>
    <row r="11" spans="1:8" x14ac:dyDescent="0.5">
      <c r="A11" s="1">
        <v>1988</v>
      </c>
      <c r="B11" s="20">
        <f t="shared" si="1"/>
        <v>129406.28237044264</v>
      </c>
      <c r="C11" s="20">
        <f t="shared" si="0"/>
        <v>93877.489687155597</v>
      </c>
      <c r="D11" s="20">
        <f t="shared" si="0"/>
        <v>9885.316388557947</v>
      </c>
      <c r="E11" s="20">
        <f t="shared" si="0"/>
        <v>92055.009592433576</v>
      </c>
      <c r="F11" s="20">
        <f t="shared" si="2"/>
        <v>5996.5</v>
      </c>
    </row>
    <row r="12" spans="1:8" x14ac:dyDescent="0.5">
      <c r="A12" s="1">
        <v>1989</v>
      </c>
      <c r="B12" s="20">
        <f t="shared" si="1"/>
        <v>131994.4080178515</v>
      </c>
      <c r="C12" s="20">
        <f t="shared" si="0"/>
        <v>95755.039480898704</v>
      </c>
      <c r="D12" s="20">
        <f t="shared" si="0"/>
        <v>10083.022716329106</v>
      </c>
      <c r="E12" s="20">
        <f t="shared" si="0"/>
        <v>93896.109784282249</v>
      </c>
      <c r="F12" s="20">
        <f t="shared" si="2"/>
        <v>5996.5</v>
      </c>
    </row>
    <row r="13" spans="1:8" x14ac:dyDescent="0.5">
      <c r="A13" s="1">
        <v>1990</v>
      </c>
      <c r="B13" s="20">
        <f t="shared" si="1"/>
        <v>134634.29617820852</v>
      </c>
      <c r="C13" s="20">
        <f t="shared" si="0"/>
        <v>97670.140270516684</v>
      </c>
      <c r="D13" s="20">
        <f t="shared" si="0"/>
        <v>10284.683170655688</v>
      </c>
      <c r="E13" s="20">
        <f t="shared" si="0"/>
        <v>95774.031979967898</v>
      </c>
      <c r="F13" s="20">
        <f>3.8*1790</f>
        <v>6802</v>
      </c>
    </row>
    <row r="14" spans="1:8" x14ac:dyDescent="0.5">
      <c r="A14" s="1">
        <v>1991</v>
      </c>
      <c r="B14" s="20">
        <f t="shared" si="1"/>
        <v>137326.98210177268</v>
      </c>
      <c r="C14" s="20">
        <f t="shared" si="0"/>
        <v>99623.543075927024</v>
      </c>
      <c r="D14" s="20">
        <f t="shared" si="0"/>
        <v>10490.376834068802</v>
      </c>
      <c r="E14" s="20">
        <f t="shared" si="0"/>
        <v>97689.512619567264</v>
      </c>
      <c r="F14" s="20">
        <f>4.25*1790</f>
        <v>7607.5</v>
      </c>
    </row>
    <row r="15" spans="1:8" x14ac:dyDescent="0.5">
      <c r="A15" s="1">
        <v>1992</v>
      </c>
      <c r="B15" s="20">
        <f t="shared" si="1"/>
        <v>140073.52174380815</v>
      </c>
      <c r="C15" s="20">
        <f t="shared" si="0"/>
        <v>101616.01393744556</v>
      </c>
      <c r="D15" s="20">
        <f t="shared" si="0"/>
        <v>10700.184370750178</v>
      </c>
      <c r="E15" s="20">
        <f t="shared" si="0"/>
        <v>99643.302871958615</v>
      </c>
      <c r="F15" s="20">
        <f t="shared" ref="F15:F18" si="3">4.25*1790</f>
        <v>7607.5</v>
      </c>
    </row>
    <row r="16" spans="1:8" x14ac:dyDescent="0.5">
      <c r="A16" s="1">
        <v>1993</v>
      </c>
      <c r="B16" s="20">
        <f t="shared" si="1"/>
        <v>142874.9921786843</v>
      </c>
      <c r="C16" s="20">
        <f t="shared" si="0"/>
        <v>103648.33421619447</v>
      </c>
      <c r="D16" s="20">
        <f t="shared" si="0"/>
        <v>10914.188058165182</v>
      </c>
      <c r="E16" s="20">
        <f t="shared" si="0"/>
        <v>101636.16892939778</v>
      </c>
      <c r="F16" s="20">
        <f t="shared" si="3"/>
        <v>7607.5</v>
      </c>
    </row>
    <row r="17" spans="1:6" x14ac:dyDescent="0.5">
      <c r="A17" s="1">
        <v>1994</v>
      </c>
      <c r="B17" s="20">
        <f t="shared" si="1"/>
        <v>145732.492022258</v>
      </c>
      <c r="C17" s="20">
        <f t="shared" si="0"/>
        <v>105721.30090051837</v>
      </c>
      <c r="D17" s="20">
        <f t="shared" si="0"/>
        <v>11132.471819328486</v>
      </c>
      <c r="E17" s="20">
        <f t="shared" si="0"/>
        <v>103668.89230798573</v>
      </c>
      <c r="F17" s="20">
        <f t="shared" si="3"/>
        <v>7607.5</v>
      </c>
    </row>
    <row r="18" spans="1:6" x14ac:dyDescent="0.5">
      <c r="A18" s="1">
        <v>1995</v>
      </c>
      <c r="B18" s="20">
        <f t="shared" si="1"/>
        <v>148647.14186270317</v>
      </c>
      <c r="C18" s="20">
        <f t="shared" si="0"/>
        <v>107835.72691852874</v>
      </c>
      <c r="D18" s="20">
        <f t="shared" si="0"/>
        <v>11355.121255715056</v>
      </c>
      <c r="E18" s="20">
        <f t="shared" si="0"/>
        <v>105742.27015414544</v>
      </c>
      <c r="F18" s="20">
        <f t="shared" si="3"/>
        <v>7607.5</v>
      </c>
    </row>
    <row r="19" spans="1:6" x14ac:dyDescent="0.5">
      <c r="A19" s="1">
        <v>1996</v>
      </c>
      <c r="B19" s="20">
        <f t="shared" si="1"/>
        <v>151620.08469995722</v>
      </c>
      <c r="C19" s="20">
        <f t="shared" si="0"/>
        <v>109992.44145689932</v>
      </c>
      <c r="D19" s="20">
        <f t="shared" si="0"/>
        <v>11582.223680829356</v>
      </c>
      <c r="E19" s="20">
        <f t="shared" si="0"/>
        <v>107857.11555722836</v>
      </c>
      <c r="F19" s="20">
        <f>4.75*1790</f>
        <v>8502.5</v>
      </c>
    </row>
    <row r="20" spans="1:6" x14ac:dyDescent="0.5">
      <c r="A20" s="1">
        <v>1997</v>
      </c>
      <c r="B20" s="20">
        <f t="shared" si="1"/>
        <v>154652.48639395638</v>
      </c>
      <c r="C20" s="20">
        <f t="shared" si="0"/>
        <v>112192.29028603731</v>
      </c>
      <c r="D20" s="20">
        <f t="shared" si="0"/>
        <v>11813.868154445943</v>
      </c>
      <c r="E20" s="20">
        <f t="shared" si="0"/>
        <v>110014.25786837294</v>
      </c>
      <c r="F20" s="20">
        <f>5.15*1790</f>
        <v>9218.5</v>
      </c>
    </row>
    <row r="21" spans="1:6" x14ac:dyDescent="0.5">
      <c r="A21" s="1">
        <v>1998</v>
      </c>
      <c r="B21" s="20">
        <f t="shared" si="1"/>
        <v>157745.53612183552</v>
      </c>
      <c r="C21" s="20">
        <f t="shared" si="0"/>
        <v>114436.13609175806</v>
      </c>
      <c r="D21" s="20">
        <f t="shared" si="0"/>
        <v>12050.145517534862</v>
      </c>
      <c r="E21" s="20">
        <f t="shared" si="0"/>
        <v>112214.54302574039</v>
      </c>
      <c r="F21" s="20">
        <f t="shared" ref="F21:F29" si="4">5.15*1790</f>
        <v>9218.5</v>
      </c>
    </row>
    <row r="22" spans="1:6" x14ac:dyDescent="0.5">
      <c r="A22" s="1">
        <v>1999</v>
      </c>
      <c r="B22" s="20">
        <f t="shared" si="1"/>
        <v>160900.44684427223</v>
      </c>
      <c r="C22" s="20">
        <f t="shared" si="0"/>
        <v>116724.85881359322</v>
      </c>
      <c r="D22" s="20">
        <f t="shared" si="0"/>
        <v>12291.148427885559</v>
      </c>
      <c r="E22" s="20">
        <f t="shared" si="0"/>
        <v>114458.8338862552</v>
      </c>
      <c r="F22" s="20">
        <f t="shared" si="4"/>
        <v>9218.5</v>
      </c>
    </row>
    <row r="23" spans="1:6" x14ac:dyDescent="0.5">
      <c r="A23" s="1">
        <v>2000</v>
      </c>
      <c r="B23" s="20">
        <f t="shared" si="1"/>
        <v>164118.45578115768</v>
      </c>
      <c r="C23" s="20">
        <f t="shared" si="0"/>
        <v>119059.35598986509</v>
      </c>
      <c r="D23" s="20">
        <f t="shared" si="0"/>
        <v>12536.97139644327</v>
      </c>
      <c r="E23" s="20">
        <f t="shared" si="0"/>
        <v>116748.01056398031</v>
      </c>
      <c r="F23" s="20">
        <f t="shared" si="4"/>
        <v>9218.5</v>
      </c>
    </row>
    <row r="24" spans="1:6" x14ac:dyDescent="0.5">
      <c r="A24" s="1">
        <v>2001</v>
      </c>
      <c r="B24" s="20">
        <f t="shared" si="1"/>
        <v>167400.82489678083</v>
      </c>
      <c r="C24" s="20">
        <f t="shared" si="0"/>
        <v>121440.54310966239</v>
      </c>
      <c r="D24" s="20">
        <f t="shared" si="0"/>
        <v>12787.710824372136</v>
      </c>
      <c r="E24" s="20">
        <f t="shared" si="0"/>
        <v>119082.97077525992</v>
      </c>
      <c r="F24" s="20">
        <f t="shared" si="4"/>
        <v>9218.5</v>
      </c>
    </row>
    <row r="25" spans="1:6" x14ac:dyDescent="0.5">
      <c r="A25" s="1">
        <v>2002</v>
      </c>
      <c r="B25" s="20">
        <f t="shared" si="1"/>
        <v>170748.84139471644</v>
      </c>
      <c r="C25" s="20">
        <f t="shared" si="0"/>
        <v>123869.35397185564</v>
      </c>
      <c r="D25" s="20">
        <f t="shared" si="0"/>
        <v>13043.465040859579</v>
      </c>
      <c r="E25" s="20">
        <f t="shared" si="0"/>
        <v>121464.63019076512</v>
      </c>
      <c r="F25" s="20">
        <f t="shared" si="4"/>
        <v>9218.5</v>
      </c>
    </row>
    <row r="26" spans="1:6" x14ac:dyDescent="0.5">
      <c r="A26" s="1">
        <v>2003</v>
      </c>
      <c r="B26" s="20">
        <f t="shared" si="1"/>
        <v>174163.81822261077</v>
      </c>
      <c r="C26" s="20">
        <f t="shared" si="0"/>
        <v>126346.74105129276</v>
      </c>
      <c r="D26" s="20">
        <f t="shared" si="0"/>
        <v>13304.334341676771</v>
      </c>
      <c r="E26" s="20">
        <f>E27/1.02</f>
        <v>123893.92279458043</v>
      </c>
      <c r="F26" s="20">
        <f t="shared" si="4"/>
        <v>9218.5</v>
      </c>
    </row>
    <row r="27" spans="1:6" x14ac:dyDescent="0.5">
      <c r="A27" s="1">
        <v>2004</v>
      </c>
      <c r="B27" s="20">
        <f t="shared" si="1"/>
        <v>177647.09458706298</v>
      </c>
      <c r="C27" s="20">
        <f t="shared" si="0"/>
        <v>128873.67587231862</v>
      </c>
      <c r="D27" s="20">
        <f t="shared" si="0"/>
        <v>13570.421028510307</v>
      </c>
      <c r="E27" s="20">
        <f t="shared" si="0"/>
        <v>126371.80125047204</v>
      </c>
      <c r="F27" s="20">
        <f t="shared" si="4"/>
        <v>9218.5</v>
      </c>
    </row>
    <row r="28" spans="1:6" x14ac:dyDescent="0.5">
      <c r="A28" s="1">
        <v>2005</v>
      </c>
      <c r="B28" s="20">
        <f t="shared" si="1"/>
        <v>181200.03647880425</v>
      </c>
      <c r="C28" s="20">
        <f t="shared" si="0"/>
        <v>131451.14938976499</v>
      </c>
      <c r="D28" s="20">
        <f t="shared" si="0"/>
        <v>13841.829449080513</v>
      </c>
      <c r="E28" s="20">
        <f t="shared" si="0"/>
        <v>128899.23727548149</v>
      </c>
      <c r="F28" s="20">
        <f t="shared" si="4"/>
        <v>9218.5</v>
      </c>
    </row>
    <row r="29" spans="1:6" x14ac:dyDescent="0.5">
      <c r="A29" s="1">
        <v>2006</v>
      </c>
      <c r="B29" s="20">
        <f t="shared" si="1"/>
        <v>184824.03720838035</v>
      </c>
      <c r="C29" s="20">
        <f t="shared" si="0"/>
        <v>134080.17237756029</v>
      </c>
      <c r="D29" s="20">
        <f t="shared" si="0"/>
        <v>14118.666038062123</v>
      </c>
      <c r="E29" s="20">
        <f t="shared" si="0"/>
        <v>131477.22202099112</v>
      </c>
      <c r="F29" s="20">
        <f t="shared" si="4"/>
        <v>9218.5</v>
      </c>
    </row>
    <row r="30" spans="1:6" x14ac:dyDescent="0.5">
      <c r="A30" s="1">
        <v>2007</v>
      </c>
      <c r="B30" s="20">
        <f t="shared" si="1"/>
        <v>188520.51795254796</v>
      </c>
      <c r="C30" s="20">
        <f t="shared" si="0"/>
        <v>136761.77582511149</v>
      </c>
      <c r="D30" s="20">
        <f t="shared" si="0"/>
        <v>14401.039358823366</v>
      </c>
      <c r="E30" s="20">
        <f t="shared" si="0"/>
        <v>134106.76646141094</v>
      </c>
      <c r="F30" s="20">
        <f>5.85*1790</f>
        <v>10471.5</v>
      </c>
    </row>
    <row r="31" spans="1:6" x14ac:dyDescent="0.5">
      <c r="A31" s="1">
        <v>2008</v>
      </c>
      <c r="B31" s="20">
        <f t="shared" si="1"/>
        <v>192290.92831159892</v>
      </c>
      <c r="C31" s="20">
        <f t="shared" si="0"/>
        <v>139497.01134161372</v>
      </c>
      <c r="D31" s="20">
        <f t="shared" si="0"/>
        <v>14689.060145999832</v>
      </c>
      <c r="E31" s="20">
        <f t="shared" si="0"/>
        <v>136788.90179063915</v>
      </c>
      <c r="F31" s="20">
        <f>6.55*1790</f>
        <v>11724.5</v>
      </c>
    </row>
    <row r="32" spans="1:6" x14ac:dyDescent="0.5">
      <c r="A32" s="1">
        <v>2009</v>
      </c>
      <c r="B32" s="20">
        <f t="shared" si="1"/>
        <v>196136.74687783091</v>
      </c>
      <c r="C32" s="20">
        <f t="shared" si="0"/>
        <v>142286.95156844601</v>
      </c>
      <c r="D32" s="20">
        <f t="shared" si="0"/>
        <v>14982.84134891983</v>
      </c>
      <c r="E32" s="20">
        <f t="shared" si="0"/>
        <v>139524.67982645193</v>
      </c>
      <c r="F32" s="20">
        <f>7.25*1790</f>
        <v>12977.5</v>
      </c>
    </row>
    <row r="33" spans="1:9" x14ac:dyDescent="0.5">
      <c r="A33" s="1">
        <v>2010</v>
      </c>
      <c r="B33" s="20">
        <f t="shared" si="1"/>
        <v>200059.48181538752</v>
      </c>
      <c r="C33" s="20">
        <f t="shared" si="0"/>
        <v>145132.69059981493</v>
      </c>
      <c r="D33" s="20">
        <f t="shared" si="0"/>
        <v>15282.498175898227</v>
      </c>
      <c r="E33" s="20">
        <f t="shared" si="0"/>
        <v>142315.17342298097</v>
      </c>
      <c r="F33" s="20">
        <f t="shared" ref="F33:F42" si="5">7.25*1790</f>
        <v>12977.5</v>
      </c>
    </row>
    <row r="34" spans="1:9" x14ac:dyDescent="0.5">
      <c r="A34" s="1">
        <v>2011</v>
      </c>
      <c r="B34" s="20">
        <f t="shared" si="1"/>
        <v>204060.67145169529</v>
      </c>
      <c r="C34" s="20">
        <f t="shared" si="0"/>
        <v>148035.34441181124</v>
      </c>
      <c r="D34" s="20">
        <f t="shared" si="0"/>
        <v>15588.148139416191</v>
      </c>
      <c r="E34" s="20">
        <f t="shared" si="0"/>
        <v>145161.4768914406</v>
      </c>
      <c r="F34" s="20">
        <f t="shared" si="5"/>
        <v>12977.5</v>
      </c>
    </row>
    <row r="35" spans="1:9" x14ac:dyDescent="0.5">
      <c r="A35" s="1">
        <v>2012</v>
      </c>
      <c r="B35" s="20">
        <f t="shared" si="1"/>
        <v>208141.88488072919</v>
      </c>
      <c r="C35" s="20">
        <f t="shared" si="0"/>
        <v>150996.05130004746</v>
      </c>
      <c r="D35" s="20">
        <f t="shared" si="0"/>
        <v>15899.911102204514</v>
      </c>
      <c r="E35" s="20">
        <f t="shared" si="0"/>
        <v>148064.70642926943</v>
      </c>
      <c r="F35" s="20">
        <f t="shared" si="5"/>
        <v>12977.5</v>
      </c>
    </row>
    <row r="36" spans="1:9" x14ac:dyDescent="0.5">
      <c r="A36" s="1">
        <v>2013</v>
      </c>
      <c r="B36" s="20">
        <f t="shared" si="1"/>
        <v>212304.72257834379</v>
      </c>
      <c r="C36" s="20">
        <f t="shared" si="0"/>
        <v>154015.97232604842</v>
      </c>
      <c r="D36" s="20">
        <f t="shared" si="0"/>
        <v>16217.909324248605</v>
      </c>
      <c r="E36" s="20">
        <f t="shared" si="0"/>
        <v>151026.00055785483</v>
      </c>
      <c r="F36" s="20">
        <f t="shared" si="5"/>
        <v>12977.5</v>
      </c>
    </row>
    <row r="37" spans="1:9" x14ac:dyDescent="0.5">
      <c r="A37" s="1">
        <v>2014</v>
      </c>
      <c r="B37" s="20">
        <f t="shared" si="1"/>
        <v>216550.81702991066</v>
      </c>
      <c r="C37" s="20">
        <f t="shared" si="0"/>
        <v>157096.29177256938</v>
      </c>
      <c r="D37" s="20">
        <f t="shared" si="0"/>
        <v>16542.267510733578</v>
      </c>
      <c r="E37" s="20">
        <f t="shared" si="0"/>
        <v>154046.52056901192</v>
      </c>
      <c r="F37" s="20">
        <f t="shared" si="5"/>
        <v>12977.5</v>
      </c>
    </row>
    <row r="38" spans="1:9" x14ac:dyDescent="0.5">
      <c r="A38" s="1">
        <v>2015</v>
      </c>
      <c r="B38" s="20">
        <f t="shared" si="1"/>
        <v>220881.83337050889</v>
      </c>
      <c r="C38" s="20">
        <f t="shared" si="0"/>
        <v>160238.21760802079</v>
      </c>
      <c r="D38" s="20">
        <f t="shared" si="0"/>
        <v>16873.112860948251</v>
      </c>
      <c r="E38" s="20">
        <f>E39/1.02</f>
        <v>157127.45098039217</v>
      </c>
      <c r="F38" s="20">
        <f t="shared" si="5"/>
        <v>12977.5</v>
      </c>
    </row>
    <row r="39" spans="1:9" x14ac:dyDescent="0.5">
      <c r="A39" s="1">
        <v>2016</v>
      </c>
      <c r="B39" s="20">
        <f t="shared" si="1"/>
        <v>225299.47003791906</v>
      </c>
      <c r="C39" s="20">
        <f t="shared" si="0"/>
        <v>163442.98196018121</v>
      </c>
      <c r="D39" s="20">
        <f t="shared" si="0"/>
        <v>17210.575118167217</v>
      </c>
      <c r="E39" s="20">
        <v>160270</v>
      </c>
      <c r="F39" s="20">
        <f t="shared" si="5"/>
        <v>12977.5</v>
      </c>
    </row>
    <row r="40" spans="1:9" x14ac:dyDescent="0.5">
      <c r="A40" s="1">
        <v>2017</v>
      </c>
      <c r="B40" s="20">
        <f t="shared" si="1"/>
        <v>229805.45943867744</v>
      </c>
      <c r="C40" s="20">
        <f t="shared" si="0"/>
        <v>166711.84159938485</v>
      </c>
      <c r="D40" s="20">
        <f t="shared" si="0"/>
        <v>17554.786620530562</v>
      </c>
      <c r="E40" s="20">
        <f>E39*1.02</f>
        <v>163475.4</v>
      </c>
      <c r="F40" s="20">
        <f t="shared" si="5"/>
        <v>12977.5</v>
      </c>
    </row>
    <row r="41" spans="1:9" x14ac:dyDescent="0.5">
      <c r="A41" s="1">
        <v>2018</v>
      </c>
      <c r="B41" s="20">
        <f>B42/1.02</f>
        <v>234401.56862745099</v>
      </c>
      <c r="C41" s="20">
        <f>C42/1.02</f>
        <v>170046.07843137256</v>
      </c>
      <c r="D41" s="20">
        <f>D42/1.02</f>
        <v>17905.882352941175</v>
      </c>
      <c r="E41" s="20">
        <f t="shared" ref="E41:E42" si="6">E40*1.02</f>
        <v>166744.908</v>
      </c>
      <c r="F41" s="20">
        <f t="shared" si="5"/>
        <v>12977.5</v>
      </c>
    </row>
    <row r="42" spans="1:9" x14ac:dyDescent="0.5">
      <c r="A42" s="1">
        <v>2019</v>
      </c>
      <c r="B42" s="25">
        <v>239089.6</v>
      </c>
      <c r="C42" s="25">
        <v>173447</v>
      </c>
      <c r="D42" s="25">
        <v>18264</v>
      </c>
      <c r="E42" s="20">
        <f t="shared" si="6"/>
        <v>170079.80616000001</v>
      </c>
      <c r="F42" s="20">
        <f t="shared" si="5"/>
        <v>12977.5</v>
      </c>
    </row>
    <row r="43" spans="1:9" x14ac:dyDescent="0.5">
      <c r="C43" s="20"/>
    </row>
    <row r="44" spans="1:9" x14ac:dyDescent="0.5">
      <c r="C44" s="20"/>
    </row>
    <row r="45" spans="1:9" ht="252" x14ac:dyDescent="0.5">
      <c r="A45" s="25" t="s">
        <v>115</v>
      </c>
      <c r="B45" s="58" t="s">
        <v>83</v>
      </c>
      <c r="C45" s="58" t="s">
        <v>85</v>
      </c>
      <c r="D45" s="58" t="s">
        <v>86</v>
      </c>
      <c r="E45" s="58" t="s">
        <v>92</v>
      </c>
      <c r="F45" s="58" t="s">
        <v>221</v>
      </c>
      <c r="G45" s="59"/>
      <c r="H45" s="59"/>
      <c r="I45" s="59"/>
    </row>
    <row r="46" spans="1:9" ht="173.25" x14ac:dyDescent="0.5">
      <c r="B46" s="58" t="s">
        <v>84</v>
      </c>
      <c r="C46" s="58" t="s">
        <v>87</v>
      </c>
      <c r="D46" s="59">
        <f>1522*12</f>
        <v>18264</v>
      </c>
      <c r="E46" s="59" t="s">
        <v>91</v>
      </c>
      <c r="F46" s="59" t="s">
        <v>220</v>
      </c>
      <c r="G46" s="59"/>
      <c r="H46" s="59"/>
      <c r="I46" s="59"/>
    </row>
    <row r="47" spans="1:9" ht="47.25" x14ac:dyDescent="0.5">
      <c r="B47" s="60">
        <f>167.9*1424</f>
        <v>239089.6</v>
      </c>
      <c r="C47" s="60">
        <f>107*1621</f>
        <v>173447</v>
      </c>
      <c r="D47" s="59" t="s">
        <v>90</v>
      </c>
      <c r="E47" s="59">
        <f>110*1457</f>
        <v>160270</v>
      </c>
      <c r="F47" s="59">
        <v>15080</v>
      </c>
      <c r="G47" s="59"/>
      <c r="H47" s="59"/>
      <c r="I47" s="59"/>
    </row>
    <row r="48" spans="1:9" ht="47.25" x14ac:dyDescent="0.5">
      <c r="B48" s="61" t="s">
        <v>89</v>
      </c>
      <c r="C48" s="59" t="s">
        <v>88</v>
      </c>
      <c r="D48" s="59"/>
      <c r="E48" s="59" t="s">
        <v>93</v>
      </c>
      <c r="F48" s="59"/>
      <c r="G48" s="59"/>
      <c r="H48" s="59"/>
      <c r="I48" s="59"/>
    </row>
  </sheetData>
  <mergeCells count="1">
    <mergeCell ref="A1:A2"/>
  </mergeCells>
  <hyperlinks>
    <hyperlink ref="H1" location="Index" display="Back to Index" xr:uid="{DE046795-C2AB-4F2C-BCBA-72531A234CA1}"/>
  </hyperlinks>
  <pageMargins left="0.7" right="0.7" top="0.75" bottom="0.75" header="0.3" footer="0.3"/>
  <pageSetup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C57"/>
  <sheetViews>
    <sheetView zoomScale="130" zoomScaleNormal="130" workbookViewId="0">
      <pane xSplit="1" ySplit="2" topLeftCell="N15" activePane="bottomRight" state="frozen"/>
      <selection pane="topRight" activeCell="B1" sqref="B1"/>
      <selection pane="bottomLeft" activeCell="A3" sqref="A3"/>
      <selection pane="bottomRight" activeCell="Y55" sqref="Y55"/>
    </sheetView>
  </sheetViews>
  <sheetFormatPr defaultRowHeight="15.75" x14ac:dyDescent="0.5"/>
  <cols>
    <col min="2" max="2" width="17" customWidth="1"/>
    <col min="3" max="3" width="25.125" customWidth="1"/>
    <col min="4" max="4" width="26" customWidth="1"/>
    <col min="5" max="5" width="67.875" customWidth="1"/>
    <col min="7" max="7" width="15.375" customWidth="1"/>
    <col min="8" max="8" width="10.875" customWidth="1"/>
    <col min="9" max="9" width="22.75" customWidth="1"/>
    <col min="10" max="10" width="18.75" customWidth="1"/>
    <col min="11" max="11" width="15.25" customWidth="1"/>
    <col min="12" max="12" width="26" customWidth="1"/>
    <col min="13" max="13" width="21.125" customWidth="1"/>
    <col min="14" max="14" width="17.375" customWidth="1"/>
    <col min="15" max="18" width="19.625" customWidth="1"/>
    <col min="19" max="19" width="23.25" customWidth="1"/>
    <col min="20" max="20" width="14.125" customWidth="1"/>
    <col min="22" max="22" width="14.875" customWidth="1"/>
    <col min="23" max="23" width="18.75" customWidth="1"/>
    <col min="24" max="24" width="18.5" customWidth="1"/>
    <col min="25" max="25" width="17.25" customWidth="1"/>
    <col min="26" max="26" width="13.625" customWidth="1"/>
    <col min="27" max="27" width="18.375" customWidth="1"/>
    <col min="28" max="28" width="24" customWidth="1"/>
    <col min="29" max="29" width="20.5" customWidth="1"/>
  </cols>
  <sheetData>
    <row r="1" spans="1:29" x14ac:dyDescent="0.5">
      <c r="A1" s="105" t="s">
        <v>5</v>
      </c>
      <c r="B1" s="106" t="s">
        <v>12</v>
      </c>
      <c r="C1" s="106"/>
      <c r="D1" s="106"/>
      <c r="E1" s="107" t="s">
        <v>13</v>
      </c>
      <c r="F1" s="107"/>
      <c r="G1" s="106" t="s">
        <v>18</v>
      </c>
      <c r="H1" s="108"/>
      <c r="I1" s="109" t="s">
        <v>19</v>
      </c>
      <c r="J1" s="109"/>
      <c r="K1" s="103" t="s">
        <v>20</v>
      </c>
      <c r="L1" s="103"/>
      <c r="M1" s="104" t="s">
        <v>116</v>
      </c>
      <c r="N1" s="104"/>
      <c r="O1" s="104"/>
      <c r="P1" s="104"/>
      <c r="Q1" s="104"/>
      <c r="R1" s="104"/>
      <c r="S1" s="103" t="s">
        <v>21</v>
      </c>
      <c r="T1" s="103"/>
      <c r="U1" s="103"/>
      <c r="V1" s="103"/>
      <c r="W1" s="103"/>
    </row>
    <row r="2" spans="1:29" x14ac:dyDescent="0.5">
      <c r="A2" s="105"/>
      <c r="B2" s="13" t="s">
        <v>9</v>
      </c>
      <c r="C2" s="13" t="s">
        <v>10</v>
      </c>
      <c r="D2" s="13" t="s">
        <v>119</v>
      </c>
      <c r="E2" s="8" t="s">
        <v>3</v>
      </c>
      <c r="F2" s="8" t="s">
        <v>4</v>
      </c>
      <c r="G2" s="14">
        <v>0.9</v>
      </c>
      <c r="H2" s="14">
        <v>0.99</v>
      </c>
      <c r="I2" s="15" t="s">
        <v>14</v>
      </c>
      <c r="J2" s="15" t="s">
        <v>15</v>
      </c>
      <c r="K2" s="16" t="s">
        <v>16</v>
      </c>
      <c r="L2" s="16" t="s">
        <v>17</v>
      </c>
      <c r="M2" s="29" t="s">
        <v>117</v>
      </c>
      <c r="N2" s="29" t="s">
        <v>120</v>
      </c>
      <c r="O2" s="29" t="s">
        <v>124</v>
      </c>
      <c r="P2" s="29" t="s">
        <v>125</v>
      </c>
      <c r="Q2" s="29" t="s">
        <v>126</v>
      </c>
      <c r="R2" s="29" t="s">
        <v>127</v>
      </c>
      <c r="S2" s="16" t="s">
        <v>0</v>
      </c>
      <c r="T2" s="16" t="s">
        <v>1</v>
      </c>
      <c r="U2" s="16" t="s">
        <v>2</v>
      </c>
      <c r="V2" s="29" t="s">
        <v>118</v>
      </c>
      <c r="W2" s="9" t="s">
        <v>25</v>
      </c>
      <c r="X2" s="29" t="s">
        <v>121</v>
      </c>
      <c r="Y2" s="29" t="s">
        <v>122</v>
      </c>
      <c r="Z2" s="29" t="s">
        <v>123</v>
      </c>
      <c r="AA2" s="29" t="s">
        <v>128</v>
      </c>
      <c r="AB2" s="29" t="s">
        <v>129</v>
      </c>
      <c r="AC2" s="29" t="s">
        <v>130</v>
      </c>
    </row>
    <row r="3" spans="1:29" x14ac:dyDescent="0.5">
      <c r="A3" s="10">
        <v>1980</v>
      </c>
      <c r="B3" s="12">
        <f>'Minimum Deflation Total'!B3</f>
        <v>110447.01597468146</v>
      </c>
      <c r="C3" s="12">
        <f>Data!AE523</f>
        <v>286507</v>
      </c>
      <c r="D3" s="12">
        <f>Data!Z82</f>
        <v>3455236.3</v>
      </c>
      <c r="E3" s="11">
        <f>LN(C3)-F3^2/2</f>
        <v>12.400865359419718</v>
      </c>
      <c r="F3" s="11">
        <f>(LN(D3)-LN(B3))/6</f>
        <v>0.57385170249552997</v>
      </c>
      <c r="G3" s="12">
        <f>_xlfn.LOGNORM.INV(G$2,$E3,$F3)</f>
        <v>507009.94975460926</v>
      </c>
      <c r="H3" s="12">
        <f>_xlfn.LOGNORM.INV(H$2,$E3,$F3)</f>
        <v>923424.24739867495</v>
      </c>
      <c r="I3" s="17">
        <f>(LN(G3)-($E3+$F3^2))/$F3</f>
        <v>0.70769986304907317</v>
      </c>
      <c r="J3" s="17">
        <f>(LN(H3)-($E3+$F3^2))/$F3</f>
        <v>1.7524961715453113</v>
      </c>
      <c r="K3" s="18">
        <f>_xlfn.NORM.DIST(I3,0,1,TRUE)</f>
        <v>0.76043416875729086</v>
      </c>
      <c r="L3" s="18">
        <f>_xlfn.NORM.DIST(J3,0,1,TRUE)</f>
        <v>0.96015573620061279</v>
      </c>
      <c r="M3" s="30">
        <f>Data!H199</f>
        <v>5.6800000000000003E-2</v>
      </c>
      <c r="N3" s="30">
        <f>Data!H316 - M3</f>
        <v>0.18630000000000002</v>
      </c>
      <c r="O3" s="30">
        <f t="shared" ref="O3:O39" si="0">1-N3 - M3</f>
        <v>0.75690000000000002</v>
      </c>
      <c r="P3" s="30">
        <f>Data!M199</f>
        <v>5.4499999E-2</v>
      </c>
      <c r="Q3" s="30">
        <f>Data!M316 - P3</f>
        <v>0.17530000100000001</v>
      </c>
      <c r="R3" s="30">
        <f>1-Q3 - P3</f>
        <v>0.7702</v>
      </c>
      <c r="S3" s="19">
        <f t="shared" ref="S3:S39" si="1">K3</f>
        <v>0.76043416875729086</v>
      </c>
      <c r="T3" s="19">
        <f t="shared" ref="T3:T39" si="2">L3-K3</f>
        <v>0.19972156744332192</v>
      </c>
      <c r="U3" s="19">
        <f t="shared" ref="U3:U39" si="3">1-L3</f>
        <v>3.9844263799387214E-2</v>
      </c>
      <c r="V3" s="30">
        <f>T3+U3</f>
        <v>0.23956583124270914</v>
      </c>
      <c r="W3" s="11">
        <f t="shared" ref="W3:W39" si="4">2*_xlfn.NORM.DIST(F3/SQRT(2),0,1,TRUE)-1</f>
        <v>0.31509165202090839</v>
      </c>
      <c r="X3" s="30">
        <f t="shared" ref="X3:X39" si="5">M3/U3 - 1</f>
        <v>0.42555024447141521</v>
      </c>
      <c r="Y3" s="30">
        <f>N3/T3 - 1</f>
        <v>-6.720139249423196E-2</v>
      </c>
      <c r="Z3" s="30">
        <f>O3/S3 - 1</f>
        <v>-4.6475670117065437E-3</v>
      </c>
      <c r="AA3" s="30">
        <f>P3/U3 - 1</f>
        <v>0.36782547355883599</v>
      </c>
      <c r="AB3" s="30">
        <f>Q3/T3 - 1</f>
        <v>-0.12227806318540135</v>
      </c>
      <c r="AC3" s="30">
        <f>R3/S3 - 1</f>
        <v>1.2842441389329773E-2</v>
      </c>
    </row>
    <row r="4" spans="1:29" x14ac:dyDescent="0.5">
      <c r="A4">
        <v>1981</v>
      </c>
      <c r="B4" s="12">
        <f>'Minimum Deflation Total'!B4</f>
        <v>112655.95629417509</v>
      </c>
      <c r="C4" s="12">
        <f>Data!AE524</f>
        <v>290697.69</v>
      </c>
      <c r="D4" s="12">
        <f>Data!Z83</f>
        <v>3400908</v>
      </c>
      <c r="E4" s="11">
        <f t="shared" ref="E4:E39" si="6">LN(C4)-F4^2/2</f>
        <v>12.418778332422415</v>
      </c>
      <c r="F4" s="11">
        <f t="shared" ref="F4:F39" si="7">(LN(D4)-LN(B4))/6</f>
        <v>0.56790986565924551</v>
      </c>
      <c r="G4" s="12">
        <f t="shared" ref="G4:H39" si="8">_xlfn.LOGNORM.INV(G$2,$E4,$F4)</f>
        <v>512258.21847435413</v>
      </c>
      <c r="H4" s="12">
        <f t="shared" si="8"/>
        <v>927208.96610253071</v>
      </c>
      <c r="I4" s="17">
        <f t="shared" ref="I4:I39" si="9">(LN(G4)-($E4+$F4^2))/$F4</f>
        <v>0.71364169988535642</v>
      </c>
      <c r="J4" s="17">
        <f t="shared" ref="J4:J39" si="10">(LN(H4)-($E4+$F4^2))/$F4</f>
        <v>1.7584380083815974</v>
      </c>
      <c r="K4" s="18">
        <f t="shared" ref="K4:K39" si="11">_xlfn.NORM.DIST(I4,0,1,TRUE)</f>
        <v>0.76227561741560534</v>
      </c>
      <c r="L4" s="18">
        <f t="shared" ref="L4:L39" si="12">_xlfn.NORM.DIST(J4,0,1,TRUE)</f>
        <v>0.96066349461555156</v>
      </c>
      <c r="M4" s="30">
        <f>Data!H200</f>
        <v>5.5399998999999998E-2</v>
      </c>
      <c r="N4" s="30">
        <f>Data!H317 - M4</f>
        <v>0.18290000100000001</v>
      </c>
      <c r="O4" s="30">
        <f t="shared" si="0"/>
        <v>0.76169999999999993</v>
      </c>
      <c r="P4" s="30">
        <f>Data!M200</f>
        <v>5.3800002E-2</v>
      </c>
      <c r="Q4" s="30">
        <f>Data!M317 - P4</f>
        <v>0.17329999800000001</v>
      </c>
      <c r="R4" s="30">
        <f t="shared" ref="R4:R39" si="13">1-Q4 - P4</f>
        <v>0.77289999999999992</v>
      </c>
      <c r="S4" s="19">
        <f t="shared" si="1"/>
        <v>0.76227561741560534</v>
      </c>
      <c r="T4" s="19">
        <f t="shared" si="2"/>
        <v>0.19838787719994622</v>
      </c>
      <c r="U4" s="19">
        <f t="shared" si="3"/>
        <v>3.9336505384448439E-2</v>
      </c>
      <c r="V4" s="30">
        <f t="shared" ref="V4:V39" si="14">T4+U4</f>
        <v>0.23772438258439466</v>
      </c>
      <c r="W4" s="11">
        <f t="shared" si="4"/>
        <v>0.31200163517926471</v>
      </c>
      <c r="X4" s="30">
        <f t="shared" si="5"/>
        <v>0.40836097305944752</v>
      </c>
      <c r="Y4" s="30">
        <f t="shared" ref="Y4:Y39" si="15">N4/T4 - 1</f>
        <v>-7.8068662352471674E-2</v>
      </c>
      <c r="Z4" s="30">
        <f t="shared" ref="Z4:Z39" si="16">O4/S4 - 1</f>
        <v>-7.5513029992613223E-4</v>
      </c>
      <c r="AA4" s="30">
        <f t="shared" ref="AA4:AA39" si="17">P4/U4 - 1</f>
        <v>0.36768636344777228</v>
      </c>
      <c r="AB4" s="30">
        <f t="shared" ref="AB4:AB39" si="18">Q4/T4 - 1</f>
        <v>-0.12645873101742633</v>
      </c>
      <c r="AC4" s="30">
        <f t="shared" ref="AC4:AC39" si="19">R4/S4 - 1</f>
        <v>1.3937717987642317E-2</v>
      </c>
    </row>
    <row r="5" spans="1:29" x14ac:dyDescent="0.5">
      <c r="A5" s="10">
        <v>1982</v>
      </c>
      <c r="B5" s="12">
        <f>'Minimum Deflation Total'!B5</f>
        <v>114909.07542005859</v>
      </c>
      <c r="C5" s="12">
        <f>Data!AE525</f>
        <v>287595.90999999997</v>
      </c>
      <c r="D5" s="12">
        <f>Data!Z84</f>
        <v>3264191.5</v>
      </c>
      <c r="E5" s="11">
        <f t="shared" si="6"/>
        <v>12.413757419139232</v>
      </c>
      <c r="F5" s="11">
        <f t="shared" si="7"/>
        <v>0.55777103626524482</v>
      </c>
      <c r="G5" s="12">
        <f t="shared" si="8"/>
        <v>503112.84299935692</v>
      </c>
      <c r="H5" s="12">
        <f t="shared" si="8"/>
        <v>901059.78059944499</v>
      </c>
      <c r="I5" s="17">
        <f t="shared" si="9"/>
        <v>0.72378052927935588</v>
      </c>
      <c r="J5" s="17">
        <f t="shared" si="10"/>
        <v>1.7685768377755977</v>
      </c>
      <c r="K5" s="18">
        <f t="shared" si="11"/>
        <v>0.76539975761797296</v>
      </c>
      <c r="L5" s="18">
        <f t="shared" si="12"/>
        <v>0.96151774053523031</v>
      </c>
      <c r="M5" s="30">
        <f>Data!H201</f>
        <v>5.4099999000000003E-2</v>
      </c>
      <c r="N5" s="30">
        <f>Data!H318 - M5</f>
        <v>0.18080000099999999</v>
      </c>
      <c r="O5" s="30">
        <f t="shared" si="0"/>
        <v>0.76510000000000011</v>
      </c>
      <c r="P5" s="30">
        <f>Data!M201</f>
        <v>5.2999998999999999E-2</v>
      </c>
      <c r="Q5" s="30">
        <f>Data!M318 - P5</f>
        <v>0.17250000100000001</v>
      </c>
      <c r="R5" s="30">
        <f t="shared" si="13"/>
        <v>0.77450000000000008</v>
      </c>
      <c r="S5" s="19">
        <f t="shared" si="1"/>
        <v>0.76539975761797296</v>
      </c>
      <c r="T5" s="19">
        <f t="shared" si="2"/>
        <v>0.19611798291725735</v>
      </c>
      <c r="U5" s="19">
        <f t="shared" si="3"/>
        <v>3.8482259464769686E-2</v>
      </c>
      <c r="V5" s="30">
        <f t="shared" si="14"/>
        <v>0.23460024238202704</v>
      </c>
      <c r="W5" s="11">
        <f t="shared" si="4"/>
        <v>0.3067169742582192</v>
      </c>
      <c r="X5" s="30">
        <f t="shared" si="5"/>
        <v>0.40584258181431054</v>
      </c>
      <c r="Y5" s="30">
        <f t="shared" si="15"/>
        <v>-7.8105952801483025E-2</v>
      </c>
      <c r="Z5" s="30">
        <f t="shared" si="16"/>
        <v>-3.9163537091480016E-4</v>
      </c>
      <c r="AA5" s="30">
        <f t="shared" si="17"/>
        <v>0.3772579816557089</v>
      </c>
      <c r="AB5" s="30">
        <f t="shared" si="18"/>
        <v>-0.12042741601733598</v>
      </c>
      <c r="AC5" s="30">
        <f t="shared" si="19"/>
        <v>1.1889528695891327E-2</v>
      </c>
    </row>
    <row r="6" spans="1:29" x14ac:dyDescent="0.5">
      <c r="A6">
        <v>1983</v>
      </c>
      <c r="B6" s="12">
        <f>'Minimum Deflation Total'!B6</f>
        <v>117207.25692845977</v>
      </c>
      <c r="C6" s="12">
        <f>Data!AE526</f>
        <v>298520.19</v>
      </c>
      <c r="D6" s="12">
        <f>Data!Z85</f>
        <v>3259710.5</v>
      </c>
      <c r="E6" s="11">
        <f t="shared" si="6"/>
        <v>12.453000946977404</v>
      </c>
      <c r="F6" s="11">
        <f t="shared" si="7"/>
        <v>0.55424164538761378</v>
      </c>
      <c r="G6" s="12">
        <f t="shared" si="8"/>
        <v>520887.93171015393</v>
      </c>
      <c r="H6" s="12">
        <f t="shared" si="8"/>
        <v>929460.7148491824</v>
      </c>
      <c r="I6" s="17">
        <f t="shared" si="9"/>
        <v>0.72730992015698748</v>
      </c>
      <c r="J6" s="17">
        <f t="shared" si="10"/>
        <v>1.772106228653229</v>
      </c>
      <c r="K6" s="18">
        <f t="shared" si="11"/>
        <v>0.76648193876443316</v>
      </c>
      <c r="L6" s="18">
        <f t="shared" si="12"/>
        <v>0.96181153739679459</v>
      </c>
      <c r="M6" s="30">
        <f>Data!H202</f>
        <v>5.2400000000000002E-2</v>
      </c>
      <c r="N6" s="30">
        <f>Data!H319 - M6</f>
        <v>0.17789999000000001</v>
      </c>
      <c r="O6" s="30">
        <f t="shared" si="0"/>
        <v>0.76970000999999999</v>
      </c>
      <c r="P6" s="30">
        <f>Data!M202</f>
        <v>5.2000000999999997E-2</v>
      </c>
      <c r="Q6" s="30">
        <f>Data!M319 - P6</f>
        <v>0.17079999900000001</v>
      </c>
      <c r="R6" s="30">
        <f t="shared" si="13"/>
        <v>0.7772</v>
      </c>
      <c r="S6" s="19">
        <f t="shared" si="1"/>
        <v>0.76648193876443316</v>
      </c>
      <c r="T6" s="19">
        <f t="shared" si="2"/>
        <v>0.19532959863236143</v>
      </c>
      <c r="U6" s="19">
        <f t="shared" si="3"/>
        <v>3.8188462603205409E-2</v>
      </c>
      <c r="V6" s="30">
        <f t="shared" si="14"/>
        <v>0.23351806123556684</v>
      </c>
      <c r="W6" s="11">
        <f t="shared" si="4"/>
        <v>0.30487382737195157</v>
      </c>
      <c r="X6" s="30">
        <f t="shared" si="5"/>
        <v>0.37214217143168593</v>
      </c>
      <c r="Y6" s="30">
        <f t="shared" si="15"/>
        <v>-8.9231784401331171E-2</v>
      </c>
      <c r="Z6" s="30">
        <f t="shared" si="16"/>
        <v>4.1984958455176802E-3</v>
      </c>
      <c r="AA6" s="30">
        <f t="shared" si="17"/>
        <v>0.36166782989675261</v>
      </c>
      <c r="AB6" s="30">
        <f t="shared" si="18"/>
        <v>-0.12558055616819075</v>
      </c>
      <c r="AC6" s="30">
        <f t="shared" si="19"/>
        <v>1.3983449176694585E-2</v>
      </c>
    </row>
    <row r="7" spans="1:29" x14ac:dyDescent="0.5">
      <c r="A7" s="10">
        <v>1984</v>
      </c>
      <c r="B7" s="12">
        <f>'Minimum Deflation Total'!B7</f>
        <v>119551.40206702896</v>
      </c>
      <c r="C7" s="12">
        <f>Data!AE527</f>
        <v>318184.59000000003</v>
      </c>
      <c r="D7" s="12">
        <f>Data!Z86</f>
        <v>3772587.3</v>
      </c>
      <c r="E7" s="11">
        <f t="shared" si="6"/>
        <v>12.504904805186049</v>
      </c>
      <c r="F7" s="11">
        <f t="shared" si="7"/>
        <v>0.5752949849700576</v>
      </c>
      <c r="G7" s="12">
        <f t="shared" si="8"/>
        <v>563642.23484567902</v>
      </c>
      <c r="H7" s="12">
        <f t="shared" si="8"/>
        <v>1028118.5819308297</v>
      </c>
      <c r="I7" s="17">
        <f t="shared" si="9"/>
        <v>0.70625658057454477</v>
      </c>
      <c r="J7" s="17">
        <f t="shared" si="10"/>
        <v>1.7510528890707835</v>
      </c>
      <c r="K7" s="18">
        <f t="shared" si="11"/>
        <v>0.75998570511414876</v>
      </c>
      <c r="L7" s="18">
        <f t="shared" si="12"/>
        <v>0.96003159992754949</v>
      </c>
      <c r="M7" s="30">
        <f>Data!H203</f>
        <v>5.6499999000000002E-2</v>
      </c>
      <c r="N7" s="30">
        <f>Data!H320 - M7</f>
        <v>0.17610000100000001</v>
      </c>
      <c r="O7" s="30">
        <f t="shared" si="0"/>
        <v>0.76739999999999997</v>
      </c>
      <c r="P7" s="30">
        <f>Data!M203</f>
        <v>5.6899998E-2</v>
      </c>
      <c r="Q7" s="30">
        <f>Data!M320 - P7</f>
        <v>0.17030000200000001</v>
      </c>
      <c r="R7" s="30">
        <f t="shared" si="13"/>
        <v>0.77279999999999993</v>
      </c>
      <c r="S7" s="19">
        <f t="shared" si="1"/>
        <v>0.75998570511414876</v>
      </c>
      <c r="T7" s="19">
        <f t="shared" si="2"/>
        <v>0.20004589481340074</v>
      </c>
      <c r="U7" s="19">
        <f t="shared" si="3"/>
        <v>3.9968400072450505E-2</v>
      </c>
      <c r="V7" s="30">
        <f t="shared" si="14"/>
        <v>0.24001429488585124</v>
      </c>
      <c r="W7" s="11">
        <f t="shared" si="4"/>
        <v>0.31584142966173134</v>
      </c>
      <c r="X7" s="30">
        <f t="shared" si="5"/>
        <v>0.41361672965599716</v>
      </c>
      <c r="Y7" s="30">
        <f t="shared" si="15"/>
        <v>-0.11970200056210623</v>
      </c>
      <c r="Z7" s="30">
        <f t="shared" si="16"/>
        <v>9.7558346636765769E-3</v>
      </c>
      <c r="AA7" s="30">
        <f t="shared" si="17"/>
        <v>0.42362461086402448</v>
      </c>
      <c r="AB7" s="30">
        <f t="shared" si="18"/>
        <v>-0.14869534234205195</v>
      </c>
      <c r="AC7" s="30">
        <f t="shared" si="19"/>
        <v>1.6861231467408366E-2</v>
      </c>
    </row>
    <row r="8" spans="1:29" x14ac:dyDescent="0.5">
      <c r="A8">
        <v>1985</v>
      </c>
      <c r="B8" s="12">
        <f>'Minimum Deflation Total'!B8</f>
        <v>121942.43010836955</v>
      </c>
      <c r="C8" s="12">
        <f>Data!AE528</f>
        <v>338399.19</v>
      </c>
      <c r="D8" s="12">
        <f>Data!Z87</f>
        <v>4041938.8</v>
      </c>
      <c r="E8" s="11">
        <f t="shared" si="6"/>
        <v>12.561752126691509</v>
      </c>
      <c r="F8" s="11">
        <f t="shared" si="7"/>
        <v>0.58348845130441251</v>
      </c>
      <c r="G8" s="12">
        <f t="shared" si="8"/>
        <v>602909.67087112321</v>
      </c>
      <c r="H8" s="12">
        <f t="shared" si="8"/>
        <v>1109199.6142060561</v>
      </c>
      <c r="I8" s="17">
        <f t="shared" si="9"/>
        <v>0.69806311424018697</v>
      </c>
      <c r="J8" s="17">
        <f t="shared" si="10"/>
        <v>1.742859422736428</v>
      </c>
      <c r="K8" s="18">
        <f t="shared" si="11"/>
        <v>0.75743113777301241</v>
      </c>
      <c r="L8" s="18">
        <f t="shared" si="12"/>
        <v>0.95932091326852797</v>
      </c>
      <c r="M8" s="30">
        <f>Data!H204</f>
        <v>5.7100001999999997E-2</v>
      </c>
      <c r="N8" s="30">
        <f>Data!H321 - M8</f>
        <v>0.17629999800000001</v>
      </c>
      <c r="O8" s="30">
        <f t="shared" si="0"/>
        <v>0.76660000000000006</v>
      </c>
      <c r="P8" s="30">
        <f>Data!M204</f>
        <v>5.8600000999999999E-2</v>
      </c>
      <c r="Q8" s="30">
        <f>Data!M321 - P8</f>
        <v>0.17139999900000003</v>
      </c>
      <c r="R8" s="30">
        <f t="shared" si="13"/>
        <v>0.77</v>
      </c>
      <c r="S8" s="19">
        <f t="shared" si="1"/>
        <v>0.75743113777301241</v>
      </c>
      <c r="T8" s="19">
        <f t="shared" si="2"/>
        <v>0.20188977549551557</v>
      </c>
      <c r="U8" s="19">
        <f t="shared" si="3"/>
        <v>4.0679086731472025E-2</v>
      </c>
      <c r="V8" s="30">
        <f t="shared" si="14"/>
        <v>0.24256886222698759</v>
      </c>
      <c r="W8" s="11">
        <f t="shared" si="4"/>
        <v>0.32009197483441976</v>
      </c>
      <c r="X8" s="30">
        <f t="shared" si="5"/>
        <v>0.40366971306225685</v>
      </c>
      <c r="Y8" s="30">
        <f t="shared" si="15"/>
        <v>-0.12675123062922999</v>
      </c>
      <c r="Z8" s="30">
        <f t="shared" si="16"/>
        <v>1.2105209001501915E-2</v>
      </c>
      <c r="AA8" s="30">
        <f t="shared" si="17"/>
        <v>0.44054367264501959</v>
      </c>
      <c r="AB8" s="30">
        <f t="shared" si="18"/>
        <v>-0.15102189509439912</v>
      </c>
      <c r="AC8" s="30">
        <f t="shared" si="19"/>
        <v>1.6594065915935818E-2</v>
      </c>
    </row>
    <row r="9" spans="1:29" x14ac:dyDescent="0.5">
      <c r="A9" s="10">
        <v>1986</v>
      </c>
      <c r="B9" s="12">
        <f>'Minimum Deflation Total'!B9</f>
        <v>124381.27871053694</v>
      </c>
      <c r="C9" s="12">
        <f>Data!AE529</f>
        <v>345933.31</v>
      </c>
      <c r="D9" s="12">
        <f>Data!Z88</f>
        <v>3140003.5</v>
      </c>
      <c r="E9" s="11">
        <f t="shared" si="6"/>
        <v>12.609223016947888</v>
      </c>
      <c r="F9" s="11">
        <f t="shared" si="7"/>
        <v>0.53810458620866852</v>
      </c>
      <c r="G9" s="12">
        <f t="shared" si="8"/>
        <v>596498.37233877298</v>
      </c>
      <c r="H9" s="12">
        <f t="shared" si="8"/>
        <v>1046583.3635521583</v>
      </c>
      <c r="I9" s="17">
        <f t="shared" si="9"/>
        <v>0.74344697933593307</v>
      </c>
      <c r="J9" s="17">
        <f t="shared" si="10"/>
        <v>1.7882432878321715</v>
      </c>
      <c r="K9" s="18">
        <f t="shared" si="11"/>
        <v>0.77139444472839991</v>
      </c>
      <c r="L9" s="18">
        <f t="shared" si="12"/>
        <v>0.96313161741539655</v>
      </c>
      <c r="M9" s="30">
        <f>Data!H205</f>
        <v>4.5299999000000001E-2</v>
      </c>
      <c r="N9" s="30">
        <f>Data!H322 - M9</f>
        <v>0.16990001099999999</v>
      </c>
      <c r="O9" s="30">
        <f t="shared" si="0"/>
        <v>0.78479999</v>
      </c>
      <c r="P9" s="30">
        <f>Data!M205</f>
        <v>4.82E-2</v>
      </c>
      <c r="Q9" s="30">
        <f>Data!M322 - P9</f>
        <v>0.16619999000000002</v>
      </c>
      <c r="R9" s="30">
        <f t="shared" si="13"/>
        <v>0.78560001000000002</v>
      </c>
      <c r="S9" s="19">
        <f t="shared" si="1"/>
        <v>0.77139444472839991</v>
      </c>
      <c r="T9" s="19">
        <f t="shared" si="2"/>
        <v>0.19173717268699664</v>
      </c>
      <c r="U9" s="19">
        <f t="shared" si="3"/>
        <v>3.6868382584603454E-2</v>
      </c>
      <c r="V9" s="30">
        <f t="shared" si="14"/>
        <v>0.22860555527160009</v>
      </c>
      <c r="W9" s="11">
        <f t="shared" si="4"/>
        <v>0.29642377522756558</v>
      </c>
      <c r="X9" s="30">
        <f t="shared" si="5"/>
        <v>0.228695045030743</v>
      </c>
      <c r="Y9" s="30">
        <f t="shared" si="15"/>
        <v>-0.11389112179433747</v>
      </c>
      <c r="Z9" s="30">
        <f t="shared" si="16"/>
        <v>1.7378327473333011E-2</v>
      </c>
      <c r="AA9" s="30">
        <f t="shared" si="17"/>
        <v>0.30735325558134807</v>
      </c>
      <c r="AB9" s="30">
        <f t="shared" si="18"/>
        <v>-0.13318848050755949</v>
      </c>
      <c r="AC9" s="30">
        <f t="shared" si="19"/>
        <v>1.8415436316243872E-2</v>
      </c>
    </row>
    <row r="10" spans="1:29" x14ac:dyDescent="0.5">
      <c r="A10">
        <v>1987</v>
      </c>
      <c r="B10" s="12">
        <f>'Minimum Deflation Total'!B10</f>
        <v>126868.90428474768</v>
      </c>
      <c r="C10" s="12">
        <f>Data!AE530</f>
        <v>348023.5</v>
      </c>
      <c r="D10" s="12">
        <f>Data!Z89</f>
        <v>3069888.3</v>
      </c>
      <c r="E10" s="11">
        <f t="shared" si="6"/>
        <v>12.619023353949501</v>
      </c>
      <c r="F10" s="11">
        <f t="shared" si="7"/>
        <v>0.53104035865982802</v>
      </c>
      <c r="G10" s="12">
        <f t="shared" si="8"/>
        <v>596944.22166170774</v>
      </c>
      <c r="H10" s="12">
        <f t="shared" si="8"/>
        <v>1039663.8142679848</v>
      </c>
      <c r="I10" s="17">
        <f t="shared" si="9"/>
        <v>0.75051120688477513</v>
      </c>
      <c r="J10" s="17">
        <f t="shared" si="10"/>
        <v>1.7953075153810134</v>
      </c>
      <c r="K10" s="18">
        <f t="shared" si="11"/>
        <v>0.77352656163740907</v>
      </c>
      <c r="L10" s="18">
        <f t="shared" si="12"/>
        <v>0.9636976408449528</v>
      </c>
      <c r="M10" s="30">
        <f>Data!H206</f>
        <v>4.4399999000000002E-2</v>
      </c>
      <c r="N10" s="30">
        <f>Data!H323 - M10</f>
        <v>0.16930000100000001</v>
      </c>
      <c r="O10" s="30">
        <f t="shared" si="0"/>
        <v>0.7863</v>
      </c>
      <c r="P10" s="30">
        <f>Data!M206</f>
        <v>4.4599999000000001E-2</v>
      </c>
      <c r="Q10" s="30">
        <f>Data!M323 - P10</f>
        <v>0.16449999100000001</v>
      </c>
      <c r="R10" s="30">
        <f t="shared" si="13"/>
        <v>0.79090000999999999</v>
      </c>
      <c r="S10" s="19">
        <f t="shared" si="1"/>
        <v>0.77352656163740907</v>
      </c>
      <c r="T10" s="19">
        <f t="shared" si="2"/>
        <v>0.19017107920754373</v>
      </c>
      <c r="U10" s="19">
        <f t="shared" si="3"/>
        <v>3.6302359155047204E-2</v>
      </c>
      <c r="V10" s="30">
        <f t="shared" si="14"/>
        <v>0.22647343836259093</v>
      </c>
      <c r="W10" s="11">
        <f t="shared" si="4"/>
        <v>0.29271301818965734</v>
      </c>
      <c r="X10" s="30">
        <f t="shared" si="5"/>
        <v>0.2230609809783386</v>
      </c>
      <c r="Y10" s="30">
        <f t="shared" si="15"/>
        <v>-0.10974896022315783</v>
      </c>
      <c r="Z10" s="30">
        <f t="shared" si="16"/>
        <v>1.6513251122950434E-2</v>
      </c>
      <c r="AA10" s="30">
        <f t="shared" si="17"/>
        <v>0.22857026480052212</v>
      </c>
      <c r="AB10" s="30">
        <f t="shared" si="18"/>
        <v>-0.1349894437919632</v>
      </c>
      <c r="AC10" s="30">
        <f t="shared" si="19"/>
        <v>2.2460054022986231E-2</v>
      </c>
    </row>
    <row r="11" spans="1:29" x14ac:dyDescent="0.5">
      <c r="A11" s="10">
        <v>1988</v>
      </c>
      <c r="B11" s="12">
        <f>'Minimum Deflation Total'!B11</f>
        <v>129406.28237044264</v>
      </c>
      <c r="C11" s="12">
        <f>Data!AE531</f>
        <v>337113.59</v>
      </c>
      <c r="D11" s="12">
        <f>Data!Z90</f>
        <v>2689862.3</v>
      </c>
      <c r="E11" s="11">
        <f t="shared" si="6"/>
        <v>12.600301523247715</v>
      </c>
      <c r="F11" s="11">
        <f t="shared" si="7"/>
        <v>0.50571472513381133</v>
      </c>
      <c r="G11" s="12">
        <f t="shared" si="8"/>
        <v>567162.43375140452</v>
      </c>
      <c r="H11" s="12">
        <f t="shared" si="8"/>
        <v>962000.16285320488</v>
      </c>
      <c r="I11" s="17">
        <f t="shared" si="9"/>
        <v>0.77583684041079071</v>
      </c>
      <c r="J11" s="17">
        <f t="shared" si="10"/>
        <v>1.8206331489070291</v>
      </c>
      <c r="K11" s="18">
        <f t="shared" si="11"/>
        <v>0.78107733566297954</v>
      </c>
      <c r="L11" s="18">
        <f t="shared" si="12"/>
        <v>0.96566867981511983</v>
      </c>
      <c r="M11" s="30">
        <f>Data!H207</f>
        <v>4.1099998999999998E-2</v>
      </c>
      <c r="N11" s="30">
        <f>Data!H324 - M11</f>
        <v>0.16620001100000001</v>
      </c>
      <c r="O11" s="30">
        <f t="shared" si="0"/>
        <v>0.79269999000000002</v>
      </c>
      <c r="P11" s="30">
        <f>Data!M207</f>
        <v>3.9900000999999997E-2</v>
      </c>
      <c r="Q11" s="30">
        <f>Data!M324 - P11</f>
        <v>0.16069999900000001</v>
      </c>
      <c r="R11" s="30">
        <f t="shared" si="13"/>
        <v>0.7994</v>
      </c>
      <c r="S11" s="19">
        <f t="shared" si="1"/>
        <v>0.78107733566297954</v>
      </c>
      <c r="T11" s="19">
        <f t="shared" si="2"/>
        <v>0.18459134415214029</v>
      </c>
      <c r="U11" s="19">
        <f t="shared" si="3"/>
        <v>3.4331320184880165E-2</v>
      </c>
      <c r="V11" s="30">
        <f t="shared" si="14"/>
        <v>0.21892266433702046</v>
      </c>
      <c r="W11" s="11">
        <f t="shared" si="4"/>
        <v>0.27935306403088078</v>
      </c>
      <c r="X11" s="30">
        <f t="shared" si="5"/>
        <v>0.19715754531632679</v>
      </c>
      <c r="Y11" s="30">
        <f t="shared" si="15"/>
        <v>-9.9632695328238929E-2</v>
      </c>
      <c r="Z11" s="30">
        <f t="shared" si="16"/>
        <v>1.4880286248678765E-2</v>
      </c>
      <c r="AA11" s="30">
        <f t="shared" si="17"/>
        <v>0.16220409774898004</v>
      </c>
      <c r="AB11" s="30">
        <f t="shared" si="18"/>
        <v>-0.12942830695489715</v>
      </c>
      <c r="AC11" s="30">
        <f t="shared" si="19"/>
        <v>2.3458194855274117E-2</v>
      </c>
    </row>
    <row r="12" spans="1:29" x14ac:dyDescent="0.5">
      <c r="A12">
        <v>1989</v>
      </c>
      <c r="B12" s="12">
        <f>'Minimum Deflation Total'!B12</f>
        <v>131994.4080178515</v>
      </c>
      <c r="C12" s="12">
        <f>Data!AE532</f>
        <v>338700.81</v>
      </c>
      <c r="D12" s="12">
        <f>Data!Z91</f>
        <v>2971557.8</v>
      </c>
      <c r="E12" s="11">
        <f t="shared" si="6"/>
        <v>12.598184833064339</v>
      </c>
      <c r="F12" s="11">
        <f t="shared" si="7"/>
        <v>0.51901367464752413</v>
      </c>
      <c r="G12" s="12">
        <f t="shared" si="8"/>
        <v>575691.73858237255</v>
      </c>
      <c r="H12" s="12">
        <f t="shared" si="8"/>
        <v>990129.66836339841</v>
      </c>
      <c r="I12" s="17">
        <f t="shared" si="9"/>
        <v>0.76253789089707757</v>
      </c>
      <c r="J12" s="17">
        <f t="shared" si="10"/>
        <v>1.8073341993933172</v>
      </c>
      <c r="K12" s="18">
        <f t="shared" si="11"/>
        <v>0.777130481275769</v>
      </c>
      <c r="L12" s="18">
        <f t="shared" si="12"/>
        <v>0.96464490662379709</v>
      </c>
      <c r="M12" s="30">
        <f>Data!H208</f>
        <v>4.4199998999999997E-2</v>
      </c>
      <c r="N12" s="30">
        <f>Data!H325 - M12</f>
        <v>0.162800001</v>
      </c>
      <c r="O12" s="30">
        <f t="shared" si="0"/>
        <v>0.79299999999999993</v>
      </c>
      <c r="P12" s="30">
        <f>Data!M208</f>
        <v>4.2199999000000002E-2</v>
      </c>
      <c r="Q12" s="30">
        <f>Data!M325 - P12</f>
        <v>0.157000001</v>
      </c>
      <c r="R12" s="30">
        <f t="shared" si="13"/>
        <v>0.80079999999999996</v>
      </c>
      <c r="S12" s="19">
        <f t="shared" si="1"/>
        <v>0.777130481275769</v>
      </c>
      <c r="T12" s="19">
        <f t="shared" si="2"/>
        <v>0.18751442534802809</v>
      </c>
      <c r="U12" s="19">
        <f t="shared" si="3"/>
        <v>3.5355093376202906E-2</v>
      </c>
      <c r="V12" s="30">
        <f t="shared" si="14"/>
        <v>0.222869518724231</v>
      </c>
      <c r="W12" s="11">
        <f t="shared" si="4"/>
        <v>0.28637955644491786</v>
      </c>
      <c r="X12" s="30">
        <f t="shared" si="5"/>
        <v>0.2501734482689979</v>
      </c>
      <c r="Y12" s="30">
        <f t="shared" si="15"/>
        <v>-0.13180012312203682</v>
      </c>
      <c r="Z12" s="30">
        <f t="shared" si="16"/>
        <v>2.0420661789225969E-2</v>
      </c>
      <c r="AA12" s="30">
        <f t="shared" si="17"/>
        <v>0.19360451267834344</v>
      </c>
      <c r="AB12" s="30">
        <f t="shared" si="18"/>
        <v>-0.16273107677658993</v>
      </c>
      <c r="AC12" s="30">
        <f t="shared" si="19"/>
        <v>3.0457586331415154E-2</v>
      </c>
    </row>
    <row r="13" spans="1:29" x14ac:dyDescent="0.5">
      <c r="A13" s="10">
        <v>1990</v>
      </c>
      <c r="B13" s="12">
        <f>'Minimum Deflation Total'!B13</f>
        <v>134634.29617820852</v>
      </c>
      <c r="C13" s="12">
        <f>Data!AE533</f>
        <v>345408.91</v>
      </c>
      <c r="D13" s="12">
        <f>Data!Z92</f>
        <v>3119595.3</v>
      </c>
      <c r="E13" s="11">
        <f t="shared" si="6"/>
        <v>12.615292606841738</v>
      </c>
      <c r="F13" s="11">
        <f t="shared" si="7"/>
        <v>0.52381606256128832</v>
      </c>
      <c r="G13" s="12">
        <f t="shared" si="8"/>
        <v>589240.6198488049</v>
      </c>
      <c r="H13" s="12">
        <f t="shared" si="8"/>
        <v>1018530.0214639186</v>
      </c>
      <c r="I13" s="17">
        <f t="shared" si="9"/>
        <v>0.75773550298331105</v>
      </c>
      <c r="J13" s="17">
        <f t="shared" si="10"/>
        <v>1.8025318114795499</v>
      </c>
      <c r="K13" s="18">
        <f t="shared" si="11"/>
        <v>0.77569532974740563</v>
      </c>
      <c r="L13" s="18">
        <f t="shared" si="12"/>
        <v>0.96426911281406957</v>
      </c>
      <c r="M13" s="30">
        <f>Data!H209</f>
        <v>4.5499998999999999E-2</v>
      </c>
      <c r="N13" s="30">
        <f>Data!H326 - M13</f>
        <v>0.16449999100000001</v>
      </c>
      <c r="O13" s="30">
        <f t="shared" si="0"/>
        <v>0.79000000999999997</v>
      </c>
      <c r="P13" s="30">
        <f>Data!M209</f>
        <v>4.2700000000000002E-2</v>
      </c>
      <c r="Q13" s="30">
        <f>Data!M326 - P13</f>
        <v>0.1578</v>
      </c>
      <c r="R13" s="30">
        <f t="shared" si="13"/>
        <v>0.7995000000000001</v>
      </c>
      <c r="S13" s="19">
        <f t="shared" si="1"/>
        <v>0.77569532974740563</v>
      </c>
      <c r="T13" s="19">
        <f t="shared" si="2"/>
        <v>0.18857378306666395</v>
      </c>
      <c r="U13" s="19">
        <f t="shared" si="3"/>
        <v>3.5730887185930427E-2</v>
      </c>
      <c r="V13" s="30">
        <f t="shared" si="14"/>
        <v>0.22430467025259437</v>
      </c>
      <c r="W13" s="11">
        <f t="shared" si="4"/>
        <v>0.28891097427231571</v>
      </c>
      <c r="X13" s="30">
        <f t="shared" si="5"/>
        <v>0.27340803947113601</v>
      </c>
      <c r="Y13" s="30">
        <f t="shared" si="15"/>
        <v>-0.12766245485011807</v>
      </c>
      <c r="Z13" s="30">
        <f t="shared" si="16"/>
        <v>1.8441106584014655E-2</v>
      </c>
      <c r="AA13" s="30">
        <f t="shared" si="17"/>
        <v>0.19504449407608804</v>
      </c>
      <c r="AB13" s="30">
        <f t="shared" si="18"/>
        <v>-0.16319226652935581</v>
      </c>
      <c r="AC13" s="30">
        <f t="shared" si="19"/>
        <v>3.0688170135491299E-2</v>
      </c>
    </row>
    <row r="14" spans="1:29" x14ac:dyDescent="0.5">
      <c r="A14">
        <v>1991</v>
      </c>
      <c r="B14" s="12">
        <f>'Minimum Deflation Total'!B14</f>
        <v>137326.98210177268</v>
      </c>
      <c r="C14" s="12">
        <f>Data!AE534</f>
        <v>354589.59</v>
      </c>
      <c r="D14" s="12">
        <f>Data!Z93</f>
        <v>3275279.3</v>
      </c>
      <c r="E14" s="11">
        <f t="shared" si="6"/>
        <v>12.638990277246863</v>
      </c>
      <c r="F14" s="11">
        <f t="shared" si="7"/>
        <v>0.52863226901591887</v>
      </c>
      <c r="G14" s="12">
        <f t="shared" si="8"/>
        <v>607106.67090189015</v>
      </c>
      <c r="H14" s="12">
        <f t="shared" si="8"/>
        <v>1054706.2313513064</v>
      </c>
      <c r="I14" s="17">
        <f t="shared" si="9"/>
        <v>0.75291929652868228</v>
      </c>
      <c r="J14" s="17">
        <f t="shared" si="10"/>
        <v>1.7977156050249203</v>
      </c>
      <c r="K14" s="18">
        <f t="shared" si="11"/>
        <v>0.77425079414590137</v>
      </c>
      <c r="L14" s="18">
        <f t="shared" si="12"/>
        <v>0.96388895639231509</v>
      </c>
      <c r="M14" s="30">
        <f>Data!H210</f>
        <v>4.6399998999999997E-2</v>
      </c>
      <c r="N14" s="30">
        <f>Data!H327 - M14</f>
        <v>0.16440001100000001</v>
      </c>
      <c r="O14" s="30">
        <f t="shared" si="0"/>
        <v>0.78919998999999996</v>
      </c>
      <c r="P14" s="30">
        <f>Data!M210</f>
        <v>4.2900000000000001E-2</v>
      </c>
      <c r="Q14" s="30">
        <f>Data!M327 - P14</f>
        <v>0.15659998999999999</v>
      </c>
      <c r="R14" s="30">
        <f t="shared" si="13"/>
        <v>0.80050000999999993</v>
      </c>
      <c r="S14" s="19">
        <f t="shared" si="1"/>
        <v>0.77425079414590137</v>
      </c>
      <c r="T14" s="19">
        <f t="shared" si="2"/>
        <v>0.18963816224641372</v>
      </c>
      <c r="U14" s="19">
        <f t="shared" si="3"/>
        <v>3.6111043607684912E-2</v>
      </c>
      <c r="V14" s="30">
        <f t="shared" si="14"/>
        <v>0.22574920585409863</v>
      </c>
      <c r="W14" s="11">
        <f t="shared" si="4"/>
        <v>0.29144648033696807</v>
      </c>
      <c r="X14" s="30">
        <f t="shared" si="5"/>
        <v>0.28492545117487156</v>
      </c>
      <c r="Y14" s="30">
        <f t="shared" si="15"/>
        <v>-0.13308582485427978</v>
      </c>
      <c r="Z14" s="30">
        <f t="shared" si="16"/>
        <v>1.9307950301283849E-2</v>
      </c>
      <c r="AA14" s="30">
        <f t="shared" si="17"/>
        <v>0.18800222076302187</v>
      </c>
      <c r="AB14" s="30">
        <f t="shared" si="18"/>
        <v>-0.174216897353626</v>
      </c>
      <c r="AC14" s="30">
        <f t="shared" si="19"/>
        <v>3.3902730294329109E-2</v>
      </c>
    </row>
    <row r="15" spans="1:29" x14ac:dyDescent="0.5">
      <c r="A15" s="10">
        <v>1992</v>
      </c>
      <c r="B15" s="12">
        <f>'Minimum Deflation Total'!B15</f>
        <v>140073.52174380815</v>
      </c>
      <c r="C15" s="12">
        <f>Data!AE535</f>
        <v>369851.81</v>
      </c>
      <c r="D15" s="12">
        <f>Data!Z94</f>
        <v>4058812.5</v>
      </c>
      <c r="E15" s="11">
        <f t="shared" si="6"/>
        <v>12.663452468330961</v>
      </c>
      <c r="F15" s="11">
        <f t="shared" si="7"/>
        <v>0.56107971367529286</v>
      </c>
      <c r="G15" s="12">
        <f t="shared" si="8"/>
        <v>648556.9220227825</v>
      </c>
      <c r="H15" s="12">
        <f t="shared" si="8"/>
        <v>1165567.9855383064</v>
      </c>
      <c r="I15" s="17">
        <f t="shared" si="9"/>
        <v>0.72047185186930662</v>
      </c>
      <c r="J15" s="17">
        <f t="shared" si="10"/>
        <v>1.7652681603655478</v>
      </c>
      <c r="K15" s="18">
        <f t="shared" si="11"/>
        <v>0.76438273773600951</v>
      </c>
      <c r="L15" s="18">
        <f t="shared" si="12"/>
        <v>0.96124064601108328</v>
      </c>
      <c r="M15" s="30">
        <f>Data!H211</f>
        <v>5.3900000000000003E-2</v>
      </c>
      <c r="N15" s="30">
        <f>Data!H328 - M15</f>
        <v>0.16469999999999999</v>
      </c>
      <c r="O15" s="30">
        <f t="shared" si="0"/>
        <v>0.78140000000000009</v>
      </c>
      <c r="P15" s="30">
        <f>Data!M211</f>
        <v>4.9500000000000002E-2</v>
      </c>
      <c r="Q15" s="30">
        <f>Data!M328 - P15</f>
        <v>0.15660000000000002</v>
      </c>
      <c r="R15" s="30">
        <f t="shared" si="13"/>
        <v>0.79389999999999994</v>
      </c>
      <c r="S15" s="19">
        <f t="shared" si="1"/>
        <v>0.76438273773600951</v>
      </c>
      <c r="T15" s="19">
        <f t="shared" si="2"/>
        <v>0.19685790827507377</v>
      </c>
      <c r="U15" s="19">
        <f t="shared" si="3"/>
        <v>3.8759353988916723E-2</v>
      </c>
      <c r="V15" s="30">
        <f t="shared" si="14"/>
        <v>0.23561726226399049</v>
      </c>
      <c r="W15" s="11">
        <f t="shared" si="4"/>
        <v>0.3084432118067304</v>
      </c>
      <c r="X15" s="30">
        <f t="shared" si="5"/>
        <v>0.39063205272752399</v>
      </c>
      <c r="Y15" s="30">
        <f t="shared" si="15"/>
        <v>-0.16335593808168913</v>
      </c>
      <c r="Z15" s="30">
        <f t="shared" si="16"/>
        <v>2.2262750614166382E-2</v>
      </c>
      <c r="AA15" s="30">
        <f t="shared" si="17"/>
        <v>0.27711106883139958</v>
      </c>
      <c r="AB15" s="30">
        <f t="shared" si="18"/>
        <v>-0.20450236735635996</v>
      </c>
      <c r="AC15" s="30">
        <f t="shared" si="19"/>
        <v>3.8615814835662343E-2</v>
      </c>
    </row>
    <row r="16" spans="1:29" x14ac:dyDescent="0.5">
      <c r="A16">
        <v>1993</v>
      </c>
      <c r="B16" s="12">
        <f>'Minimum Deflation Total'!B16</f>
        <v>142874.9921786843</v>
      </c>
      <c r="C16" s="12">
        <f>Data!AE536</f>
        <v>377565</v>
      </c>
      <c r="D16" s="12">
        <f>Data!Z95</f>
        <v>5023467</v>
      </c>
      <c r="E16" s="11">
        <f t="shared" si="6"/>
        <v>12.665485136544341</v>
      </c>
      <c r="F16" s="11">
        <f t="shared" si="7"/>
        <v>0.59331759073051238</v>
      </c>
      <c r="G16" s="12">
        <f t="shared" si="8"/>
        <v>677288.241230721</v>
      </c>
      <c r="H16" s="12">
        <f t="shared" si="8"/>
        <v>1258899.2076699296</v>
      </c>
      <c r="I16" s="17">
        <f t="shared" si="9"/>
        <v>0.6882339748140881</v>
      </c>
      <c r="J16" s="17">
        <f t="shared" si="10"/>
        <v>1.7330302833103277</v>
      </c>
      <c r="K16" s="18">
        <f t="shared" si="11"/>
        <v>0.75434727392263756</v>
      </c>
      <c r="L16" s="18">
        <f t="shared" si="12"/>
        <v>0.95845485680429499</v>
      </c>
      <c r="M16" s="30">
        <f>Data!H212</f>
        <v>6.4699999999999994E-2</v>
      </c>
      <c r="N16" s="30">
        <f>Data!H329 - M16</f>
        <v>0.16999998999999999</v>
      </c>
      <c r="O16" s="30">
        <f t="shared" si="0"/>
        <v>0.76530001000000003</v>
      </c>
      <c r="P16" s="30">
        <f>Data!M212</f>
        <v>6.1999999E-2</v>
      </c>
      <c r="Q16" s="30">
        <f>Data!M329 - P16</f>
        <v>0.16070000100000001</v>
      </c>
      <c r="R16" s="30">
        <f t="shared" si="13"/>
        <v>0.77729999999999999</v>
      </c>
      <c r="S16" s="19">
        <f t="shared" si="1"/>
        <v>0.75434727392263756</v>
      </c>
      <c r="T16" s="19">
        <f t="shared" si="2"/>
        <v>0.20410758288165742</v>
      </c>
      <c r="U16" s="19">
        <f t="shared" si="3"/>
        <v>4.1545143195705014E-2</v>
      </c>
      <c r="V16" s="30">
        <f t="shared" si="14"/>
        <v>0.24565272607736244</v>
      </c>
      <c r="W16" s="11">
        <f t="shared" si="4"/>
        <v>0.32517766247016588</v>
      </c>
      <c r="X16" s="30">
        <f t="shared" si="5"/>
        <v>0.55734208678064578</v>
      </c>
      <c r="Y16" s="30">
        <f t="shared" si="15"/>
        <v>-0.16710595657503413</v>
      </c>
      <c r="Z16" s="30">
        <f t="shared" si="16"/>
        <v>1.4519487848624113E-2</v>
      </c>
      <c r="AA16" s="30">
        <f t="shared" si="17"/>
        <v>0.49235251658513079</v>
      </c>
      <c r="AB16" s="30">
        <f t="shared" si="18"/>
        <v>-0.21267010891420601</v>
      </c>
      <c r="AC16" s="30">
        <f t="shared" si="19"/>
        <v>3.0427267216075915E-2</v>
      </c>
    </row>
    <row r="17" spans="1:29" x14ac:dyDescent="0.5">
      <c r="A17" s="10">
        <v>1994</v>
      </c>
      <c r="B17" s="12">
        <f>'Minimum Deflation Total'!B17</f>
        <v>145732.492022258</v>
      </c>
      <c r="C17" s="12">
        <f>Data!AE537</f>
        <v>398987.09</v>
      </c>
      <c r="D17" s="12">
        <f>Data!Z96</f>
        <v>5641235.5</v>
      </c>
      <c r="E17" s="11">
        <f t="shared" si="6"/>
        <v>12.711032081900088</v>
      </c>
      <c r="F17" s="11">
        <f t="shared" si="7"/>
        <v>0.60934761435280116</v>
      </c>
      <c r="G17" s="12">
        <f t="shared" si="8"/>
        <v>723562.69108326081</v>
      </c>
      <c r="H17" s="12">
        <f t="shared" si="8"/>
        <v>1367625.5365501568</v>
      </c>
      <c r="I17" s="17">
        <f t="shared" si="9"/>
        <v>0.67220395119180076</v>
      </c>
      <c r="J17" s="17">
        <f t="shared" si="10"/>
        <v>1.7170002596880414</v>
      </c>
      <c r="K17" s="18">
        <f t="shared" si="11"/>
        <v>0.7492730670296196</v>
      </c>
      <c r="L17" s="18">
        <f t="shared" si="12"/>
        <v>0.95701043772971084</v>
      </c>
      <c r="M17" s="30">
        <f>Data!H213</f>
        <v>6.8499997000000007E-2</v>
      </c>
      <c r="N17" s="30">
        <f>Data!H330 - M17</f>
        <v>0.17679999299999999</v>
      </c>
      <c r="O17" s="30">
        <f t="shared" si="0"/>
        <v>0.75470001000000009</v>
      </c>
      <c r="P17" s="30">
        <f>Data!M213</f>
        <v>6.8700000999999997E-2</v>
      </c>
      <c r="Q17" s="30">
        <f>Data!M330 - P17</f>
        <v>0.165599999</v>
      </c>
      <c r="R17" s="30">
        <f t="shared" si="13"/>
        <v>0.76570000000000005</v>
      </c>
      <c r="S17" s="19">
        <f t="shared" si="1"/>
        <v>0.7492730670296196</v>
      </c>
      <c r="T17" s="19">
        <f t="shared" si="2"/>
        <v>0.20773737070009124</v>
      </c>
      <c r="U17" s="19">
        <f t="shared" si="3"/>
        <v>4.2989562270289161E-2</v>
      </c>
      <c r="V17" s="30">
        <f t="shared" si="14"/>
        <v>0.2507269329703804</v>
      </c>
      <c r="W17" s="11">
        <f t="shared" si="4"/>
        <v>0.33343988718443462</v>
      </c>
      <c r="X17" s="30">
        <f t="shared" si="5"/>
        <v>0.59340996703615079</v>
      </c>
      <c r="Y17" s="30">
        <f t="shared" si="15"/>
        <v>-0.14892543212533138</v>
      </c>
      <c r="Z17" s="30">
        <f t="shared" si="16"/>
        <v>7.2429441403716321E-3</v>
      </c>
      <c r="AA17" s="30">
        <f t="shared" si="17"/>
        <v>0.59806235216030035</v>
      </c>
      <c r="AB17" s="30">
        <f t="shared" si="18"/>
        <v>-0.20283963139653205</v>
      </c>
      <c r="AC17" s="30">
        <f t="shared" si="19"/>
        <v>2.1923826830587245E-2</v>
      </c>
    </row>
    <row r="18" spans="1:29" x14ac:dyDescent="0.5">
      <c r="A18">
        <v>1995</v>
      </c>
      <c r="B18" s="12">
        <f>'Minimum Deflation Total'!B18</f>
        <v>148647.14186270317</v>
      </c>
      <c r="C18" s="12">
        <f>Data!AE538</f>
        <v>417541.91</v>
      </c>
      <c r="D18" s="12">
        <f>Data!Z97</f>
        <v>5866510</v>
      </c>
      <c r="E18" s="11">
        <f t="shared" si="6"/>
        <v>12.754517170845721</v>
      </c>
      <c r="F18" s="11">
        <f t="shared" si="7"/>
        <v>0.61257331091519018</v>
      </c>
      <c r="G18" s="12">
        <f t="shared" si="8"/>
        <v>758851.5541808249</v>
      </c>
      <c r="H18" s="12">
        <f t="shared" si="8"/>
        <v>1439168.0915180326</v>
      </c>
      <c r="I18" s="17">
        <f t="shared" si="9"/>
        <v>0.66897825462941196</v>
      </c>
      <c r="J18" s="17">
        <f t="shared" si="10"/>
        <v>1.7137745631256522</v>
      </c>
      <c r="K18" s="18">
        <f t="shared" si="11"/>
        <v>0.74824532526903031</v>
      </c>
      <c r="L18" s="18">
        <f t="shared" si="12"/>
        <v>0.95671493161847865</v>
      </c>
      <c r="M18" s="30">
        <f>Data!H214</f>
        <v>6.8099997999999995E-2</v>
      </c>
      <c r="N18" s="30">
        <f>Data!H331 - M18</f>
        <v>0.17680000200000001</v>
      </c>
      <c r="O18" s="30">
        <f t="shared" si="0"/>
        <v>0.75509999999999999</v>
      </c>
      <c r="P18" s="30">
        <f>Data!M214</f>
        <v>6.9600000999999995E-2</v>
      </c>
      <c r="Q18" s="30">
        <f>Data!M331 - P18</f>
        <v>0.165099989</v>
      </c>
      <c r="R18" s="30">
        <f t="shared" si="13"/>
        <v>0.76530001000000003</v>
      </c>
      <c r="S18" s="19">
        <f t="shared" si="1"/>
        <v>0.74824532526903031</v>
      </c>
      <c r="T18" s="19">
        <f t="shared" si="2"/>
        <v>0.20846960634944833</v>
      </c>
      <c r="U18" s="19">
        <f t="shared" si="3"/>
        <v>4.3285068381521352E-2</v>
      </c>
      <c r="V18" s="30">
        <f t="shared" si="14"/>
        <v>0.25175467473096969</v>
      </c>
      <c r="W18" s="11">
        <f t="shared" si="4"/>
        <v>0.33509764441726464</v>
      </c>
      <c r="X18" s="30">
        <f t="shared" si="5"/>
        <v>0.57329075698243037</v>
      </c>
      <c r="Y18" s="30">
        <f t="shared" si="15"/>
        <v>-0.15191473185957849</v>
      </c>
      <c r="Z18" s="30">
        <f t="shared" si="16"/>
        <v>9.1609990727374857E-3</v>
      </c>
      <c r="AA18" s="30">
        <f t="shared" si="17"/>
        <v>0.60794480873946455</v>
      </c>
      <c r="AB18" s="30">
        <f t="shared" si="18"/>
        <v>-0.20803808338732011</v>
      </c>
      <c r="AC18" s="30">
        <f t="shared" si="19"/>
        <v>2.2792905154252363E-2</v>
      </c>
    </row>
    <row r="19" spans="1:29" x14ac:dyDescent="0.5">
      <c r="A19" s="10">
        <v>1996</v>
      </c>
      <c r="B19" s="12">
        <f>'Minimum Deflation Total'!B19</f>
        <v>151620.08469995722</v>
      </c>
      <c r="C19" s="12">
        <f>Data!AE539</f>
        <v>440410.81</v>
      </c>
      <c r="D19" s="12">
        <f>Data!Z98</f>
        <v>6978859</v>
      </c>
      <c r="E19" s="11">
        <f t="shared" si="6"/>
        <v>12.79180693312292</v>
      </c>
      <c r="F19" s="11">
        <f t="shared" si="7"/>
        <v>0.6382104610140612</v>
      </c>
      <c r="G19" s="12">
        <f t="shared" si="8"/>
        <v>813992.59556224919</v>
      </c>
      <c r="H19" s="12">
        <f t="shared" si="8"/>
        <v>1585652.3886704489</v>
      </c>
      <c r="I19" s="17">
        <f t="shared" si="9"/>
        <v>0.64334110453053917</v>
      </c>
      <c r="J19" s="17">
        <f t="shared" si="10"/>
        <v>1.6881374130267801</v>
      </c>
      <c r="K19" s="18">
        <f t="shared" si="11"/>
        <v>0.73999860494791636</v>
      </c>
      <c r="L19" s="18">
        <f t="shared" si="12"/>
        <v>0.954307572966961</v>
      </c>
      <c r="M19" s="30">
        <f>Data!H215</f>
        <v>7.6499998999999999E-2</v>
      </c>
      <c r="N19" s="30">
        <f>Data!H332 - M19</f>
        <v>0.18110001100000001</v>
      </c>
      <c r="O19" s="30">
        <f t="shared" si="0"/>
        <v>0.7423999899999999</v>
      </c>
      <c r="P19" s="30">
        <f>Data!M215</f>
        <v>7.8400000999999997E-2</v>
      </c>
      <c r="Q19" s="30">
        <f>Data!M332 - P19</f>
        <v>0.16840000899999999</v>
      </c>
      <c r="R19" s="30">
        <f t="shared" si="13"/>
        <v>0.75319999000000004</v>
      </c>
      <c r="S19" s="19">
        <f t="shared" si="1"/>
        <v>0.73999860494791636</v>
      </c>
      <c r="T19" s="19">
        <f t="shared" si="2"/>
        <v>0.21430896801904464</v>
      </c>
      <c r="U19" s="19">
        <f t="shared" si="3"/>
        <v>4.5692427033038996E-2</v>
      </c>
      <c r="V19" s="30">
        <f t="shared" si="14"/>
        <v>0.26000139505208364</v>
      </c>
      <c r="W19" s="11">
        <f t="shared" si="4"/>
        <v>0.34821436457681387</v>
      </c>
      <c r="X19" s="30">
        <f t="shared" si="5"/>
        <v>0.67423802952478007</v>
      </c>
      <c r="Y19" s="30">
        <f t="shared" si="15"/>
        <v>-0.15495831707842256</v>
      </c>
      <c r="Z19" s="30">
        <f t="shared" si="16"/>
        <v>3.2451210529680363E-3</v>
      </c>
      <c r="AA19" s="30">
        <f t="shared" si="17"/>
        <v>0.71582045627191149</v>
      </c>
      <c r="AB19" s="30">
        <f t="shared" si="18"/>
        <v>-0.21421856230937075</v>
      </c>
      <c r="AC19" s="30">
        <f t="shared" si="19"/>
        <v>1.7839743161425003E-2</v>
      </c>
    </row>
    <row r="20" spans="1:29" x14ac:dyDescent="0.5">
      <c r="A20">
        <v>1997</v>
      </c>
      <c r="B20" s="12">
        <f>'Minimum Deflation Total'!B20</f>
        <v>154652.48639395638</v>
      </c>
      <c r="C20" s="12">
        <f>Data!AE540</f>
        <v>464155.09</v>
      </c>
      <c r="D20" s="12">
        <f>Data!Z99</f>
        <v>7976656.5</v>
      </c>
      <c r="E20" s="11">
        <f t="shared" si="6"/>
        <v>12.832029706923198</v>
      </c>
      <c r="F20" s="11">
        <f t="shared" si="7"/>
        <v>0.65718234018756638</v>
      </c>
      <c r="G20" s="12">
        <f t="shared" si="8"/>
        <v>868256.76650049898</v>
      </c>
      <c r="H20" s="12">
        <f t="shared" si="8"/>
        <v>1725218.8101649992</v>
      </c>
      <c r="I20" s="17">
        <f t="shared" si="9"/>
        <v>0.62436922535703421</v>
      </c>
      <c r="J20" s="17">
        <f t="shared" si="10"/>
        <v>1.6691655338532747</v>
      </c>
      <c r="K20" s="18">
        <f t="shared" si="11"/>
        <v>0.73380743453952402</v>
      </c>
      <c r="L20" s="18">
        <f t="shared" si="12"/>
        <v>0.95245771070444152</v>
      </c>
      <c r="M20" s="30">
        <f>Data!H216</f>
        <v>8.2599997999999994E-2</v>
      </c>
      <c r="N20" s="30">
        <f>Data!H333 - M20</f>
        <v>0.18630001200000001</v>
      </c>
      <c r="O20" s="30">
        <f t="shared" si="0"/>
        <v>0.73109999000000003</v>
      </c>
      <c r="P20" s="30">
        <f>Data!M216</f>
        <v>8.6800002000000001E-2</v>
      </c>
      <c r="Q20" s="30">
        <f>Data!M333 - P20</f>
        <v>0.17199999799999999</v>
      </c>
      <c r="R20" s="30">
        <f t="shared" si="13"/>
        <v>0.74119999999999997</v>
      </c>
      <c r="S20" s="19">
        <f t="shared" si="1"/>
        <v>0.73380743453952402</v>
      </c>
      <c r="T20" s="19">
        <f t="shared" si="2"/>
        <v>0.2186502761649175</v>
      </c>
      <c r="U20" s="19">
        <f t="shared" si="3"/>
        <v>4.7542289295558482E-2</v>
      </c>
      <c r="V20" s="30">
        <f t="shared" si="14"/>
        <v>0.26619256546047598</v>
      </c>
      <c r="W20" s="11">
        <f t="shared" si="4"/>
        <v>0.35785232309141835</v>
      </c>
      <c r="X20" s="30">
        <f t="shared" si="5"/>
        <v>0.73740051696914577</v>
      </c>
      <c r="Y20" s="30">
        <f t="shared" si="15"/>
        <v>-0.14795437139314305</v>
      </c>
      <c r="Z20" s="30">
        <f t="shared" si="16"/>
        <v>-3.6895845041730047E-3</v>
      </c>
      <c r="AA20" s="30">
        <f t="shared" si="17"/>
        <v>0.82574300241173004</v>
      </c>
      <c r="AB20" s="30">
        <f t="shared" si="18"/>
        <v>-0.21335567913818421</v>
      </c>
      <c r="AC20" s="30">
        <f t="shared" si="19"/>
        <v>1.0074258058062391E-2</v>
      </c>
    </row>
    <row r="21" spans="1:29" x14ac:dyDescent="0.5">
      <c r="A21" s="10">
        <v>1998</v>
      </c>
      <c r="B21" s="12">
        <f>'Minimum Deflation Total'!B21</f>
        <v>157745.53612183552</v>
      </c>
      <c r="C21" s="12">
        <f>Data!AE541</f>
        <v>469034.81</v>
      </c>
      <c r="D21" s="12">
        <f>Data!Z100</f>
        <v>7071508.5</v>
      </c>
      <c r="E21" s="11">
        <f t="shared" si="6"/>
        <v>12.857576197969626</v>
      </c>
      <c r="F21" s="11">
        <f t="shared" si="7"/>
        <v>0.63380764976906467</v>
      </c>
      <c r="G21" s="12">
        <f t="shared" si="8"/>
        <v>864436.72063927853</v>
      </c>
      <c r="H21" s="12">
        <f t="shared" si="8"/>
        <v>1676188.9235624557</v>
      </c>
      <c r="I21" s="17">
        <f t="shared" si="9"/>
        <v>0.64774391577553492</v>
      </c>
      <c r="J21" s="17">
        <f t="shared" si="10"/>
        <v>1.6925402242717742</v>
      </c>
      <c r="K21" s="18">
        <f t="shared" si="11"/>
        <v>0.74142470243789271</v>
      </c>
      <c r="L21" s="18">
        <f t="shared" si="12"/>
        <v>0.95472849130403492</v>
      </c>
      <c r="M21" s="30">
        <f>Data!H217</f>
        <v>7.2599999999999998E-2</v>
      </c>
      <c r="N21" s="30">
        <f>Data!H334 - M21</f>
        <v>0.18039999000000001</v>
      </c>
      <c r="O21" s="30">
        <f t="shared" si="0"/>
        <v>0.74700001000000005</v>
      </c>
      <c r="P21" s="30">
        <f>Data!M217</f>
        <v>7.5099997000000002E-2</v>
      </c>
      <c r="Q21" s="30">
        <f>Data!M334 - P21</f>
        <v>0.16670000299999999</v>
      </c>
      <c r="R21" s="30">
        <f t="shared" si="13"/>
        <v>0.75819999999999999</v>
      </c>
      <c r="S21" s="19">
        <f t="shared" si="1"/>
        <v>0.74142470243789271</v>
      </c>
      <c r="T21" s="19">
        <f t="shared" si="2"/>
        <v>0.21330378886614221</v>
      </c>
      <c r="U21" s="19">
        <f t="shared" si="3"/>
        <v>4.5271508695965079E-2</v>
      </c>
      <c r="V21" s="30">
        <f t="shared" si="14"/>
        <v>0.25857529756210729</v>
      </c>
      <c r="W21" s="11">
        <f t="shared" si="4"/>
        <v>0.34596926222426472</v>
      </c>
      <c r="X21" s="30">
        <f t="shared" si="5"/>
        <v>0.60365762244788246</v>
      </c>
      <c r="Y21" s="30">
        <f t="shared" si="15"/>
        <v>-0.15425792031659979</v>
      </c>
      <c r="Z21" s="30">
        <f t="shared" si="16"/>
        <v>7.519721886491082E-3</v>
      </c>
      <c r="AA21" s="30">
        <f t="shared" si="17"/>
        <v>0.65887992610004287</v>
      </c>
      <c r="AB21" s="30">
        <f t="shared" si="18"/>
        <v>-0.21848550423728386</v>
      </c>
      <c r="AC21" s="30">
        <f t="shared" si="19"/>
        <v>2.2625760251780314E-2</v>
      </c>
    </row>
    <row r="22" spans="1:29" x14ac:dyDescent="0.5">
      <c r="A22">
        <v>1999</v>
      </c>
      <c r="B22" s="12">
        <f>'Minimum Deflation Total'!B22</f>
        <v>160900.44684427223</v>
      </c>
      <c r="C22" s="12">
        <f>Data!AE542</f>
        <v>478734.5</v>
      </c>
      <c r="D22" s="12">
        <f>Data!Z101</f>
        <v>7845676.5</v>
      </c>
      <c r="E22" s="11">
        <f t="shared" si="6"/>
        <v>12.869064764268183</v>
      </c>
      <c r="F22" s="11">
        <f t="shared" si="7"/>
        <v>0.64782201059486211</v>
      </c>
      <c r="G22" s="12">
        <f t="shared" si="8"/>
        <v>890271.78913561965</v>
      </c>
      <c r="H22" s="12">
        <f t="shared" si="8"/>
        <v>1751746.9784784394</v>
      </c>
      <c r="I22" s="17">
        <f t="shared" si="9"/>
        <v>0.63372955494973593</v>
      </c>
      <c r="J22" s="17">
        <f t="shared" si="10"/>
        <v>1.6785258634459765</v>
      </c>
      <c r="K22" s="18">
        <f t="shared" si="11"/>
        <v>0.73687133325754017</v>
      </c>
      <c r="L22" s="18">
        <f t="shared" si="12"/>
        <v>0.95337775711465855</v>
      </c>
      <c r="M22" s="30">
        <f>Data!H218</f>
        <v>7.8699999000000007E-2</v>
      </c>
      <c r="N22" s="30">
        <f>Data!H335 - M22</f>
        <v>0.18129999099999999</v>
      </c>
      <c r="O22" s="30">
        <f t="shared" si="0"/>
        <v>0.74000001000000004</v>
      </c>
      <c r="P22" s="30">
        <f>Data!M218</f>
        <v>8.0600001000000004E-2</v>
      </c>
      <c r="Q22" s="30">
        <f>Data!M335 - P22</f>
        <v>0.167599999</v>
      </c>
      <c r="R22" s="30">
        <f t="shared" si="13"/>
        <v>0.75180000000000002</v>
      </c>
      <c r="S22" s="19">
        <f t="shared" si="1"/>
        <v>0.73687133325754017</v>
      </c>
      <c r="T22" s="19">
        <f t="shared" si="2"/>
        <v>0.21650642385711838</v>
      </c>
      <c r="U22" s="19">
        <f t="shared" si="3"/>
        <v>4.6622242885341447E-2</v>
      </c>
      <c r="V22" s="30">
        <f t="shared" si="14"/>
        <v>0.26312866674245983</v>
      </c>
      <c r="W22" s="11">
        <f t="shared" si="4"/>
        <v>0.35310455633537718</v>
      </c>
      <c r="X22" s="30">
        <f t="shared" si="5"/>
        <v>0.68803545538441191</v>
      </c>
      <c r="Y22" s="30">
        <f t="shared" si="15"/>
        <v>-0.162611493136816</v>
      </c>
      <c r="Z22" s="30">
        <f t="shared" si="16"/>
        <v>4.2458928733577483E-3</v>
      </c>
      <c r="AA22" s="30">
        <f t="shared" si="17"/>
        <v>0.7287885784092456</v>
      </c>
      <c r="AB22" s="30">
        <f t="shared" si="18"/>
        <v>-0.22588902438014391</v>
      </c>
      <c r="AC22" s="30">
        <f t="shared" si="19"/>
        <v>2.0259529810263688E-2</v>
      </c>
    </row>
    <row r="23" spans="1:29" x14ac:dyDescent="0.5">
      <c r="A23" s="10">
        <v>2000</v>
      </c>
      <c r="B23" s="12">
        <f>'Minimum Deflation Total'!B23</f>
        <v>164118.45578115768</v>
      </c>
      <c r="C23" s="12">
        <f>Data!AE543</f>
        <v>497598.09</v>
      </c>
      <c r="D23" s="12">
        <f>Data!Z102</f>
        <v>9944486</v>
      </c>
      <c r="E23" s="11">
        <f t="shared" si="6"/>
        <v>12.883598886114001</v>
      </c>
      <c r="F23" s="11">
        <f t="shared" si="7"/>
        <v>0.68403084120718061</v>
      </c>
      <c r="G23" s="12">
        <f t="shared" si="8"/>
        <v>946209.87777840835</v>
      </c>
      <c r="H23" s="12">
        <f t="shared" si="8"/>
        <v>1933597.0434568634</v>
      </c>
      <c r="I23" s="17">
        <f t="shared" si="9"/>
        <v>0.5975207243374191</v>
      </c>
      <c r="J23" s="17">
        <f t="shared" si="10"/>
        <v>1.6423170328336578</v>
      </c>
      <c r="K23" s="18">
        <f t="shared" si="11"/>
        <v>0.72492011266403356</v>
      </c>
      <c r="L23" s="18">
        <f t="shared" si="12"/>
        <v>0.94973784049497789</v>
      </c>
      <c r="M23" s="30">
        <f>Data!H219</f>
        <v>9.6299997999999998E-2</v>
      </c>
      <c r="N23" s="30">
        <f>Data!H336 - M23</f>
        <v>0.18480000200000002</v>
      </c>
      <c r="O23" s="30">
        <f t="shared" si="0"/>
        <v>0.71889999999999998</v>
      </c>
      <c r="P23" s="30">
        <f>Data!M219</f>
        <v>0.1024</v>
      </c>
      <c r="Q23" s="30">
        <f>Data!M336 - P23</f>
        <v>0.16940000999999999</v>
      </c>
      <c r="R23" s="30">
        <f t="shared" si="13"/>
        <v>0.72819999000000002</v>
      </c>
      <c r="S23" s="19">
        <f t="shared" si="1"/>
        <v>0.72492011266403356</v>
      </c>
      <c r="T23" s="19">
        <f t="shared" si="2"/>
        <v>0.22481772783094434</v>
      </c>
      <c r="U23" s="19">
        <f t="shared" si="3"/>
        <v>5.0262159505022108E-2</v>
      </c>
      <c r="V23" s="30">
        <f t="shared" si="14"/>
        <v>0.27507988733596644</v>
      </c>
      <c r="W23" s="11">
        <f t="shared" si="4"/>
        <v>0.37138903111160282</v>
      </c>
      <c r="X23" s="30">
        <f t="shared" si="5"/>
        <v>0.91595424765579092</v>
      </c>
      <c r="Y23" s="30">
        <f t="shared" si="15"/>
        <v>-0.17800075740039667</v>
      </c>
      <c r="Z23" s="30">
        <f t="shared" si="16"/>
        <v>-8.3045187447069457E-3</v>
      </c>
      <c r="AA23" s="30">
        <f t="shared" si="17"/>
        <v>1.0373179546686284</v>
      </c>
      <c r="AB23" s="30">
        <f t="shared" si="18"/>
        <v>-0.24650065795797327</v>
      </c>
      <c r="AC23" s="30">
        <f t="shared" si="19"/>
        <v>4.5244672877307046E-3</v>
      </c>
    </row>
    <row r="24" spans="1:29" x14ac:dyDescent="0.5">
      <c r="A24">
        <v>2001</v>
      </c>
      <c r="B24" s="12">
        <f>'Minimum Deflation Total'!B24</f>
        <v>167400.82489678083</v>
      </c>
      <c r="C24" s="12">
        <f>Data!AE544</f>
        <v>512240.69</v>
      </c>
      <c r="D24" s="12">
        <f>Data!Z103</f>
        <v>8203473.5</v>
      </c>
      <c r="E24" s="11">
        <f t="shared" si="6"/>
        <v>12.936174117211358</v>
      </c>
      <c r="F24" s="11">
        <f t="shared" si="7"/>
        <v>0.64865364256319291</v>
      </c>
      <c r="G24" s="12">
        <f t="shared" si="8"/>
        <v>953082.93909914047</v>
      </c>
      <c r="H24" s="12">
        <f t="shared" si="8"/>
        <v>1876967.7609407196</v>
      </c>
      <c r="I24" s="17">
        <f t="shared" si="9"/>
        <v>0.63289792298140723</v>
      </c>
      <c r="J24" s="17">
        <f t="shared" si="10"/>
        <v>1.6776942314776488</v>
      </c>
      <c r="K24" s="18">
        <f t="shared" si="11"/>
        <v>0.73659984787433208</v>
      </c>
      <c r="L24" s="18">
        <f t="shared" si="12"/>
        <v>0.95329659692509516</v>
      </c>
      <c r="M24" s="30">
        <f>Data!H220</f>
        <v>7.6600000000000001E-2</v>
      </c>
      <c r="N24" s="30">
        <f>Data!H337 - M24</f>
        <v>0.17999999</v>
      </c>
      <c r="O24" s="30">
        <f t="shared" si="0"/>
        <v>0.74340001</v>
      </c>
      <c r="P24" s="30">
        <f>Data!M220</f>
        <v>7.7299996999999995E-2</v>
      </c>
      <c r="Q24" s="30">
        <f>Data!M337 - P24</f>
        <v>0.16680000300000003</v>
      </c>
      <c r="R24" s="30">
        <f t="shared" si="13"/>
        <v>0.75589999999999991</v>
      </c>
      <c r="S24" s="19">
        <f t="shared" si="1"/>
        <v>0.73659984787433208</v>
      </c>
      <c r="T24" s="19">
        <f t="shared" si="2"/>
        <v>0.21669674905076308</v>
      </c>
      <c r="U24" s="19">
        <f t="shared" si="3"/>
        <v>4.6703403074904837E-2</v>
      </c>
      <c r="V24" s="30">
        <f t="shared" si="14"/>
        <v>0.26340015212566792</v>
      </c>
      <c r="W24" s="11">
        <f t="shared" si="4"/>
        <v>0.35352696446266418</v>
      </c>
      <c r="X24" s="30">
        <f t="shared" si="5"/>
        <v>0.64013744088724689</v>
      </c>
      <c r="Y24" s="30">
        <f t="shared" si="15"/>
        <v>-0.16934614483840993</v>
      </c>
      <c r="Z24" s="30">
        <f t="shared" si="16"/>
        <v>9.2318266767115187E-3</v>
      </c>
      <c r="AA24" s="30">
        <f t="shared" si="17"/>
        <v>0.65512557780903213</v>
      </c>
      <c r="AB24" s="30">
        <f t="shared" si="18"/>
        <v>-0.23026070427606793</v>
      </c>
      <c r="AC24" s="30">
        <f t="shared" si="19"/>
        <v>2.6201678131435813E-2</v>
      </c>
    </row>
    <row r="25" spans="1:29" x14ac:dyDescent="0.5">
      <c r="A25" s="10">
        <v>2002</v>
      </c>
      <c r="B25" s="12">
        <f>'Minimum Deflation Total'!B25</f>
        <v>170748.84139471644</v>
      </c>
      <c r="C25" s="12">
        <f>Data!AE545</f>
        <v>516172.19</v>
      </c>
      <c r="D25" s="12">
        <f>Data!Z104</f>
        <v>9539446</v>
      </c>
      <c r="E25" s="11">
        <f t="shared" si="6"/>
        <v>12.929410903007415</v>
      </c>
      <c r="F25" s="11">
        <f t="shared" si="7"/>
        <v>0.6704994964065133</v>
      </c>
      <c r="G25" s="12">
        <f t="shared" si="8"/>
        <v>973536.48603233916</v>
      </c>
      <c r="H25" s="12">
        <f t="shared" si="8"/>
        <v>1961511.6442565208</v>
      </c>
      <c r="I25" s="17">
        <f t="shared" si="9"/>
        <v>0.61105206913808918</v>
      </c>
      <c r="J25" s="17">
        <f t="shared" si="10"/>
        <v>1.6558483776343287</v>
      </c>
      <c r="K25" s="18">
        <f t="shared" si="11"/>
        <v>0.7294174451053077</v>
      </c>
      <c r="L25" s="18">
        <f t="shared" si="12"/>
        <v>0.9511237360370336</v>
      </c>
      <c r="M25" s="30">
        <f>Data!H221</f>
        <v>8.9299999000000005E-2</v>
      </c>
      <c r="N25" s="30">
        <f>Data!H338 - M25</f>
        <v>0.17730001099999998</v>
      </c>
      <c r="O25" s="30">
        <f t="shared" si="0"/>
        <v>0.73339999</v>
      </c>
      <c r="P25" s="30">
        <f>Data!M221</f>
        <v>9.5500000000000002E-2</v>
      </c>
      <c r="Q25" s="30">
        <f>Data!M338 - P25</f>
        <v>0.16329999999999997</v>
      </c>
      <c r="R25" s="30">
        <f t="shared" si="13"/>
        <v>0.74119999999999997</v>
      </c>
      <c r="S25" s="19">
        <f t="shared" si="1"/>
        <v>0.7294174451053077</v>
      </c>
      <c r="T25" s="19">
        <f t="shared" si="2"/>
        <v>0.22170629093172589</v>
      </c>
      <c r="U25" s="19">
        <f t="shared" si="3"/>
        <v>4.8876263962966404E-2</v>
      </c>
      <c r="V25" s="30">
        <f t="shared" si="14"/>
        <v>0.2705825548946923</v>
      </c>
      <c r="W25" s="11">
        <f t="shared" si="4"/>
        <v>0.36458191248540883</v>
      </c>
      <c r="X25" s="30">
        <f t="shared" si="5"/>
        <v>0.8270627040492029</v>
      </c>
      <c r="Y25" s="30">
        <f t="shared" si="15"/>
        <v>-0.20029327875680691</v>
      </c>
      <c r="Z25" s="30">
        <f t="shared" si="16"/>
        <v>5.4598980616886728E-3</v>
      </c>
      <c r="AA25" s="30">
        <f t="shared" si="17"/>
        <v>0.95391366394862853</v>
      </c>
      <c r="AB25" s="30">
        <f t="shared" si="18"/>
        <v>-0.26343993526873821</v>
      </c>
      <c r="AC25" s="30">
        <f t="shared" si="19"/>
        <v>1.6153376881452575E-2</v>
      </c>
    </row>
    <row r="26" spans="1:29" x14ac:dyDescent="0.5">
      <c r="A26">
        <v>2003</v>
      </c>
      <c r="B26" s="12">
        <f>'Minimum Deflation Total'!B26</f>
        <v>174163.81822261077</v>
      </c>
      <c r="C26" s="12">
        <f>Data!AE546</f>
        <v>521724.09</v>
      </c>
      <c r="D26" s="12">
        <f>Data!Z105</f>
        <v>10213554</v>
      </c>
      <c r="E26" s="11">
        <f t="shared" si="6"/>
        <v>12.934659366388175</v>
      </c>
      <c r="F26" s="11">
        <f t="shared" si="7"/>
        <v>0.67857910006045652</v>
      </c>
      <c r="G26" s="12">
        <f t="shared" si="8"/>
        <v>988845.59336426656</v>
      </c>
      <c r="H26" s="12">
        <f t="shared" si="8"/>
        <v>2009246.658835822</v>
      </c>
      <c r="I26" s="17">
        <f t="shared" si="9"/>
        <v>0.60297246548414352</v>
      </c>
      <c r="J26" s="17">
        <f t="shared" si="10"/>
        <v>1.647768773980385</v>
      </c>
      <c r="K26" s="18">
        <f t="shared" si="11"/>
        <v>0.72673649668180573</v>
      </c>
      <c r="L26" s="18">
        <f t="shared" si="12"/>
        <v>0.95029993546182456</v>
      </c>
      <c r="M26" s="30">
        <f>Data!H222</f>
        <v>9.4700001000000006E-2</v>
      </c>
      <c r="N26" s="30">
        <f>Data!H339 - M26</f>
        <v>0.17829999900000001</v>
      </c>
      <c r="O26" s="30">
        <f t="shared" si="0"/>
        <v>0.72699999999999998</v>
      </c>
      <c r="P26" s="30">
        <f>Data!M222</f>
        <v>0.10730000000000001</v>
      </c>
      <c r="Q26" s="30">
        <f>Data!M339 - P26</f>
        <v>0.16299999999999998</v>
      </c>
      <c r="R26" s="30">
        <f t="shared" si="13"/>
        <v>0.72970000000000002</v>
      </c>
      <c r="S26" s="19">
        <f t="shared" si="1"/>
        <v>0.72673649668180573</v>
      </c>
      <c r="T26" s="19">
        <f t="shared" si="2"/>
        <v>0.22356343878001883</v>
      </c>
      <c r="U26" s="19">
        <f t="shared" si="3"/>
        <v>4.9700064538175437E-2</v>
      </c>
      <c r="V26" s="30">
        <f t="shared" si="14"/>
        <v>0.27326350331819427</v>
      </c>
      <c r="W26" s="11">
        <f t="shared" si="4"/>
        <v>0.36865021568749912</v>
      </c>
      <c r="X26" s="30">
        <f t="shared" si="5"/>
        <v>0.90543014138863698</v>
      </c>
      <c r="Y26" s="30">
        <f t="shared" si="15"/>
        <v>-0.20246351562232401</v>
      </c>
      <c r="Z26" s="30">
        <f t="shared" si="16"/>
        <v>3.6258440218350785E-4</v>
      </c>
      <c r="AA26" s="30">
        <f t="shared" si="17"/>
        <v>1.158950918817844</v>
      </c>
      <c r="AB26" s="30">
        <f t="shared" si="18"/>
        <v>-0.27090046167885196</v>
      </c>
      <c r="AC26" s="30">
        <f t="shared" si="19"/>
        <v>4.0778237115175475E-3</v>
      </c>
    </row>
    <row r="27" spans="1:29" x14ac:dyDescent="0.5">
      <c r="A27" s="10">
        <v>2004</v>
      </c>
      <c r="B27" s="12">
        <f>'Minimum Deflation Total'!B27</f>
        <v>177647.09458706298</v>
      </c>
      <c r="C27" s="12">
        <f>Data!AE547</f>
        <v>541362.88</v>
      </c>
      <c r="D27" s="12">
        <f>Data!Z106</f>
        <v>11657416</v>
      </c>
      <c r="E27" s="11">
        <f t="shared" si="6"/>
        <v>12.958719957050281</v>
      </c>
      <c r="F27" s="11">
        <f t="shared" si="7"/>
        <v>0.69731647589405699</v>
      </c>
      <c r="G27" s="12">
        <f t="shared" si="8"/>
        <v>1037544.0400347487</v>
      </c>
      <c r="H27" s="12">
        <f t="shared" si="8"/>
        <v>2149875.8586629932</v>
      </c>
      <c r="I27" s="17">
        <f t="shared" si="9"/>
        <v>0.58423508965054294</v>
      </c>
      <c r="J27" s="17">
        <f t="shared" si="10"/>
        <v>1.6290313981467821</v>
      </c>
      <c r="K27" s="18">
        <f t="shared" si="11"/>
        <v>0.72046892174643173</v>
      </c>
      <c r="L27" s="18">
        <f t="shared" si="12"/>
        <v>0.94834681384483255</v>
      </c>
      <c r="M27" s="30">
        <f>Data!H223</f>
        <v>0.1048</v>
      </c>
      <c r="N27" s="30">
        <f>Data!H340 - M27</f>
        <v>0.18390001</v>
      </c>
      <c r="O27" s="30">
        <f t="shared" si="0"/>
        <v>0.71129998999999999</v>
      </c>
      <c r="P27" s="30">
        <f>Data!M223</f>
        <v>0.12039999999999999</v>
      </c>
      <c r="Q27" s="30">
        <f>Data!M340 - P27</f>
        <v>0.16419999000000002</v>
      </c>
      <c r="R27" s="30">
        <f t="shared" si="13"/>
        <v>0.71540001000000009</v>
      </c>
      <c r="S27" s="19">
        <f t="shared" si="1"/>
        <v>0.72046892174643173</v>
      </c>
      <c r="T27" s="19">
        <f t="shared" si="2"/>
        <v>0.22787789209840081</v>
      </c>
      <c r="U27" s="19">
        <f t="shared" si="3"/>
        <v>5.1653186155167452E-2</v>
      </c>
      <c r="V27" s="30">
        <f t="shared" si="14"/>
        <v>0.27953107825356827</v>
      </c>
      <c r="W27" s="11">
        <f t="shared" si="4"/>
        <v>0.37804196593422401</v>
      </c>
      <c r="X27" s="30">
        <f t="shared" si="5"/>
        <v>1.0289164677117535</v>
      </c>
      <c r="Y27" s="30">
        <f t="shared" si="15"/>
        <v>-0.19298880507201877</v>
      </c>
      <c r="Z27" s="30">
        <f t="shared" si="16"/>
        <v>-1.272633901293907E-2</v>
      </c>
      <c r="AA27" s="30">
        <f t="shared" si="17"/>
        <v>1.3309307510734265</v>
      </c>
      <c r="AB27" s="30">
        <f t="shared" si="18"/>
        <v>-0.27943870075340083</v>
      </c>
      <c r="AC27" s="30">
        <f t="shared" si="19"/>
        <v>-7.0355730739147804E-3</v>
      </c>
    </row>
    <row r="28" spans="1:29" x14ac:dyDescent="0.5">
      <c r="A28">
        <v>2005</v>
      </c>
      <c r="B28" s="12">
        <f>'Minimum Deflation Total'!B28</f>
        <v>181200.03647880425</v>
      </c>
      <c r="C28" s="12">
        <f>Data!AE548</f>
        <v>562926.5</v>
      </c>
      <c r="D28" s="12">
        <f>Data!Z107</f>
        <v>15564066</v>
      </c>
      <c r="E28" s="11">
        <f t="shared" si="6"/>
        <v>12.965484011943548</v>
      </c>
      <c r="F28" s="11">
        <f t="shared" si="7"/>
        <v>0.74218641328730295</v>
      </c>
      <c r="G28" s="12">
        <f t="shared" si="8"/>
        <v>1106413.401334719</v>
      </c>
      <c r="H28" s="12">
        <f t="shared" si="8"/>
        <v>2402613.8254820518</v>
      </c>
      <c r="I28" s="17">
        <f t="shared" si="9"/>
        <v>0.53936515225729742</v>
      </c>
      <c r="J28" s="17">
        <f t="shared" si="10"/>
        <v>1.5841614607535353</v>
      </c>
      <c r="K28" s="18">
        <f t="shared" si="11"/>
        <v>0.70518253934227104</v>
      </c>
      <c r="L28" s="18">
        <f t="shared" si="12"/>
        <v>0.94342150951055004</v>
      </c>
      <c r="M28" s="30">
        <f>Data!H224</f>
        <v>0.1409</v>
      </c>
      <c r="N28" s="30">
        <f>Data!H341 - M28</f>
        <v>0.18620001</v>
      </c>
      <c r="O28" s="30">
        <f t="shared" si="0"/>
        <v>0.67289999</v>
      </c>
      <c r="P28" s="30">
        <f>Data!M224</f>
        <v>0.1477</v>
      </c>
      <c r="Q28" s="30">
        <f>Data!M341 - P28</f>
        <v>0.16430001</v>
      </c>
      <c r="R28" s="30">
        <f t="shared" si="13"/>
        <v>0.68799999000000001</v>
      </c>
      <c r="S28" s="19">
        <f t="shared" si="1"/>
        <v>0.70518253934227104</v>
      </c>
      <c r="T28" s="19">
        <f t="shared" si="2"/>
        <v>0.238238970168279</v>
      </c>
      <c r="U28" s="19">
        <f t="shared" si="3"/>
        <v>5.6578490489449962E-2</v>
      </c>
      <c r="V28" s="30">
        <f t="shared" si="14"/>
        <v>0.29481746065772896</v>
      </c>
      <c r="W28" s="11">
        <f t="shared" si="4"/>
        <v>0.40028127645146139</v>
      </c>
      <c r="X28" s="30">
        <f t="shared" si="5"/>
        <v>1.4903456911115938</v>
      </c>
      <c r="Y28" s="30">
        <f t="shared" si="15"/>
        <v>-0.21843177097148092</v>
      </c>
      <c r="Z28" s="30">
        <f t="shared" si="16"/>
        <v>-4.5778996984782383E-2</v>
      </c>
      <c r="AA28" s="30">
        <f t="shared" si="17"/>
        <v>1.6105327081418195</v>
      </c>
      <c r="AB28" s="30">
        <f t="shared" si="18"/>
        <v>-0.31035627847137082</v>
      </c>
      <c r="AC28" s="30">
        <f t="shared" si="19"/>
        <v>-2.4366101517909522E-2</v>
      </c>
    </row>
    <row r="29" spans="1:29" x14ac:dyDescent="0.5">
      <c r="A29" s="10">
        <v>2006</v>
      </c>
      <c r="B29" s="12">
        <f>'Minimum Deflation Total'!B29</f>
        <v>184824.03720838035</v>
      </c>
      <c r="C29" s="12">
        <f>Data!AE549</f>
        <v>568015.18999999994</v>
      </c>
      <c r="D29" s="12">
        <f>Data!Z108</f>
        <v>10077891</v>
      </c>
      <c r="E29" s="11">
        <f t="shared" si="6"/>
        <v>13.027826186506122</v>
      </c>
      <c r="F29" s="11">
        <f t="shared" si="7"/>
        <v>0.66644917855351482</v>
      </c>
      <c r="G29" s="12">
        <f t="shared" si="8"/>
        <v>1068659.0269602996</v>
      </c>
      <c r="H29" s="12">
        <f t="shared" si="8"/>
        <v>2144075.0735119185</v>
      </c>
      <c r="I29" s="17">
        <f t="shared" si="9"/>
        <v>0.61510238699108577</v>
      </c>
      <c r="J29" s="17">
        <f t="shared" si="10"/>
        <v>1.6598986954873252</v>
      </c>
      <c r="K29" s="18">
        <f t="shared" si="11"/>
        <v>0.73075644710033327</v>
      </c>
      <c r="L29" s="18">
        <f t="shared" si="12"/>
        <v>0.95153258302342048</v>
      </c>
      <c r="M29" s="30">
        <f>Data!H225</f>
        <v>8.4299996000000002E-2</v>
      </c>
      <c r="N29" s="30">
        <f>Data!H342 - M29</f>
        <v>0.18750001399999999</v>
      </c>
      <c r="O29" s="30">
        <f t="shared" si="0"/>
        <v>0.72819998999999991</v>
      </c>
      <c r="P29" s="30">
        <f>Data!M225</f>
        <v>7.5199999000000003E-2</v>
      </c>
      <c r="Q29" s="30">
        <f>Data!M342 - P29</f>
        <v>0.16950000100000001</v>
      </c>
      <c r="R29" s="30">
        <f t="shared" si="13"/>
        <v>0.75529999999999997</v>
      </c>
      <c r="S29" s="19">
        <f t="shared" si="1"/>
        <v>0.73075644710033327</v>
      </c>
      <c r="T29" s="19">
        <f t="shared" si="2"/>
        <v>0.2207761359230872</v>
      </c>
      <c r="U29" s="19">
        <f t="shared" si="3"/>
        <v>4.8467416976579525E-2</v>
      </c>
      <c r="V29" s="30">
        <f t="shared" si="14"/>
        <v>0.26924355289966673</v>
      </c>
      <c r="W29" s="11">
        <f t="shared" si="4"/>
        <v>0.36253830695034406</v>
      </c>
      <c r="X29" s="30">
        <f t="shared" si="5"/>
        <v>0.73931274366726685</v>
      </c>
      <c r="Y29" s="30">
        <f t="shared" si="15"/>
        <v>-0.1507233641170338</v>
      </c>
      <c r="Z29" s="30">
        <f t="shared" si="16"/>
        <v>-3.498370914793103E-3</v>
      </c>
      <c r="AA29" s="30">
        <f t="shared" si="17"/>
        <v>0.55155780297386636</v>
      </c>
      <c r="AB29" s="30">
        <f t="shared" si="18"/>
        <v>-0.23225397395735969</v>
      </c>
      <c r="AC29" s="30">
        <f t="shared" si="19"/>
        <v>3.3586502037794341E-2</v>
      </c>
    </row>
    <row r="30" spans="1:29" x14ac:dyDescent="0.5">
      <c r="A30">
        <v>2007</v>
      </c>
      <c r="B30" s="12">
        <f>'Minimum Deflation Total'!B30</f>
        <v>188520.51795254796</v>
      </c>
      <c r="C30" s="12">
        <f>Data!AE550</f>
        <v>572712</v>
      </c>
      <c r="D30" s="12">
        <f>Data!Z109</f>
        <v>10452052</v>
      </c>
      <c r="E30" s="11">
        <f t="shared" si="6"/>
        <v>13.034207563476285</v>
      </c>
      <c r="F30" s="11">
        <f t="shared" si="7"/>
        <v>0.66922445870556369</v>
      </c>
      <c r="G30" s="12">
        <f t="shared" si="8"/>
        <v>1079332.3529532175</v>
      </c>
      <c r="H30" s="12">
        <f t="shared" si="8"/>
        <v>2171777.3818570939</v>
      </c>
      <c r="I30" s="17">
        <f t="shared" si="9"/>
        <v>0.61232710683903657</v>
      </c>
      <c r="J30" s="17">
        <f t="shared" si="10"/>
        <v>1.6571234153352783</v>
      </c>
      <c r="K30" s="18">
        <f t="shared" si="11"/>
        <v>0.72983932065934576</v>
      </c>
      <c r="L30" s="18">
        <f t="shared" si="12"/>
        <v>0.95125273699737334</v>
      </c>
      <c r="M30" s="30">
        <f>Data!H226</f>
        <v>8.6599997999999997E-2</v>
      </c>
      <c r="N30" s="30">
        <f>Data!H343 - M30</f>
        <v>0.18870000199999998</v>
      </c>
      <c r="O30" s="30">
        <f t="shared" si="0"/>
        <v>0.72470000000000001</v>
      </c>
      <c r="P30" s="30">
        <f>Data!M226</f>
        <v>8.2500003000000002E-2</v>
      </c>
      <c r="Q30" s="30">
        <f>Data!M343 - P30</f>
        <v>0.171099997</v>
      </c>
      <c r="R30" s="30">
        <f t="shared" si="13"/>
        <v>0.74639999999999995</v>
      </c>
      <c r="S30" s="19">
        <f t="shared" si="1"/>
        <v>0.72983932065934576</v>
      </c>
      <c r="T30" s="19">
        <f t="shared" si="2"/>
        <v>0.22141341633802758</v>
      </c>
      <c r="U30" s="19">
        <f t="shared" si="3"/>
        <v>4.8747263002626662E-2</v>
      </c>
      <c r="V30" s="30">
        <f t="shared" si="14"/>
        <v>0.27016067934065424</v>
      </c>
      <c r="W30" s="11">
        <f t="shared" si="4"/>
        <v>0.36393888511498407</v>
      </c>
      <c r="X30" s="30">
        <f t="shared" si="5"/>
        <v>0.77650995493498187</v>
      </c>
      <c r="Y30" s="30">
        <f t="shared" si="15"/>
        <v>-0.1477481124634501</v>
      </c>
      <c r="Z30" s="30">
        <f t="shared" si="16"/>
        <v>-7.041715229460177E-3</v>
      </c>
      <c r="AA30" s="30">
        <f t="shared" si="17"/>
        <v>0.6924027713218408</v>
      </c>
      <c r="AB30" s="30">
        <f t="shared" si="18"/>
        <v>-0.22723744644820909</v>
      </c>
      <c r="AC30" s="30">
        <f t="shared" si="19"/>
        <v>2.2690856565104056E-2</v>
      </c>
    </row>
    <row r="31" spans="1:29" x14ac:dyDescent="0.5">
      <c r="A31" s="10">
        <v>2008</v>
      </c>
      <c r="B31" s="12">
        <f>'Minimum Deflation Total'!B31</f>
        <v>192290.92831159892</v>
      </c>
      <c r="C31" s="12">
        <f>Data!AE551</f>
        <v>567346.18999999994</v>
      </c>
      <c r="D31" s="12">
        <f>Data!Z110</f>
        <v>10589843</v>
      </c>
      <c r="E31" s="11">
        <f t="shared" si="6"/>
        <v>13.025541575207631</v>
      </c>
      <c r="F31" s="11">
        <f t="shared" si="7"/>
        <v>0.66810685606056008</v>
      </c>
      <c r="G31" s="12">
        <f t="shared" si="8"/>
        <v>1068487.82857403</v>
      </c>
      <c r="H31" s="12">
        <f t="shared" si="8"/>
        <v>2147447.6158031337</v>
      </c>
      <c r="I31" s="17">
        <f t="shared" si="9"/>
        <v>0.61344470948403962</v>
      </c>
      <c r="J31" s="17">
        <f t="shared" si="10"/>
        <v>1.6582410179802785</v>
      </c>
      <c r="K31" s="18">
        <f t="shared" si="11"/>
        <v>0.73020883444207207</v>
      </c>
      <c r="L31" s="18">
        <f t="shared" si="12"/>
        <v>0.95136558565033669</v>
      </c>
      <c r="M31" s="30">
        <f>Data!H227</f>
        <v>8.8399999000000007E-2</v>
      </c>
      <c r="N31" s="30">
        <f>Data!H344 - M31</f>
        <v>0.18700001099999997</v>
      </c>
      <c r="O31" s="30">
        <f t="shared" si="0"/>
        <v>0.72459998999999997</v>
      </c>
      <c r="P31" s="30">
        <f>Data!M227</f>
        <v>7.6200001000000003E-2</v>
      </c>
      <c r="Q31" s="30">
        <f>Data!M344 - P31</f>
        <v>0.17019999899999999</v>
      </c>
      <c r="R31" s="30">
        <f t="shared" si="13"/>
        <v>0.75359999999999994</v>
      </c>
      <c r="S31" s="19">
        <f t="shared" si="1"/>
        <v>0.73020883444207207</v>
      </c>
      <c r="T31" s="19">
        <f t="shared" si="2"/>
        <v>0.22115675120826461</v>
      </c>
      <c r="U31" s="19">
        <f t="shared" si="3"/>
        <v>4.8634414349663313E-2</v>
      </c>
      <c r="V31" s="30">
        <f t="shared" si="14"/>
        <v>0.26979116555792793</v>
      </c>
      <c r="W31" s="11">
        <f t="shared" si="4"/>
        <v>0.36337502975135028</v>
      </c>
      <c r="X31" s="30">
        <f t="shared" si="5"/>
        <v>0.81764292182973475</v>
      </c>
      <c r="Y31" s="30">
        <f t="shared" si="15"/>
        <v>-0.15444583998296779</v>
      </c>
      <c r="Z31" s="30">
        <f t="shared" si="16"/>
        <v>-7.6811511687031597E-3</v>
      </c>
      <c r="AA31" s="30">
        <f t="shared" si="17"/>
        <v>0.56679178764548066</v>
      </c>
      <c r="AB31" s="30">
        <f t="shared" si="18"/>
        <v>-0.23041011377617115</v>
      </c>
      <c r="AC31" s="30">
        <f t="shared" si="19"/>
        <v>3.20335285669342E-2</v>
      </c>
    </row>
    <row r="32" spans="1:29" x14ac:dyDescent="0.5">
      <c r="A32">
        <v>2009</v>
      </c>
      <c r="B32" s="12">
        <f>'Minimum Deflation Total'!B32</f>
        <v>196136.74687783091</v>
      </c>
      <c r="C32" s="12">
        <f>Data!AE552</f>
        <v>543099.88</v>
      </c>
      <c r="D32" s="12">
        <f>Data!Z111</f>
        <v>8755677</v>
      </c>
      <c r="E32" s="11">
        <f t="shared" si="6"/>
        <v>13.004635920739895</v>
      </c>
      <c r="F32" s="11">
        <f t="shared" si="7"/>
        <v>0.63310757747674151</v>
      </c>
      <c r="G32" s="12">
        <f t="shared" si="8"/>
        <v>1000485.487660094</v>
      </c>
      <c r="H32" s="12">
        <f t="shared" si="8"/>
        <v>1938576.284478565</v>
      </c>
      <c r="I32" s="17">
        <f t="shared" si="9"/>
        <v>0.64844398806785797</v>
      </c>
      <c r="J32" s="17">
        <f t="shared" si="10"/>
        <v>1.6932402965640985</v>
      </c>
      <c r="K32" s="18">
        <f t="shared" si="11"/>
        <v>0.74165108632508514</v>
      </c>
      <c r="L32" s="18">
        <f t="shared" si="12"/>
        <v>0.95479513139697048</v>
      </c>
      <c r="M32" s="30">
        <f>Data!H228</f>
        <v>7.6999999999999999E-2</v>
      </c>
      <c r="N32" s="30">
        <f>Data!H345 - M32</f>
        <v>0.18740001000000001</v>
      </c>
      <c r="O32" s="30">
        <f t="shared" si="0"/>
        <v>0.73559999000000009</v>
      </c>
      <c r="P32" s="30">
        <f>Data!M228</f>
        <v>7.4500001999999996E-2</v>
      </c>
      <c r="Q32" s="30">
        <f>Data!M345 - P32</f>
        <v>0.16800000799999998</v>
      </c>
      <c r="R32" s="30">
        <f t="shared" si="13"/>
        <v>0.75749999000000012</v>
      </c>
      <c r="S32" s="19">
        <f t="shared" si="1"/>
        <v>0.74165108632508514</v>
      </c>
      <c r="T32" s="19">
        <f t="shared" si="2"/>
        <v>0.21314404507188534</v>
      </c>
      <c r="U32" s="19">
        <f t="shared" si="3"/>
        <v>4.5204868603029524E-2</v>
      </c>
      <c r="V32" s="30">
        <f t="shared" si="14"/>
        <v>0.25834891367491486</v>
      </c>
      <c r="W32" s="11">
        <f t="shared" si="4"/>
        <v>0.34561198875234833</v>
      </c>
      <c r="X32" s="30">
        <f t="shared" si="5"/>
        <v>0.70335635031222377</v>
      </c>
      <c r="Y32" s="30">
        <f t="shared" si="15"/>
        <v>-0.12078233320195664</v>
      </c>
      <c r="Z32" s="30">
        <f t="shared" si="16"/>
        <v>-8.1589529586864051E-3</v>
      </c>
      <c r="AA32" s="30">
        <f t="shared" si="17"/>
        <v>0.64805261694770588</v>
      </c>
      <c r="AB32" s="30">
        <f t="shared" si="18"/>
        <v>-0.21180060206073315</v>
      </c>
      <c r="AC32" s="30">
        <f t="shared" si="19"/>
        <v>2.1369757244537935E-2</v>
      </c>
    </row>
    <row r="33" spans="1:29" x14ac:dyDescent="0.5">
      <c r="A33" s="10">
        <v>2010</v>
      </c>
      <c r="B33" s="12">
        <f>'Minimum Deflation Total'!B33</f>
        <v>200059.48181538752</v>
      </c>
      <c r="C33" s="12">
        <f>Data!AE553</f>
        <v>545287.63</v>
      </c>
      <c r="D33" s="12">
        <f>Data!Z112</f>
        <v>9560823</v>
      </c>
      <c r="E33" s="11">
        <f t="shared" si="6"/>
        <v>13.001398511376577</v>
      </c>
      <c r="F33" s="11">
        <f t="shared" si="7"/>
        <v>0.64446905979975744</v>
      </c>
      <c r="G33" s="12">
        <f t="shared" si="8"/>
        <v>1011878.278980154</v>
      </c>
      <c r="H33" s="12">
        <f t="shared" si="8"/>
        <v>1984063.8296793243</v>
      </c>
      <c r="I33" s="17">
        <f t="shared" si="9"/>
        <v>0.63708250574484149</v>
      </c>
      <c r="J33" s="17">
        <f t="shared" si="10"/>
        <v>1.6818788142410828</v>
      </c>
      <c r="K33" s="18">
        <f t="shared" si="11"/>
        <v>0.7379644484210871</v>
      </c>
      <c r="L33" s="18">
        <f t="shared" si="12"/>
        <v>0.95370382918856111</v>
      </c>
      <c r="M33" s="30">
        <f>Data!H229</f>
        <v>8.3700000999999996E-2</v>
      </c>
      <c r="N33" s="30">
        <f>Data!H346 - M33</f>
        <v>0.18830000900000002</v>
      </c>
      <c r="O33" s="30">
        <f t="shared" si="0"/>
        <v>0.72799999000000004</v>
      </c>
      <c r="P33" s="30">
        <f>Data!M229</f>
        <v>7.7699997000000007E-2</v>
      </c>
      <c r="Q33" s="30">
        <f>Data!M346 - P33</f>
        <v>0.17030000299999998</v>
      </c>
      <c r="R33" s="30">
        <f t="shared" si="13"/>
        <v>0.75200000000000011</v>
      </c>
      <c r="S33" s="19">
        <f t="shared" si="1"/>
        <v>0.7379644484210871</v>
      </c>
      <c r="T33" s="19">
        <f t="shared" si="2"/>
        <v>0.21573938076747401</v>
      </c>
      <c r="U33" s="19">
        <f t="shared" si="3"/>
        <v>4.6296170811438886E-2</v>
      </c>
      <c r="V33" s="30">
        <f t="shared" si="14"/>
        <v>0.2620355515789129</v>
      </c>
      <c r="W33" s="11">
        <f t="shared" si="4"/>
        <v>0.35140034975942269</v>
      </c>
      <c r="X33" s="30">
        <f t="shared" si="5"/>
        <v>0.80792492193154231</v>
      </c>
      <c r="Y33" s="30">
        <f t="shared" si="15"/>
        <v>-0.12718758934906005</v>
      </c>
      <c r="Z33" s="30">
        <f t="shared" si="16"/>
        <v>-1.3502626640628179E-2</v>
      </c>
      <c r="AA33" s="30">
        <f t="shared" si="17"/>
        <v>0.6783244842530658</v>
      </c>
      <c r="AB33" s="30">
        <f t="shared" si="18"/>
        <v>-0.21062161950139757</v>
      </c>
      <c r="AC33" s="30">
        <f t="shared" si="19"/>
        <v>1.901927878631926E-2</v>
      </c>
    </row>
    <row r="34" spans="1:29" x14ac:dyDescent="0.5">
      <c r="A34">
        <v>2011</v>
      </c>
      <c r="B34" s="12">
        <f>'Minimum Deflation Total'!B34</f>
        <v>204060.67145169529</v>
      </c>
      <c r="C34" s="12">
        <f>Data!AE554</f>
        <v>544925.5</v>
      </c>
      <c r="D34" s="12">
        <f>Data!Z113</f>
        <v>9538427</v>
      </c>
      <c r="E34" s="11">
        <f t="shared" si="6"/>
        <v>13.003106303810858</v>
      </c>
      <c r="F34" s="11">
        <f t="shared" si="7"/>
        <v>0.64077775124124958</v>
      </c>
      <c r="G34" s="12">
        <f t="shared" si="8"/>
        <v>1008824.1816771423</v>
      </c>
      <c r="H34" s="12">
        <f t="shared" si="8"/>
        <v>1970461.3539997744</v>
      </c>
      <c r="I34" s="17">
        <f t="shared" si="9"/>
        <v>0.64077381430335212</v>
      </c>
      <c r="J34" s="17">
        <f t="shared" si="10"/>
        <v>1.6855701227995932</v>
      </c>
      <c r="K34" s="18">
        <f t="shared" si="11"/>
        <v>0.73916517583581154</v>
      </c>
      <c r="L34" s="18">
        <f t="shared" si="12"/>
        <v>0.95406068605344529</v>
      </c>
      <c r="M34" s="30">
        <f>Data!H230</f>
        <v>8.3700000999999996E-2</v>
      </c>
      <c r="N34" s="30">
        <f>Data!H347 - M34</f>
        <v>0.19069999899999998</v>
      </c>
      <c r="O34" s="30">
        <f t="shared" si="0"/>
        <v>0.72560000000000002</v>
      </c>
      <c r="P34" s="30">
        <f>Data!M230</f>
        <v>8.0200002000000006E-2</v>
      </c>
      <c r="Q34" s="30">
        <f>Data!M347 - P34</f>
        <v>0.17200000799999998</v>
      </c>
      <c r="R34" s="30">
        <f t="shared" si="13"/>
        <v>0.74779999000000008</v>
      </c>
      <c r="S34" s="19">
        <f t="shared" si="1"/>
        <v>0.73916517583581154</v>
      </c>
      <c r="T34" s="19">
        <f t="shared" si="2"/>
        <v>0.21489551021763376</v>
      </c>
      <c r="U34" s="19">
        <f t="shared" si="3"/>
        <v>4.5939313946554705E-2</v>
      </c>
      <c r="V34" s="30">
        <f t="shared" si="14"/>
        <v>0.26083482416418846</v>
      </c>
      <c r="W34" s="11">
        <f t="shared" si="4"/>
        <v>0.34952203562113859</v>
      </c>
      <c r="X34" s="30">
        <f t="shared" si="5"/>
        <v>0.82196889351407521</v>
      </c>
      <c r="Y34" s="30">
        <f t="shared" si="15"/>
        <v>-0.11259198106619328</v>
      </c>
      <c r="Z34" s="30">
        <f t="shared" si="16"/>
        <v>-1.8352022361541431E-2</v>
      </c>
      <c r="AA34" s="30">
        <f t="shared" si="17"/>
        <v>0.74578144752670461</v>
      </c>
      <c r="AB34" s="30">
        <f t="shared" si="18"/>
        <v>-0.19961097453451537</v>
      </c>
      <c r="AC34" s="30">
        <f t="shared" si="19"/>
        <v>1.1681846556724995E-2</v>
      </c>
    </row>
    <row r="35" spans="1:29" x14ac:dyDescent="0.5">
      <c r="A35" s="10">
        <v>2012</v>
      </c>
      <c r="B35" s="12">
        <f>'Minimum Deflation Total'!B35</f>
        <v>208141.88488072919</v>
      </c>
      <c r="C35" s="12">
        <f>Data!AE555</f>
        <v>552591.38</v>
      </c>
      <c r="D35" s="12">
        <f>Data!Z114</f>
        <v>9027939</v>
      </c>
      <c r="E35" s="11">
        <f t="shared" si="6"/>
        <v>13.024987427651238</v>
      </c>
      <c r="F35" s="11">
        <f t="shared" si="7"/>
        <v>0.6283098991929702</v>
      </c>
      <c r="G35" s="12">
        <f t="shared" si="8"/>
        <v>1014796.8093742598</v>
      </c>
      <c r="H35" s="12">
        <f t="shared" si="8"/>
        <v>1956474.7715745314</v>
      </c>
      <c r="I35" s="17">
        <f t="shared" si="9"/>
        <v>0.65324166635163006</v>
      </c>
      <c r="J35" s="17">
        <f t="shared" si="10"/>
        <v>1.6980379748478709</v>
      </c>
      <c r="K35" s="18">
        <f t="shared" si="11"/>
        <v>0.74319975374355929</v>
      </c>
      <c r="L35" s="18">
        <f t="shared" si="12"/>
        <v>0.95524970262331366</v>
      </c>
      <c r="M35" s="30">
        <f>Data!H231</f>
        <v>7.8699999000000007E-2</v>
      </c>
      <c r="N35" s="30">
        <f>Data!H348 - M35</f>
        <v>0.190200011</v>
      </c>
      <c r="O35" s="30">
        <f t="shared" si="0"/>
        <v>0.73109999000000003</v>
      </c>
      <c r="P35" s="30">
        <f>Data!M231</f>
        <v>7.8000001999999999E-2</v>
      </c>
      <c r="Q35" s="30">
        <f>Data!M348 - P35</f>
        <v>0.17299998799999999</v>
      </c>
      <c r="R35" s="30">
        <f t="shared" si="13"/>
        <v>0.74900001000000005</v>
      </c>
      <c r="S35" s="19">
        <f t="shared" si="1"/>
        <v>0.74319975374355929</v>
      </c>
      <c r="T35" s="19">
        <f t="shared" si="2"/>
        <v>0.21204994887975437</v>
      </c>
      <c r="U35" s="19">
        <f t="shared" si="3"/>
        <v>4.4750297376686343E-2</v>
      </c>
      <c r="V35" s="30">
        <f t="shared" si="14"/>
        <v>0.25680024625644071</v>
      </c>
      <c r="W35" s="11">
        <f t="shared" si="4"/>
        <v>0.34316142425577567</v>
      </c>
      <c r="X35" s="30">
        <f t="shared" si="5"/>
        <v>0.75864750880964005</v>
      </c>
      <c r="Y35" s="30">
        <f t="shared" si="15"/>
        <v>-0.103041467329684</v>
      </c>
      <c r="Z35" s="30">
        <f t="shared" si="16"/>
        <v>-1.6280634758840673E-2</v>
      </c>
      <c r="AA35" s="30">
        <f t="shared" si="17"/>
        <v>0.74300522169570704</v>
      </c>
      <c r="AB35" s="30">
        <f t="shared" si="18"/>
        <v>-0.18415454040924173</v>
      </c>
      <c r="AC35" s="30">
        <f t="shared" si="19"/>
        <v>7.8044378072306131E-3</v>
      </c>
    </row>
    <row r="36" spans="1:29" x14ac:dyDescent="0.5">
      <c r="A36">
        <v>2013</v>
      </c>
      <c r="B36" s="12">
        <f>'Minimum Deflation Total'!B36</f>
        <v>212304.72257834379</v>
      </c>
      <c r="C36" s="12">
        <f>Data!AE556</f>
        <v>551001.38</v>
      </c>
      <c r="D36" s="12">
        <f>Data!Z115</f>
        <v>8887223</v>
      </c>
      <c r="E36" s="11">
        <f t="shared" si="6"/>
        <v>13.025807180107519</v>
      </c>
      <c r="F36" s="11">
        <f t="shared" si="7"/>
        <v>0.62239121549328014</v>
      </c>
      <c r="G36" s="12">
        <f t="shared" si="8"/>
        <v>1007954.5292290342</v>
      </c>
      <c r="H36" s="12">
        <f t="shared" si="8"/>
        <v>1931303.3833147807</v>
      </c>
      <c r="I36" s="17">
        <f t="shared" si="9"/>
        <v>0.65916035005132001</v>
      </c>
      <c r="J36" s="17">
        <f t="shared" si="10"/>
        <v>1.7039566585475598</v>
      </c>
      <c r="K36" s="18">
        <f t="shared" si="11"/>
        <v>0.74510359741993393</v>
      </c>
      <c r="L36" s="18">
        <f t="shared" si="12"/>
        <v>0.95580540766328692</v>
      </c>
      <c r="M36" s="30">
        <f>Data!H232</f>
        <v>7.8000001999999999E-2</v>
      </c>
      <c r="N36" s="30">
        <f>Data!H349 - M36</f>
        <v>0.18899998800000001</v>
      </c>
      <c r="O36" s="30">
        <f t="shared" si="0"/>
        <v>0.73300001000000004</v>
      </c>
      <c r="P36" s="30">
        <f>Data!M232</f>
        <v>7.5199999000000003E-2</v>
      </c>
      <c r="Q36" s="30">
        <f>Data!M349 - P36</f>
        <v>0.17170001099999999</v>
      </c>
      <c r="R36" s="30">
        <f t="shared" si="13"/>
        <v>0.75309999000000005</v>
      </c>
      <c r="S36" s="19">
        <f t="shared" si="1"/>
        <v>0.74510359741993393</v>
      </c>
      <c r="T36" s="19">
        <f t="shared" si="2"/>
        <v>0.21070181024335299</v>
      </c>
      <c r="U36" s="19">
        <f t="shared" si="3"/>
        <v>4.4194592336713079E-2</v>
      </c>
      <c r="V36" s="30">
        <f t="shared" si="14"/>
        <v>0.25489640258006607</v>
      </c>
      <c r="W36" s="11">
        <f t="shared" si="4"/>
        <v>0.3401331808533925</v>
      </c>
      <c r="X36" s="30">
        <f t="shared" si="5"/>
        <v>0.76492185753695208</v>
      </c>
      <c r="Y36" s="30">
        <f t="shared" si="15"/>
        <v>-0.10299779683092503</v>
      </c>
      <c r="Z36" s="30">
        <f t="shared" si="16"/>
        <v>-1.6244167202849269E-2</v>
      </c>
      <c r="AA36" s="30">
        <f t="shared" si="17"/>
        <v>0.7015656220349451</v>
      </c>
      <c r="AB36" s="30">
        <f t="shared" si="18"/>
        <v>-0.18510424375712453</v>
      </c>
      <c r="AC36" s="30">
        <f t="shared" si="19"/>
        <v>1.0731920511127813E-2</v>
      </c>
    </row>
    <row r="37" spans="1:29" x14ac:dyDescent="0.5">
      <c r="A37" s="10">
        <v>2014</v>
      </c>
      <c r="B37" s="12">
        <f>'Minimum Deflation Total'!B37</f>
        <v>216550.81702991066</v>
      </c>
      <c r="C37" s="12">
        <f>Data!AE557</f>
        <v>566772</v>
      </c>
      <c r="D37" s="12">
        <f>Data!Z116</f>
        <v>9988209</v>
      </c>
      <c r="E37" s="34">
        <f t="shared" si="6"/>
        <v>13.04383557356824</v>
      </c>
      <c r="F37" s="11">
        <f t="shared" si="7"/>
        <v>0.63855588928308149</v>
      </c>
      <c r="G37" s="12">
        <f t="shared" si="8"/>
        <v>1047773.3728174367</v>
      </c>
      <c r="H37" s="12">
        <f t="shared" si="8"/>
        <v>2041792.6073521276</v>
      </c>
      <c r="I37" s="17">
        <f t="shared" si="9"/>
        <v>0.64299567626151743</v>
      </c>
      <c r="J37" s="17">
        <f t="shared" si="10"/>
        <v>1.6877919847577576</v>
      </c>
      <c r="K37" s="18">
        <f t="shared" si="11"/>
        <v>0.73988654727434677</v>
      </c>
      <c r="L37" s="18">
        <f t="shared" si="12"/>
        <v>0.95427441662297985</v>
      </c>
      <c r="M37" s="30">
        <f>Data!H233</f>
        <v>8.5299999000000001E-2</v>
      </c>
      <c r="N37" s="30">
        <f>Data!H350 - M37</f>
        <v>0.18810001100000001</v>
      </c>
      <c r="O37" s="30">
        <f t="shared" si="0"/>
        <v>0.72659999000000008</v>
      </c>
      <c r="P37" s="30">
        <f>Data!M233</f>
        <v>7.4199997000000004E-2</v>
      </c>
      <c r="Q37" s="30">
        <f>Data!M350 - P37</f>
        <v>0.16910001299999999</v>
      </c>
      <c r="R37" s="30">
        <f t="shared" si="13"/>
        <v>0.75669998999999999</v>
      </c>
      <c r="S37" s="19">
        <f t="shared" si="1"/>
        <v>0.73988654727434677</v>
      </c>
      <c r="T37" s="19">
        <f t="shared" si="2"/>
        <v>0.21438786934863308</v>
      </c>
      <c r="U37" s="19">
        <f t="shared" si="3"/>
        <v>4.5725583377020151E-2</v>
      </c>
      <c r="V37" s="30">
        <f t="shared" si="14"/>
        <v>0.26011345272565323</v>
      </c>
      <c r="W37" s="11">
        <f t="shared" si="4"/>
        <v>0.34839037386935612</v>
      </c>
      <c r="X37" s="30">
        <f>M37/U37 - 1</f>
        <v>0.8654764510422488</v>
      </c>
      <c r="Y37" s="30">
        <f>N37/T37 - 1</f>
        <v>-0.12261821729234268</v>
      </c>
      <c r="Z37" s="30">
        <f t="shared" si="16"/>
        <v>-1.7957560281765872E-2</v>
      </c>
      <c r="AA37" s="30">
        <f t="shared" si="17"/>
        <v>0.62272390027701552</v>
      </c>
      <c r="AB37" s="30">
        <f t="shared" si="18"/>
        <v>-0.2112426252764652</v>
      </c>
      <c r="AC37" s="30">
        <f t="shared" si="19"/>
        <v>2.2724352520791191E-2</v>
      </c>
    </row>
    <row r="38" spans="1:29" x14ac:dyDescent="0.5">
      <c r="A38">
        <v>2015</v>
      </c>
      <c r="B38" s="12">
        <f>'Minimum Deflation Total'!B38</f>
        <v>220881.83337050889</v>
      </c>
      <c r="C38" s="12">
        <f>Data!AE558</f>
        <v>570925.81000000006</v>
      </c>
      <c r="D38" s="12">
        <f>Data!Z117</f>
        <v>9105213</v>
      </c>
      <c r="E38" s="11">
        <f t="shared" si="6"/>
        <v>13.062920502143593</v>
      </c>
      <c r="F38" s="11">
        <f t="shared" si="7"/>
        <v>0.61982908628987021</v>
      </c>
      <c r="G38" s="12">
        <f t="shared" si="8"/>
        <v>1042636.7905962159</v>
      </c>
      <c r="H38" s="12">
        <f t="shared" si="8"/>
        <v>1992416.0969065893</v>
      </c>
      <c r="I38" s="17">
        <f t="shared" si="9"/>
        <v>0.66172247925473049</v>
      </c>
      <c r="J38" s="17">
        <f t="shared" si="10"/>
        <v>1.70651878775097</v>
      </c>
      <c r="K38" s="18">
        <f t="shared" si="11"/>
        <v>0.74592545226615181</v>
      </c>
      <c r="L38" s="18">
        <f t="shared" si="12"/>
        <v>0.95604423433222929</v>
      </c>
      <c r="M38" s="30">
        <f>Data!H234</f>
        <v>7.7600002000000001E-2</v>
      </c>
      <c r="N38" s="30">
        <f>Data!H351 - M38</f>
        <v>0.18779998799999997</v>
      </c>
      <c r="O38" s="30">
        <f t="shared" si="0"/>
        <v>0.73460001000000008</v>
      </c>
      <c r="P38" s="30">
        <f>Data!M234</f>
        <v>6.8300000999999999E-2</v>
      </c>
      <c r="Q38" s="30">
        <f>Data!M351 - P38</f>
        <v>0.16789999899999999</v>
      </c>
      <c r="R38" s="30">
        <f t="shared" si="13"/>
        <v>0.76380000000000003</v>
      </c>
      <c r="S38" s="19">
        <f t="shared" si="1"/>
        <v>0.74592545226615181</v>
      </c>
      <c r="T38" s="19">
        <f t="shared" si="2"/>
        <v>0.21011878206607748</v>
      </c>
      <c r="U38" s="19">
        <f t="shared" si="3"/>
        <v>4.3955765667770708E-2</v>
      </c>
      <c r="V38" s="30">
        <f t="shared" si="14"/>
        <v>0.25407454773384819</v>
      </c>
      <c r="W38" s="11">
        <f t="shared" si="4"/>
        <v>0.33882055562282831</v>
      </c>
      <c r="X38" s="30">
        <f t="shared" si="5"/>
        <v>0.76541122242122506</v>
      </c>
      <c r="Y38" s="30">
        <f t="shared" si="15"/>
        <v>-0.10621989070476701</v>
      </c>
      <c r="Z38" s="30">
        <f t="shared" si="16"/>
        <v>-1.5183075241292032E-2</v>
      </c>
      <c r="AA38" s="30">
        <f t="shared" si="17"/>
        <v>0.55383486016895844</v>
      </c>
      <c r="AB38" s="30">
        <f t="shared" si="18"/>
        <v>-0.20092817334530644</v>
      </c>
      <c r="AC38" s="30">
        <f t="shared" si="19"/>
        <v>2.3962914363016674E-2</v>
      </c>
    </row>
    <row r="39" spans="1:29" x14ac:dyDescent="0.5">
      <c r="A39" s="10">
        <v>2016</v>
      </c>
      <c r="B39" s="12">
        <f>'Minimum Deflation Total'!B39</f>
        <v>225299.47003791906</v>
      </c>
      <c r="C39" s="12">
        <f>Data!AE559</f>
        <v>563231.38</v>
      </c>
      <c r="D39" s="12">
        <f>Data!Z118</f>
        <v>9714483</v>
      </c>
      <c r="E39" s="11">
        <f t="shared" si="6"/>
        <v>13.044678240416356</v>
      </c>
      <c r="F39" s="11">
        <f t="shared" si="7"/>
        <v>0.6273237747559165</v>
      </c>
      <c r="G39" s="12">
        <f t="shared" si="8"/>
        <v>1033669.8675689657</v>
      </c>
      <c r="H39" s="12">
        <f t="shared" si="8"/>
        <v>1990808.847510169</v>
      </c>
      <c r="I39" s="17">
        <f t="shared" si="9"/>
        <v>0.65422779078868454</v>
      </c>
      <c r="J39" s="17">
        <f t="shared" si="10"/>
        <v>1.6990240992849255</v>
      </c>
      <c r="K39" s="18">
        <f t="shared" si="11"/>
        <v>0.74351747023426851</v>
      </c>
      <c r="L39" s="18">
        <f t="shared" si="12"/>
        <v>0.95534267851699106</v>
      </c>
      <c r="M39" s="30">
        <f>Data!H235</f>
        <v>8.3700000999999996E-2</v>
      </c>
      <c r="N39" s="30">
        <f>Data!H352 - M39</f>
        <v>0.191500009</v>
      </c>
      <c r="O39" s="30">
        <f t="shared" si="0"/>
        <v>0.72479999000000006</v>
      </c>
      <c r="P39" s="30">
        <f>Data!M235</f>
        <v>7.4299999000000005E-2</v>
      </c>
      <c r="Q39" s="30">
        <f>Data!M352 - P39</f>
        <v>0.17009999100000001</v>
      </c>
      <c r="R39" s="30">
        <f t="shared" si="13"/>
        <v>0.75560000999999999</v>
      </c>
      <c r="S39" s="19">
        <f t="shared" si="1"/>
        <v>0.74351747023426851</v>
      </c>
      <c r="T39" s="19">
        <f t="shared" si="2"/>
        <v>0.21182520828272255</v>
      </c>
      <c r="U39" s="19">
        <f t="shared" si="3"/>
        <v>4.4657321483008938E-2</v>
      </c>
      <c r="V39" s="30">
        <f t="shared" si="14"/>
        <v>0.25648252976573149</v>
      </c>
      <c r="W39" s="11">
        <f t="shared" si="4"/>
        <v>0.34265727160730708</v>
      </c>
      <c r="X39" s="30">
        <f t="shared" si="5"/>
        <v>0.87427275574165098</v>
      </c>
      <c r="Y39" s="30">
        <f t="shared" si="15"/>
        <v>-9.5952693484878226E-2</v>
      </c>
      <c r="Z39" s="30">
        <f t="shared" si="16"/>
        <v>-2.5174230577757584E-2</v>
      </c>
      <c r="AA39" s="30">
        <f t="shared" si="17"/>
        <v>0.66378091055616517</v>
      </c>
      <c r="AB39" s="30">
        <f t="shared" si="18"/>
        <v>-0.19697947010646633</v>
      </c>
      <c r="AC39" s="30">
        <f t="shared" si="19"/>
        <v>1.6250512260222338E-2</v>
      </c>
    </row>
    <row r="40" spans="1:29" x14ac:dyDescent="0.5">
      <c r="A40" s="10">
        <v>2017</v>
      </c>
      <c r="B40" s="12">
        <f>'Minimum Deflation Total'!B40</f>
        <v>229805.45943867744</v>
      </c>
      <c r="C40" s="12">
        <f>Data!AE560</f>
        <v>573325.81000000006</v>
      </c>
      <c r="D40" s="12">
        <f>Data!Z119</f>
        <v>0</v>
      </c>
      <c r="E40" s="11"/>
      <c r="F40" s="11"/>
    </row>
    <row r="41" spans="1:29" x14ac:dyDescent="0.5">
      <c r="A41">
        <v>2018</v>
      </c>
      <c r="B41" s="12">
        <f>'Minimum Deflation Total'!B41</f>
        <v>234401.56862745099</v>
      </c>
      <c r="C41" s="12">
        <f>Data!AE561</f>
        <v>575677</v>
      </c>
      <c r="D41" s="12">
        <f>Data!Z120</f>
        <v>0</v>
      </c>
      <c r="E41" s="11"/>
      <c r="F41" s="11"/>
    </row>
    <row r="42" spans="1:29" x14ac:dyDescent="0.5">
      <c r="A42" s="10">
        <v>2019</v>
      </c>
      <c r="B42" s="12">
        <f>'Minimum Deflation Total'!B42</f>
        <v>239089.6</v>
      </c>
      <c r="C42" s="12">
        <f>Data!AE562</f>
        <v>0</v>
      </c>
      <c r="D42" s="12">
        <f>Data!Z121</f>
        <v>0</v>
      </c>
      <c r="E42" s="11"/>
    </row>
    <row r="54" spans="1:2" x14ac:dyDescent="0.5">
      <c r="A54" t="s">
        <v>131</v>
      </c>
      <c r="B54" t="s">
        <v>160</v>
      </c>
    </row>
    <row r="55" spans="1:2" x14ac:dyDescent="0.5">
      <c r="B55">
        <f>(D39/D3 - 1)/(M39/M3 - 1)</f>
        <v>3.8250785225504087</v>
      </c>
    </row>
    <row r="56" spans="1:2" x14ac:dyDescent="0.5">
      <c r="B56" t="s">
        <v>161</v>
      </c>
    </row>
    <row r="57" spans="1:2" x14ac:dyDescent="0.5">
      <c r="B57">
        <f>(B39/B3 - 1)/(O39/O3-1)</f>
        <v>-24.51995281180346</v>
      </c>
    </row>
  </sheetData>
  <mergeCells count="8">
    <mergeCell ref="S1:W1"/>
    <mergeCell ref="M1:R1"/>
    <mergeCell ref="A1:A2"/>
    <mergeCell ref="B1:D1"/>
    <mergeCell ref="E1:F1"/>
    <mergeCell ref="G1:H1"/>
    <mergeCell ref="I1:J1"/>
    <mergeCell ref="K1:L1"/>
  </mergeCells>
  <hyperlinks>
    <hyperlink ref="H1" location="Index" display="Back to Index" xr:uid="{D13EC7C5-130B-4C53-A689-73A6E5C76A33}"/>
  </hyperlinks>
  <pageMargins left="0.7" right="0.7" top="0.75" bottom="0.75" header="0.3" footer="0.3"/>
  <pageSetup orientation="portrait" horizontalDpi="4294967293"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A46BFE-65BD-4F2F-B97A-0A3928CEB421}">
  <sheetPr codeName="Sheet7"/>
  <dimension ref="A1:I50"/>
  <sheetViews>
    <sheetView topLeftCell="A7" workbookViewId="0">
      <selection activeCell="H1" sqref="H1"/>
    </sheetView>
  </sheetViews>
  <sheetFormatPr defaultRowHeight="15.75" x14ac:dyDescent="0.5"/>
  <cols>
    <col min="1" max="1" width="14.25" customWidth="1"/>
    <col min="2" max="2" width="14.875" customWidth="1"/>
    <col min="3" max="3" width="10.75" customWidth="1"/>
    <col min="4" max="4" width="17.5" customWidth="1"/>
    <col min="5" max="5" width="16.875" style="32" customWidth="1"/>
    <col min="6" max="6" width="13.625" customWidth="1"/>
    <col min="7" max="7" width="16.25" customWidth="1"/>
    <col min="8" max="8" width="18.625" customWidth="1"/>
    <col min="9" max="9" width="17.875" customWidth="1"/>
    <col min="29" max="29" width="20" customWidth="1"/>
    <col min="30" max="30" width="24.125" customWidth="1"/>
    <col min="31" max="31" width="12.875" customWidth="1"/>
    <col min="32" max="32" width="12.75" customWidth="1"/>
    <col min="33" max="33" width="36.125" customWidth="1"/>
  </cols>
  <sheetData>
    <row r="1" spans="1:9" x14ac:dyDescent="0.5">
      <c r="B1" t="s">
        <v>2</v>
      </c>
      <c r="C1" t="s">
        <v>139</v>
      </c>
      <c r="D1" t="s">
        <v>141</v>
      </c>
      <c r="E1" s="32" t="s">
        <v>142</v>
      </c>
      <c r="F1" t="s">
        <v>152</v>
      </c>
      <c r="G1" t="s">
        <v>153</v>
      </c>
      <c r="H1" s="5" t="s">
        <v>543</v>
      </c>
      <c r="I1" t="s">
        <v>154</v>
      </c>
    </row>
    <row r="2" spans="1:9" x14ac:dyDescent="0.5">
      <c r="A2" t="s">
        <v>143</v>
      </c>
      <c r="B2">
        <f>5.58*(1-B47)*(B48)*(1+(B49)*(1-B50))</f>
        <v>1.0202248800000002</v>
      </c>
      <c r="C2">
        <f>23.66*(1-0.52)*(0.2)*(1+(0.09)*(1-0.3))</f>
        <v>2.4144556800000001</v>
      </c>
      <c r="D2">
        <f>43.38*(1-0.52)*(0.1)*(1+(0.09)*(1-0.3))</f>
        <v>2.21342112</v>
      </c>
      <c r="E2" s="32">
        <f>27.38*(1-0.32)*(0.02)*(1+(0.09)*(1-0.3))</f>
        <v>0.39582718399999994</v>
      </c>
      <c r="F2">
        <f>B2/(B2+C2+D2+E2)</f>
        <v>0.16880160289060614</v>
      </c>
      <c r="G2">
        <f>C2/(B2+C2+D2+E2)</f>
        <v>0.39948446355506284</v>
      </c>
      <c r="H2">
        <f>D2/(B2+C2+D2+E2)</f>
        <v>0.36622223222778161</v>
      </c>
      <c r="I2">
        <f>E2/(B2+C2+D2+E2)</f>
        <v>6.5491701326549551E-2</v>
      </c>
    </row>
    <row r="3" spans="1:9" x14ac:dyDescent="0.5">
      <c r="B3">
        <f>B2+B2 *(0.09)*(1-0.3) + 1.02022488</f>
        <v>2.1047239274400003</v>
      </c>
      <c r="C3">
        <f>C2+C2*(0.09)*(0.7)+2.41445568</f>
        <v>4.9810220678399997</v>
      </c>
      <c r="D3">
        <f t="shared" ref="D3:D22" si="0">D2+D2*(0.09)*(1-0.3)+2.21342112</f>
        <v>4.5662877705600007</v>
      </c>
      <c r="E3" s="32">
        <f>E2+E2*(0.09*(1-0.3))+0.395827184</f>
        <v>0.81659148059199993</v>
      </c>
      <c r="F3">
        <f>B3/(B3+C3+D3+E3)</f>
        <v>0.16880160289060608</v>
      </c>
      <c r="G3">
        <f t="shared" ref="G3:G21" si="1">C3/(B3+C3+D3+E3)</f>
        <v>0.39948446355506273</v>
      </c>
      <c r="H3">
        <f t="shared" ref="H3:H21" si="2">D3/(B3+C3+D3+E3)</f>
        <v>0.36622223222778155</v>
      </c>
      <c r="I3">
        <f t="shared" ref="I3:I21" si="3">E3/(B3+C3+D3+E3)</f>
        <v>6.5491701326549551E-2</v>
      </c>
    </row>
    <row r="4" spans="1:9" x14ac:dyDescent="0.5">
      <c r="B4">
        <f t="shared" ref="B4:B22" si="4">B3+B3 *(0.09)*(1-0.3) + 1.02022488</f>
        <v>3.2575464148687203</v>
      </c>
      <c r="C4">
        <f t="shared" ref="C4:C22" si="5">C3+C3*(0.09)*(0.7)+2.41445568</f>
        <v>7.7092821381139203</v>
      </c>
      <c r="D4">
        <f t="shared" si="0"/>
        <v>7.0673850201052808</v>
      </c>
      <c r="E4" s="32">
        <f>E3+E3*(0.09*(1-0.3))+0.395827184</f>
        <v>1.263863927869296</v>
      </c>
      <c r="F4">
        <f t="shared" ref="F4:F21" si="6">B4/(B4+C4+D4+E4)</f>
        <v>0.16880160289060611</v>
      </c>
      <c r="G4">
        <f t="shared" si="1"/>
        <v>0.39948446355506279</v>
      </c>
      <c r="H4">
        <f t="shared" si="2"/>
        <v>0.36622223222778161</v>
      </c>
      <c r="I4">
        <f t="shared" si="3"/>
        <v>6.5491701326549565E-2</v>
      </c>
    </row>
    <row r="5" spans="1:9" x14ac:dyDescent="0.5">
      <c r="B5">
        <f t="shared" si="4"/>
        <v>4.4829967190054498</v>
      </c>
      <c r="C5">
        <f t="shared" si="5"/>
        <v>10.609422592815097</v>
      </c>
      <c r="D5">
        <f t="shared" si="0"/>
        <v>9.7260513963719131</v>
      </c>
      <c r="E5" s="32">
        <f t="shared" ref="E5:E22" si="7">E4+E4*(0.09*(1-0.3))+0.395827184</f>
        <v>1.7393145393250617</v>
      </c>
      <c r="F5">
        <f t="shared" si="6"/>
        <v>0.16880160289060611</v>
      </c>
      <c r="G5">
        <f t="shared" si="1"/>
        <v>0.39948446355506279</v>
      </c>
      <c r="H5">
        <f t="shared" si="2"/>
        <v>0.36622223222778161</v>
      </c>
      <c r="I5">
        <f t="shared" si="3"/>
        <v>6.5491701326549578E-2</v>
      </c>
    </row>
    <row r="6" spans="1:9" x14ac:dyDescent="0.5">
      <c r="B6">
        <f t="shared" si="4"/>
        <v>5.7856503923027933</v>
      </c>
      <c r="C6">
        <f t="shared" si="5"/>
        <v>13.692271896162447</v>
      </c>
      <c r="D6">
        <f t="shared" si="0"/>
        <v>12.552213754343343</v>
      </c>
      <c r="E6" s="32">
        <f t="shared" si="7"/>
        <v>2.2447185393025406</v>
      </c>
      <c r="F6">
        <f t="shared" si="6"/>
        <v>0.16880160289060611</v>
      </c>
      <c r="G6">
        <f t="shared" si="1"/>
        <v>0.39948446355506273</v>
      </c>
      <c r="H6">
        <f t="shared" si="2"/>
        <v>0.36622223222778155</v>
      </c>
      <c r="I6">
        <f t="shared" si="3"/>
        <v>6.5491701326549565E-2</v>
      </c>
    </row>
    <row r="7" spans="1:9" x14ac:dyDescent="0.5">
      <c r="B7">
        <f t="shared" si="4"/>
        <v>7.1703712470178687</v>
      </c>
      <c r="C7">
        <f t="shared" si="5"/>
        <v>16.969340705620681</v>
      </c>
      <c r="D7">
        <f t="shared" si="0"/>
        <v>15.556424340866974</v>
      </c>
      <c r="E7" s="32">
        <f t="shared" si="7"/>
        <v>2.7819629912786006</v>
      </c>
      <c r="F7">
        <f t="shared" si="6"/>
        <v>0.16880160289060611</v>
      </c>
      <c r="G7">
        <f t="shared" si="1"/>
        <v>0.39948446355506279</v>
      </c>
      <c r="H7">
        <f t="shared" si="2"/>
        <v>0.36622223222778161</v>
      </c>
      <c r="I7">
        <f t="shared" si="3"/>
        <v>6.5491701326549565E-2</v>
      </c>
    </row>
    <row r="8" spans="1:9" x14ac:dyDescent="0.5">
      <c r="B8">
        <f t="shared" si="4"/>
        <v>8.6423295155799948</v>
      </c>
      <c r="C8">
        <f t="shared" si="5"/>
        <v>20.452864850074782</v>
      </c>
      <c r="D8">
        <f t="shared" si="0"/>
        <v>18.749900194341592</v>
      </c>
      <c r="E8" s="32">
        <f t="shared" si="7"/>
        <v>3.3530538437291524</v>
      </c>
      <c r="F8">
        <f t="shared" si="6"/>
        <v>0.16880160289060611</v>
      </c>
      <c r="G8">
        <f t="shared" si="1"/>
        <v>0.39948446355506279</v>
      </c>
      <c r="H8">
        <f t="shared" si="2"/>
        <v>0.36622223222778161</v>
      </c>
      <c r="I8">
        <f t="shared" si="3"/>
        <v>6.5491701326549578E-2</v>
      </c>
    </row>
    <row r="9" spans="1:9" x14ac:dyDescent="0.5">
      <c r="B9">
        <f t="shared" si="4"/>
        <v>10.207021155061534</v>
      </c>
      <c r="C9">
        <f t="shared" si="5"/>
        <v>24.155851015629494</v>
      </c>
      <c r="D9">
        <f t="shared" si="0"/>
        <v>22.144565026585113</v>
      </c>
      <c r="E9" s="32">
        <f t="shared" si="7"/>
        <v>3.9601234198840887</v>
      </c>
      <c r="F9">
        <f t="shared" si="6"/>
        <v>0.16880160289060611</v>
      </c>
      <c r="G9">
        <f t="shared" si="1"/>
        <v>0.39948446355506273</v>
      </c>
      <c r="H9">
        <f t="shared" si="2"/>
        <v>0.36622223222778155</v>
      </c>
      <c r="I9">
        <f t="shared" si="3"/>
        <v>6.5491701326549565E-2</v>
      </c>
    </row>
    <row r="10" spans="1:9" x14ac:dyDescent="0.5">
      <c r="B10">
        <f t="shared" si="4"/>
        <v>11.870288367830412</v>
      </c>
      <c r="C10">
        <f t="shared" si="5"/>
        <v>28.092125309614151</v>
      </c>
      <c r="D10">
        <f t="shared" si="0"/>
        <v>25.753093743259974</v>
      </c>
      <c r="E10" s="32">
        <f t="shared" si="7"/>
        <v>4.6054383793367863</v>
      </c>
      <c r="F10">
        <f t="shared" si="6"/>
        <v>0.16880160289060611</v>
      </c>
      <c r="G10">
        <f t="shared" si="1"/>
        <v>0.39948446355506273</v>
      </c>
      <c r="H10">
        <f t="shared" si="2"/>
        <v>0.36622223222778155</v>
      </c>
      <c r="I10">
        <f t="shared" si="3"/>
        <v>6.5491701326549565E-2</v>
      </c>
    </row>
    <row r="11" spans="1:9" x14ac:dyDescent="0.5">
      <c r="B11">
        <f t="shared" si="4"/>
        <v>13.638341415003728</v>
      </c>
      <c r="C11">
        <f t="shared" si="5"/>
        <v>32.276384884119842</v>
      </c>
      <c r="D11">
        <f t="shared" si="0"/>
        <v>29.588959769085353</v>
      </c>
      <c r="E11" s="32">
        <f t="shared" si="7"/>
        <v>5.2914081812350036</v>
      </c>
      <c r="F11">
        <f t="shared" si="6"/>
        <v>0.16880160289060614</v>
      </c>
      <c r="G11">
        <f t="shared" si="1"/>
        <v>0.39948446355506279</v>
      </c>
      <c r="H11">
        <f t="shared" si="2"/>
        <v>0.36622223222778161</v>
      </c>
      <c r="I11">
        <f t="shared" si="3"/>
        <v>6.5491701326549565E-2</v>
      </c>
    </row>
    <row r="12" spans="1:9" x14ac:dyDescent="0.5">
      <c r="B12">
        <f t="shared" si="4"/>
        <v>15.517781804148964</v>
      </c>
      <c r="C12">
        <f t="shared" si="5"/>
        <v>36.724252811819397</v>
      </c>
      <c r="D12">
        <f t="shared" si="0"/>
        <v>33.666485354537734</v>
      </c>
      <c r="E12" s="32">
        <f t="shared" si="7"/>
        <v>6.0205940806528089</v>
      </c>
      <c r="F12">
        <f t="shared" si="6"/>
        <v>0.16880160289060611</v>
      </c>
      <c r="G12">
        <f t="shared" si="1"/>
        <v>0.39948446355506279</v>
      </c>
      <c r="H12">
        <f t="shared" si="2"/>
        <v>0.36622223222778155</v>
      </c>
      <c r="I12">
        <f t="shared" si="3"/>
        <v>6.5491701326549551E-2</v>
      </c>
    </row>
    <row r="13" spans="1:9" x14ac:dyDescent="0.5">
      <c r="B13">
        <f t="shared" si="4"/>
        <v>17.51562693781035</v>
      </c>
      <c r="C13">
        <f t="shared" si="5"/>
        <v>41.452336418964023</v>
      </c>
      <c r="D13">
        <f t="shared" si="0"/>
        <v>38.000895051873613</v>
      </c>
      <c r="E13" s="32">
        <f t="shared" si="7"/>
        <v>6.7957186917339358</v>
      </c>
      <c r="F13">
        <f t="shared" si="6"/>
        <v>0.16880160289060611</v>
      </c>
      <c r="G13">
        <f t="shared" si="1"/>
        <v>0.39948446355506273</v>
      </c>
      <c r="H13">
        <f t="shared" si="2"/>
        <v>0.36622223222778155</v>
      </c>
      <c r="I13">
        <f t="shared" si="3"/>
        <v>6.5491701326549551E-2</v>
      </c>
    </row>
    <row r="14" spans="1:9" x14ac:dyDescent="0.5">
      <c r="B14">
        <f t="shared" si="4"/>
        <v>19.639336314892404</v>
      </c>
      <c r="C14">
        <f t="shared" si="5"/>
        <v>46.478289293358756</v>
      </c>
      <c r="D14">
        <f t="shared" si="0"/>
        <v>42.608372560141653</v>
      </c>
      <c r="E14" s="32">
        <f t="shared" si="7"/>
        <v>7.6196761533131738</v>
      </c>
      <c r="F14">
        <f t="shared" si="6"/>
        <v>0.16880160289060611</v>
      </c>
      <c r="G14">
        <f t="shared" si="1"/>
        <v>0.39948446355506279</v>
      </c>
      <c r="H14">
        <f t="shared" si="2"/>
        <v>0.36622223222778155</v>
      </c>
      <c r="I14">
        <f t="shared" si="3"/>
        <v>6.5491701326549551E-2</v>
      </c>
    </row>
    <row r="15" spans="1:9" x14ac:dyDescent="0.5">
      <c r="B15">
        <f t="shared" si="4"/>
        <v>21.896839382730626</v>
      </c>
      <c r="C15">
        <f t="shared" si="5"/>
        <v>51.820877198840364</v>
      </c>
      <c r="D15">
        <f t="shared" si="0"/>
        <v>47.506121151430577</v>
      </c>
      <c r="E15" s="32">
        <f t="shared" si="7"/>
        <v>8.4955429349719029</v>
      </c>
      <c r="F15">
        <f t="shared" si="6"/>
        <v>0.16880160289060611</v>
      </c>
      <c r="G15">
        <f t="shared" si="1"/>
        <v>0.39948446355506279</v>
      </c>
      <c r="H15">
        <f t="shared" si="2"/>
        <v>0.36622223222778155</v>
      </c>
      <c r="I15">
        <f t="shared" si="3"/>
        <v>6.5491701326549537E-2</v>
      </c>
    </row>
    <row r="16" spans="1:9" x14ac:dyDescent="0.5">
      <c r="B16">
        <f t="shared" si="4"/>
        <v>24.296565143842656</v>
      </c>
      <c r="C16">
        <f t="shared" si="5"/>
        <v>57.500048142367312</v>
      </c>
      <c r="D16">
        <f t="shared" si="0"/>
        <v>52.712427903970699</v>
      </c>
      <c r="E16" s="32">
        <f t="shared" si="7"/>
        <v>9.4265893238751328</v>
      </c>
      <c r="F16">
        <f t="shared" si="6"/>
        <v>0.16880160289060611</v>
      </c>
      <c r="G16">
        <f t="shared" si="1"/>
        <v>0.39948446355506279</v>
      </c>
      <c r="H16">
        <f t="shared" si="2"/>
        <v>0.3662222322277815</v>
      </c>
      <c r="I16">
        <f t="shared" si="3"/>
        <v>6.5491701326549537E-2</v>
      </c>
    </row>
    <row r="17" spans="1:9" x14ac:dyDescent="0.5">
      <c r="B17">
        <f t="shared" si="4"/>
        <v>26.847473627904744</v>
      </c>
      <c r="C17">
        <f t="shared" si="5"/>
        <v>63.537006855336458</v>
      </c>
      <c r="D17">
        <f t="shared" si="0"/>
        <v>58.246731981920853</v>
      </c>
      <c r="E17" s="32">
        <f t="shared" si="7"/>
        <v>10.416291635279267</v>
      </c>
      <c r="F17">
        <f t="shared" si="6"/>
        <v>0.16880160289060611</v>
      </c>
      <c r="G17">
        <f t="shared" si="1"/>
        <v>0.39948446355506279</v>
      </c>
      <c r="H17">
        <f t="shared" si="2"/>
        <v>0.3662222322277815</v>
      </c>
      <c r="I17">
        <f t="shared" si="3"/>
        <v>6.5491701326549537E-2</v>
      </c>
    </row>
    <row r="18" spans="1:9" x14ac:dyDescent="0.5">
      <c r="B18">
        <f t="shared" si="4"/>
        <v>29.559089346462745</v>
      </c>
      <c r="C18">
        <f t="shared" si="5"/>
        <v>69.954293967222654</v>
      </c>
      <c r="D18">
        <f t="shared" si="0"/>
        <v>64.129697216781864</v>
      </c>
      <c r="E18" s="32">
        <f t="shared" si="7"/>
        <v>11.468345192301861</v>
      </c>
      <c r="F18">
        <f t="shared" si="6"/>
        <v>0.16880160289060611</v>
      </c>
      <c r="G18">
        <f t="shared" si="1"/>
        <v>0.39948446355506284</v>
      </c>
      <c r="H18">
        <f t="shared" si="2"/>
        <v>0.3662222322277815</v>
      </c>
      <c r="I18">
        <f t="shared" si="3"/>
        <v>6.5491701326549551E-2</v>
      </c>
    </row>
    <row r="19" spans="1:9" x14ac:dyDescent="0.5">
      <c r="B19">
        <f t="shared" si="4"/>
        <v>32.441536855289897</v>
      </c>
      <c r="C19">
        <f t="shared" si="5"/>
        <v>76.775870167157677</v>
      </c>
      <c r="D19">
        <f t="shared" si="0"/>
        <v>70.383289261439131</v>
      </c>
      <c r="E19" s="32">
        <f t="shared" si="7"/>
        <v>12.586678123416878</v>
      </c>
      <c r="F19">
        <f t="shared" si="6"/>
        <v>0.16880160289060614</v>
      </c>
      <c r="G19">
        <f t="shared" si="1"/>
        <v>0.39948446355506284</v>
      </c>
      <c r="H19">
        <f t="shared" si="2"/>
        <v>0.36622223222778155</v>
      </c>
      <c r="I19">
        <f t="shared" si="3"/>
        <v>6.5491701326549551E-2</v>
      </c>
    </row>
    <row r="20" spans="1:9" x14ac:dyDescent="0.5">
      <c r="B20">
        <f t="shared" si="4"/>
        <v>35.505578557173159</v>
      </c>
      <c r="C20">
        <f t="shared" si="5"/>
        <v>84.027205667688619</v>
      </c>
      <c r="D20">
        <f t="shared" si="0"/>
        <v>77.030857604909798</v>
      </c>
      <c r="E20" s="32">
        <f t="shared" si="7"/>
        <v>13.77546602919214</v>
      </c>
      <c r="F20">
        <f t="shared" si="6"/>
        <v>0.16880160289060608</v>
      </c>
      <c r="G20">
        <f t="shared" si="1"/>
        <v>0.39948446355506279</v>
      </c>
      <c r="H20">
        <f t="shared" si="2"/>
        <v>0.3662222322277815</v>
      </c>
      <c r="I20">
        <f t="shared" si="3"/>
        <v>6.5491701326549537E-2</v>
      </c>
    </row>
    <row r="21" spans="1:9" x14ac:dyDescent="0.5">
      <c r="B21">
        <f t="shared" si="4"/>
        <v>38.762654886275065</v>
      </c>
      <c r="C21">
        <f t="shared" si="5"/>
        <v>91.735375304753006</v>
      </c>
      <c r="D21">
        <f t="shared" si="0"/>
        <v>84.097222754019114</v>
      </c>
      <c r="E21" s="32">
        <f t="shared" si="7"/>
        <v>15.039147573031245</v>
      </c>
      <c r="F21">
        <f t="shared" si="6"/>
        <v>0.16880160289060608</v>
      </c>
      <c r="G21">
        <f t="shared" si="1"/>
        <v>0.39948446355506279</v>
      </c>
      <c r="H21">
        <f t="shared" si="2"/>
        <v>0.3662222322277815</v>
      </c>
      <c r="I21">
        <f t="shared" si="3"/>
        <v>6.5491701326549537E-2</v>
      </c>
    </row>
    <row r="22" spans="1:9" x14ac:dyDescent="0.5">
      <c r="B22">
        <f t="shared" si="4"/>
        <v>42.224927024110393</v>
      </c>
      <c r="C22">
        <f t="shared" si="5"/>
        <v>99.929159628952448</v>
      </c>
      <c r="D22">
        <f t="shared" si="0"/>
        <v>91.608768907522318</v>
      </c>
      <c r="E22" s="32">
        <f t="shared" si="7"/>
        <v>16.382441054132215</v>
      </c>
    </row>
    <row r="23" spans="1:9" x14ac:dyDescent="0.5">
      <c r="A23" t="s">
        <v>131</v>
      </c>
      <c r="B23" t="s">
        <v>140</v>
      </c>
    </row>
    <row r="24" spans="1:9" x14ac:dyDescent="0.5">
      <c r="B24" t="s">
        <v>138</v>
      </c>
    </row>
    <row r="26" spans="1:9" x14ac:dyDescent="0.5">
      <c r="B26" t="s">
        <v>132</v>
      </c>
    </row>
    <row r="27" spans="1:9" x14ac:dyDescent="0.5">
      <c r="B27" t="s">
        <v>133</v>
      </c>
    </row>
    <row r="28" spans="1:9" x14ac:dyDescent="0.5">
      <c r="B28" t="s">
        <v>134</v>
      </c>
    </row>
    <row r="29" spans="1:9" x14ac:dyDescent="0.5">
      <c r="B29" t="s">
        <v>135</v>
      </c>
    </row>
    <row r="30" spans="1:9" x14ac:dyDescent="0.5">
      <c r="B30" t="s">
        <v>136</v>
      </c>
    </row>
    <row r="31" spans="1:9" x14ac:dyDescent="0.5">
      <c r="B31" t="s">
        <v>137</v>
      </c>
    </row>
    <row r="45" spans="1:5" x14ac:dyDescent="0.5">
      <c r="B45" t="s">
        <v>2</v>
      </c>
      <c r="C45" t="s">
        <v>144</v>
      </c>
      <c r="D45" t="s">
        <v>147</v>
      </c>
      <c r="E45" s="32" t="s">
        <v>148</v>
      </c>
    </row>
    <row r="46" spans="1:5" x14ac:dyDescent="0.5">
      <c r="A46" t="s">
        <v>146</v>
      </c>
      <c r="B46">
        <v>5.58</v>
      </c>
      <c r="C46">
        <v>23.66</v>
      </c>
      <c r="D46">
        <v>43.38</v>
      </c>
      <c r="E46" s="32">
        <v>27.38</v>
      </c>
    </row>
    <row r="47" spans="1:5" x14ac:dyDescent="0.5">
      <c r="A47" t="s">
        <v>145</v>
      </c>
      <c r="B47">
        <v>0.56999999999999995</v>
      </c>
      <c r="C47">
        <v>0.52</v>
      </c>
      <c r="D47">
        <v>0.52</v>
      </c>
      <c r="E47" s="32">
        <v>0.32</v>
      </c>
    </row>
    <row r="48" spans="1:5" x14ac:dyDescent="0.5">
      <c r="A48" t="s">
        <v>149</v>
      </c>
      <c r="B48">
        <v>0.4</v>
      </c>
      <c r="C48">
        <v>0.2</v>
      </c>
      <c r="D48">
        <v>0.1</v>
      </c>
      <c r="E48" s="32">
        <v>0.02</v>
      </c>
    </row>
    <row r="49" spans="1:5" x14ac:dyDescent="0.5">
      <c r="A49" t="s">
        <v>150</v>
      </c>
      <c r="B49" s="31">
        <v>0.09</v>
      </c>
      <c r="C49" s="31">
        <v>0.09</v>
      </c>
      <c r="D49" s="31">
        <v>0.09</v>
      </c>
      <c r="E49" s="33">
        <v>0.09</v>
      </c>
    </row>
    <row r="50" spans="1:5" x14ac:dyDescent="0.5">
      <c r="A50" t="s">
        <v>151</v>
      </c>
      <c r="B50">
        <v>0.3</v>
      </c>
      <c r="C50">
        <v>0.3</v>
      </c>
      <c r="D50">
        <v>0.3</v>
      </c>
      <c r="E50" s="32">
        <v>0.3</v>
      </c>
    </row>
  </sheetData>
  <hyperlinks>
    <hyperlink ref="H1" location="Index" display="Back to Index" xr:uid="{9A6D886F-EACE-4583-AE91-8CCF36B00E73}"/>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807652-FE04-4FBA-9C99-CDF7A122F500}">
  <sheetPr codeName="Sheet8"/>
  <dimension ref="A1:AC42"/>
  <sheetViews>
    <sheetView workbookViewId="0">
      <pane xSplit="1" ySplit="2" topLeftCell="J24" activePane="bottomRight" state="frozen"/>
      <selection pane="topRight" activeCell="B1" sqref="B1"/>
      <selection pane="bottomLeft" activeCell="A3" sqref="A3"/>
      <selection pane="bottomRight" activeCell="Z58" sqref="Z57:Z58"/>
    </sheetView>
  </sheetViews>
  <sheetFormatPr defaultRowHeight="15.75" x14ac:dyDescent="0.5"/>
  <cols>
    <col min="2" max="2" width="17" customWidth="1"/>
    <col min="3" max="3" width="49" bestFit="1" customWidth="1"/>
    <col min="4" max="4" width="26" customWidth="1"/>
    <col min="5" max="5" width="21.75" customWidth="1"/>
    <col min="6" max="6" width="29.125" customWidth="1"/>
    <col min="7" max="7" width="15.375" customWidth="1"/>
    <col min="8" max="8" width="10.875" customWidth="1"/>
    <col min="9" max="9" width="22.75" customWidth="1"/>
    <col min="10" max="10" width="18.75" customWidth="1"/>
    <col min="11" max="11" width="15.25" customWidth="1"/>
    <col min="12" max="12" width="26" customWidth="1"/>
    <col min="13" max="13" width="21.125" customWidth="1"/>
    <col min="14" max="14" width="17.375" customWidth="1"/>
    <col min="15" max="18" width="19.625" customWidth="1"/>
    <col min="19" max="19" width="23.25" customWidth="1"/>
    <col min="20" max="20" width="14.125" customWidth="1"/>
    <col min="22" max="22" width="14.875" customWidth="1"/>
    <col min="23" max="23" width="18.75" customWidth="1"/>
    <col min="24" max="24" width="18.5" customWidth="1"/>
    <col min="25" max="25" width="17.25" customWidth="1"/>
    <col min="26" max="26" width="13.625" customWidth="1"/>
    <col min="27" max="27" width="18.375" customWidth="1"/>
    <col min="28" max="28" width="24" customWidth="1"/>
    <col min="29" max="29" width="20.5" customWidth="1"/>
  </cols>
  <sheetData>
    <row r="1" spans="1:29" x14ac:dyDescent="0.5">
      <c r="A1" s="105" t="s">
        <v>5</v>
      </c>
      <c r="B1" s="106" t="s">
        <v>12</v>
      </c>
      <c r="C1" s="106"/>
      <c r="D1" s="106"/>
      <c r="E1" s="107" t="s">
        <v>13</v>
      </c>
      <c r="F1" s="107"/>
      <c r="G1" s="106" t="s">
        <v>18</v>
      </c>
      <c r="H1" s="108"/>
      <c r="I1" s="109" t="s">
        <v>19</v>
      </c>
      <c r="J1" s="109"/>
      <c r="K1" s="103" t="s">
        <v>20</v>
      </c>
      <c r="L1" s="103"/>
      <c r="M1" s="104" t="s">
        <v>116</v>
      </c>
      <c r="N1" s="104"/>
      <c r="O1" s="104"/>
      <c r="P1" s="104"/>
      <c r="Q1" s="104"/>
      <c r="R1" s="104"/>
      <c r="S1" s="103" t="s">
        <v>21</v>
      </c>
      <c r="T1" s="103"/>
      <c r="U1" s="103"/>
      <c r="V1" s="103"/>
      <c r="W1" s="103"/>
    </row>
    <row r="2" spans="1:29" x14ac:dyDescent="0.5">
      <c r="A2" s="105"/>
      <c r="B2" s="13" t="s">
        <v>9</v>
      </c>
      <c r="C2" s="13" t="s">
        <v>539</v>
      </c>
      <c r="D2" s="13" t="s">
        <v>11</v>
      </c>
      <c r="E2" s="8" t="s">
        <v>3</v>
      </c>
      <c r="F2" s="8" t="s">
        <v>4</v>
      </c>
      <c r="G2" s="14">
        <v>0.9</v>
      </c>
      <c r="H2" s="14">
        <v>0.99</v>
      </c>
      <c r="I2" s="15" t="s">
        <v>14</v>
      </c>
      <c r="J2" s="15" t="s">
        <v>15</v>
      </c>
      <c r="K2" s="16" t="s">
        <v>16</v>
      </c>
      <c r="L2" s="16" t="s">
        <v>17</v>
      </c>
      <c r="M2" s="29" t="s">
        <v>117</v>
      </c>
      <c r="N2" s="29" t="s">
        <v>120</v>
      </c>
      <c r="O2" s="29" t="s">
        <v>124</v>
      </c>
      <c r="P2" s="29" t="s">
        <v>125</v>
      </c>
      <c r="Q2" s="29" t="s">
        <v>126</v>
      </c>
      <c r="R2" s="29" t="s">
        <v>127</v>
      </c>
      <c r="S2" s="16" t="s">
        <v>0</v>
      </c>
      <c r="T2" s="16" t="s">
        <v>1</v>
      </c>
      <c r="U2" s="16" t="s">
        <v>2</v>
      </c>
      <c r="V2" s="29" t="s">
        <v>118</v>
      </c>
      <c r="W2" s="9" t="s">
        <v>25</v>
      </c>
      <c r="X2" s="29" t="s">
        <v>121</v>
      </c>
      <c r="Y2" s="29" t="s">
        <v>122</v>
      </c>
      <c r="Z2" s="29" t="s">
        <v>123</v>
      </c>
      <c r="AA2" s="29" t="s">
        <v>128</v>
      </c>
      <c r="AB2" s="29" t="s">
        <v>129</v>
      </c>
      <c r="AC2" s="29" t="s">
        <v>130</v>
      </c>
    </row>
    <row r="3" spans="1:29" x14ac:dyDescent="0.5">
      <c r="A3" s="10">
        <v>1980</v>
      </c>
      <c r="B3" s="12">
        <f>'Minimum Deflation Total'!C3</f>
        <v>80123.533519486286</v>
      </c>
      <c r="C3" s="12">
        <f>Data!AF523</f>
        <v>193948.41</v>
      </c>
      <c r="D3" s="12">
        <f>Data!AA82</f>
        <v>1937682.9</v>
      </c>
      <c r="E3" s="11">
        <f>LN(C3)-F3^2/2</f>
        <v>12.034395422256615</v>
      </c>
      <c r="F3" s="11">
        <f>(LN(D3)-LN(B3))/6</f>
        <v>0.53094642401794445</v>
      </c>
      <c r="G3" s="12">
        <f>_xlfn.LOGNORM.INV(G$2,$E3,$F3)</f>
        <v>332644.83664913004</v>
      </c>
      <c r="H3" s="12">
        <f>_xlfn.LOGNORM.INV(H$2,$E3,$F3)</f>
        <v>579291.74498494284</v>
      </c>
      <c r="I3" s="17">
        <f>(LN(G3)-($E3+$F3^2))/$F3</f>
        <v>0.7506051415266568</v>
      </c>
      <c r="J3" s="17">
        <f>(LN(H3)-($E3+$F3^2))/$F3</f>
        <v>1.7954014500228961</v>
      </c>
      <c r="K3" s="18">
        <f>_xlfn.NORM.DIST(I3,0,1,TRUE)</f>
        <v>0.77355483703042038</v>
      </c>
      <c r="L3" s="18">
        <f>_xlfn.NORM.DIST(J3,0,1,TRUE)</f>
        <v>0.96370511919248658</v>
      </c>
      <c r="M3" s="30">
        <f>Data!J199</f>
        <v>4.9899999E-2</v>
      </c>
      <c r="N3" s="30">
        <f>Data!J316 - M3</f>
        <v>0.17159999100000001</v>
      </c>
      <c r="O3" s="30">
        <f t="shared" ref="O3:O39" si="0">1-N3 - M3</f>
        <v>0.77850001000000002</v>
      </c>
      <c r="P3" s="30">
        <f>Data!O199</f>
        <v>4.1499998000000003E-2</v>
      </c>
      <c r="Q3" s="30">
        <f>Data!O316 - P3</f>
        <v>0.153499992</v>
      </c>
      <c r="R3" s="30">
        <f>1-Q3 - P3</f>
        <v>0.80500000999999999</v>
      </c>
      <c r="S3" s="19">
        <f t="shared" ref="S3:S39" si="1">K3</f>
        <v>0.77355483703042038</v>
      </c>
      <c r="T3" s="19">
        <f t="shared" ref="T3:T39" si="2">L3-K3</f>
        <v>0.1901502821620662</v>
      </c>
      <c r="U3" s="19">
        <f t="shared" ref="U3:U39" si="3">1-L3</f>
        <v>3.6294880807513419E-2</v>
      </c>
      <c r="V3" s="30">
        <f>T3+U3</f>
        <v>0.22644516296957962</v>
      </c>
      <c r="W3" s="11">
        <f t="shared" ref="W3:W39" si="4">2*_xlfn.NORM.DIST(F3/SQRT(2),0,1,TRUE)-1</f>
        <v>0.29266362829691861</v>
      </c>
      <c r="X3" s="30">
        <f t="shared" ref="X3:X39" si="5">M3/U3 - 1</f>
        <v>0.3748495074178666</v>
      </c>
      <c r="Y3" s="30">
        <f t="shared" ref="Y3:Y39" si="6">N3/T3 - 1</f>
        <v>-9.7555948648320512E-2</v>
      </c>
      <c r="Z3" s="30">
        <f>O3/S3 - 1</f>
        <v>6.3927891506225798E-3</v>
      </c>
      <c r="AA3" s="30">
        <f>P3/U3 - 1</f>
        <v>0.14341188279667993</v>
      </c>
      <c r="AB3" s="30">
        <f>Q3/T3 - 1</f>
        <v>-0.19274381160701581</v>
      </c>
      <c r="AC3" s="30">
        <f>R3/S3 - 1</f>
        <v>4.0650218270618987E-2</v>
      </c>
    </row>
    <row r="4" spans="1:29" x14ac:dyDescent="0.5">
      <c r="A4">
        <v>1981</v>
      </c>
      <c r="B4" s="12">
        <f>'Minimum Deflation Total'!C4</f>
        <v>81726.00418987601</v>
      </c>
      <c r="C4" s="12">
        <f>Data!AF524</f>
        <v>192737.91</v>
      </c>
      <c r="D4" s="12">
        <f>Data!AA83</f>
        <v>1938317.1</v>
      </c>
      <c r="E4" s="11">
        <f t="shared" ref="E4:E39" si="7">LN(C4)-F4^2/2</f>
        <v>12.029852642677994</v>
      </c>
      <c r="F4" s="11">
        <f t="shared" ref="F4:F39" si="8">(LN(D4)-LN(B4))/6</f>
        <v>0.5277005268994085</v>
      </c>
      <c r="G4" s="12">
        <f t="shared" ref="G4:H39" si="9">_xlfn.LOGNORM.INV(G$2,$E4,$F4)</f>
        <v>329762.53353614447</v>
      </c>
      <c r="H4" s="12">
        <f t="shared" si="9"/>
        <v>572328.06236744195</v>
      </c>
      <c r="I4" s="17">
        <f t="shared" ref="I4:J39" si="10">(LN(G4)-($E4+$F4^2))/$F4</f>
        <v>0.75385103864519243</v>
      </c>
      <c r="J4" s="17">
        <f t="shared" si="10"/>
        <v>1.7986473471414306</v>
      </c>
      <c r="K4" s="18">
        <f t="shared" ref="K4:L39" si="11">_xlfn.NORM.DIST(I4,0,1,TRUE)</f>
        <v>0.7745306635059841</v>
      </c>
      <c r="L4" s="18">
        <f t="shared" si="11"/>
        <v>0.96396275864936687</v>
      </c>
      <c r="M4" s="30">
        <f>Data!J200</f>
        <v>5.0200000000000002E-2</v>
      </c>
      <c r="N4" s="30">
        <f>Data!J317 - M4</f>
        <v>0.16949999000000002</v>
      </c>
      <c r="O4" s="30">
        <f t="shared" si="0"/>
        <v>0.78030000999999993</v>
      </c>
      <c r="P4" s="30">
        <f>Data!O200</f>
        <v>4.1799999999999997E-2</v>
      </c>
      <c r="Q4" s="30">
        <f>Data!O317 - P4</f>
        <v>0.15159999999999998</v>
      </c>
      <c r="R4" s="30">
        <f t="shared" ref="R4:R39" si="12">1-Q4 - P4</f>
        <v>0.80660000000000009</v>
      </c>
      <c r="S4" s="19">
        <f t="shared" si="1"/>
        <v>0.7745306635059841</v>
      </c>
      <c r="T4" s="19">
        <f t="shared" si="2"/>
        <v>0.18943209514338277</v>
      </c>
      <c r="U4" s="19">
        <f t="shared" si="3"/>
        <v>3.6037241350633131E-2</v>
      </c>
      <c r="V4" s="30">
        <f t="shared" ref="V4:V39" si="13">T4+U4</f>
        <v>0.2254693364940159</v>
      </c>
      <c r="W4" s="11">
        <f t="shared" si="4"/>
        <v>0.29095621282599105</v>
      </c>
      <c r="X4" s="30">
        <f t="shared" si="5"/>
        <v>0.3930034075462896</v>
      </c>
      <c r="Y4" s="30">
        <f t="shared" si="6"/>
        <v>-0.10522031722394232</v>
      </c>
      <c r="Z4" s="30">
        <f t="shared" ref="Z4:Z39" si="14">O4/S4 - 1</f>
        <v>7.4488290339602692E-3</v>
      </c>
      <c r="AA4" s="30">
        <f t="shared" ref="AA4:AA39" si="15">P4/U4 - 1</f>
        <v>0.15991120389312541</v>
      </c>
      <c r="AB4" s="30">
        <f t="shared" ref="AB4:AB39" si="16">Q4/T4 - 1</f>
        <v>-0.19971322765948052</v>
      </c>
      <c r="AC4" s="30">
        <f t="shared" ref="AC4:AC39" si="17">R4/S4 - 1</f>
        <v>4.1404863622637178E-2</v>
      </c>
    </row>
    <row r="5" spans="1:29" x14ac:dyDescent="0.5">
      <c r="A5" s="10">
        <v>1982</v>
      </c>
      <c r="B5" s="12">
        <f>'Minimum Deflation Total'!C5</f>
        <v>83360.524273673538</v>
      </c>
      <c r="C5" s="12">
        <f>Data!AF525</f>
        <v>190879.59</v>
      </c>
      <c r="D5" s="12">
        <f>Data!AA84</f>
        <v>2152681.2999999998</v>
      </c>
      <c r="E5" s="11">
        <f t="shared" si="7"/>
        <v>12.01257980422497</v>
      </c>
      <c r="F5" s="11">
        <f t="shared" si="8"/>
        <v>0.54188243219006971</v>
      </c>
      <c r="G5" s="12">
        <f t="shared" si="9"/>
        <v>330060.11500669102</v>
      </c>
      <c r="H5" s="12">
        <f t="shared" si="9"/>
        <v>581395.68673934578</v>
      </c>
      <c r="I5" s="17">
        <f t="shared" si="10"/>
        <v>0.73966913335453033</v>
      </c>
      <c r="J5" s="17">
        <f t="shared" si="10"/>
        <v>1.7844654418507704</v>
      </c>
      <c r="K5" s="18">
        <f t="shared" si="11"/>
        <v>0.77024960915269391</v>
      </c>
      <c r="L5" s="18">
        <f t="shared" si="11"/>
        <v>0.96282596728247338</v>
      </c>
      <c r="M5" s="30">
        <f>Data!J201</f>
        <v>5.5500001E-2</v>
      </c>
      <c r="N5" s="30">
        <f>Data!J318 - M5</f>
        <v>0.170599999</v>
      </c>
      <c r="O5" s="30">
        <f t="shared" si="0"/>
        <v>0.77390000000000003</v>
      </c>
      <c r="P5" s="30">
        <f>Data!O201</f>
        <v>4.8099997999999998E-2</v>
      </c>
      <c r="Q5" s="30">
        <f>Data!O318 - P5</f>
        <v>0.15340000200000001</v>
      </c>
      <c r="R5" s="30">
        <f t="shared" si="12"/>
        <v>0.79849999999999999</v>
      </c>
      <c r="S5" s="19">
        <f t="shared" si="1"/>
        <v>0.77024960915269391</v>
      </c>
      <c r="T5" s="19">
        <f t="shared" si="2"/>
        <v>0.19257635812977947</v>
      </c>
      <c r="U5" s="19">
        <f t="shared" si="3"/>
        <v>3.7174032717526617E-2</v>
      </c>
      <c r="V5" s="30">
        <f t="shared" si="13"/>
        <v>0.22975039084730609</v>
      </c>
      <c r="W5" s="11">
        <f t="shared" si="4"/>
        <v>0.29840534740098423</v>
      </c>
      <c r="X5" s="30">
        <f t="shared" si="5"/>
        <v>0.49297767669508596</v>
      </c>
      <c r="Y5" s="30">
        <f t="shared" si="6"/>
        <v>-0.11411763802786912</v>
      </c>
      <c r="Z5" s="30">
        <f t="shared" si="14"/>
        <v>4.7392310283957961E-3</v>
      </c>
      <c r="AA5" s="30">
        <f t="shared" si="15"/>
        <v>0.29391390935431283</v>
      </c>
      <c r="AB5" s="30">
        <f t="shared" si="16"/>
        <v>-0.20343284352370006</v>
      </c>
      <c r="AC5" s="30">
        <f t="shared" si="17"/>
        <v>3.667692980510906E-2</v>
      </c>
    </row>
    <row r="6" spans="1:29" x14ac:dyDescent="0.5">
      <c r="A6">
        <v>1983</v>
      </c>
      <c r="B6" s="12">
        <f>'Minimum Deflation Total'!C6</f>
        <v>85027.734759147017</v>
      </c>
      <c r="C6" s="12">
        <f>Data!AF526</f>
        <v>194807.59</v>
      </c>
      <c r="D6" s="12">
        <f>Data!AA85</f>
        <v>2264353.5</v>
      </c>
      <c r="E6" s="11">
        <f t="shared" si="7"/>
        <v>12.030157017663035</v>
      </c>
      <c r="F6" s="11">
        <f t="shared" si="8"/>
        <v>0.54701117869292604</v>
      </c>
      <c r="G6" s="12">
        <f t="shared" si="9"/>
        <v>338128.08422276471</v>
      </c>
      <c r="H6" s="12">
        <f t="shared" si="9"/>
        <v>598807.41244993324</v>
      </c>
      <c r="I6" s="17">
        <f t="shared" si="10"/>
        <v>0.73454038685167344</v>
      </c>
      <c r="J6" s="17">
        <f t="shared" si="10"/>
        <v>1.7793366953479126</v>
      </c>
      <c r="K6" s="18">
        <f t="shared" si="11"/>
        <v>0.76869027245742916</v>
      </c>
      <c r="L6" s="18">
        <f t="shared" si="11"/>
        <v>0.96240771085657184</v>
      </c>
      <c r="M6" s="30">
        <f>Data!J202</f>
        <v>5.7200000000000001E-2</v>
      </c>
      <c r="N6" s="30">
        <f>Data!J319 - M6</f>
        <v>0.17099999999999999</v>
      </c>
      <c r="O6" s="30">
        <f t="shared" si="0"/>
        <v>0.77179999999999993</v>
      </c>
      <c r="P6" s="30">
        <f>Data!O202</f>
        <v>4.9600000999999998E-2</v>
      </c>
      <c r="Q6" s="30">
        <f>Data!O319 - P6</f>
        <v>0.15439999899999998</v>
      </c>
      <c r="R6" s="30">
        <f t="shared" si="12"/>
        <v>0.79600000000000004</v>
      </c>
      <c r="S6" s="19">
        <f t="shared" si="1"/>
        <v>0.76869027245742916</v>
      </c>
      <c r="T6" s="19">
        <f t="shared" si="2"/>
        <v>0.19371743839914268</v>
      </c>
      <c r="U6" s="19">
        <f t="shared" si="3"/>
        <v>3.7592289143428159E-2</v>
      </c>
      <c r="V6" s="30">
        <f t="shared" si="13"/>
        <v>0.23130972754257084</v>
      </c>
      <c r="W6" s="11">
        <f t="shared" si="4"/>
        <v>0.30109225325707434</v>
      </c>
      <c r="X6" s="30">
        <f t="shared" si="5"/>
        <v>0.52158863701439784</v>
      </c>
      <c r="Y6" s="30">
        <f t="shared" si="6"/>
        <v>-0.11727100351355479</v>
      </c>
      <c r="Z6" s="30">
        <f t="shared" si="14"/>
        <v>4.0454883507621275E-3</v>
      </c>
      <c r="AA6" s="30">
        <f t="shared" si="15"/>
        <v>0.31941954401228623</v>
      </c>
      <c r="AB6" s="30">
        <f t="shared" si="16"/>
        <v>-0.2029628293872624</v>
      </c>
      <c r="AC6" s="30">
        <f t="shared" si="17"/>
        <v>3.5527609130871829E-2</v>
      </c>
    </row>
    <row r="7" spans="1:29" x14ac:dyDescent="0.5">
      <c r="A7" s="10">
        <v>1984</v>
      </c>
      <c r="B7" s="12">
        <f>'Minimum Deflation Total'!C7</f>
        <v>86728.289454329963</v>
      </c>
      <c r="C7" s="12">
        <f>Data!AF527</f>
        <v>202757.91</v>
      </c>
      <c r="D7" s="12">
        <f>Data!AA86</f>
        <v>2631610.7999999998</v>
      </c>
      <c r="E7" s="11">
        <f t="shared" si="7"/>
        <v>12.058022946015559</v>
      </c>
      <c r="F7" s="11">
        <f t="shared" si="8"/>
        <v>0.56876188122023896</v>
      </c>
      <c r="G7" s="12">
        <f t="shared" si="9"/>
        <v>357510.71951193846</v>
      </c>
      <c r="H7" s="12">
        <f t="shared" si="9"/>
        <v>647685.77281479572</v>
      </c>
      <c r="I7" s="17">
        <f t="shared" si="10"/>
        <v>0.71278968432436252</v>
      </c>
      <c r="J7" s="17">
        <f t="shared" si="10"/>
        <v>1.7575859928206015</v>
      </c>
      <c r="K7" s="18">
        <f t="shared" si="11"/>
        <v>0.76201204505833242</v>
      </c>
      <c r="L7" s="18">
        <f t="shared" si="11"/>
        <v>0.96059101080576426</v>
      </c>
      <c r="M7" s="30">
        <f>Data!J203</f>
        <v>6.3299998999999996E-2</v>
      </c>
      <c r="N7" s="30">
        <f>Data!J320 - M7</f>
        <v>0.172199991</v>
      </c>
      <c r="O7" s="30">
        <f t="shared" si="0"/>
        <v>0.7645000099999999</v>
      </c>
      <c r="P7" s="30">
        <f>Data!O203</f>
        <v>5.6699999000000001E-2</v>
      </c>
      <c r="Q7" s="30">
        <f>Data!O320 - P7</f>
        <v>0.156200001</v>
      </c>
      <c r="R7" s="30">
        <f t="shared" si="12"/>
        <v>0.78710000000000002</v>
      </c>
      <c r="S7" s="19">
        <f t="shared" si="1"/>
        <v>0.76201204505833242</v>
      </c>
      <c r="T7" s="19">
        <f t="shared" si="2"/>
        <v>0.19857896574743183</v>
      </c>
      <c r="U7" s="19">
        <f t="shared" si="3"/>
        <v>3.9408989194235744E-2</v>
      </c>
      <c r="V7" s="30">
        <f t="shared" si="13"/>
        <v>0.23798795494166758</v>
      </c>
      <c r="W7" s="11">
        <f t="shared" si="4"/>
        <v>0.31244504232768033</v>
      </c>
      <c r="X7" s="30">
        <f t="shared" si="5"/>
        <v>0.60623249401328794</v>
      </c>
      <c r="Y7" s="30">
        <f t="shared" si="6"/>
        <v>-0.13283871556155991</v>
      </c>
      <c r="Z7" s="30">
        <f t="shared" si="14"/>
        <v>3.2649942449098912E-3</v>
      </c>
      <c r="AA7" s="30">
        <f t="shared" si="15"/>
        <v>0.43875801331878295</v>
      </c>
      <c r="AB7" s="30">
        <f t="shared" si="16"/>
        <v>-0.21341114648231518</v>
      </c>
      <c r="AC7" s="30">
        <f t="shared" si="17"/>
        <v>3.292330495871254E-2</v>
      </c>
    </row>
    <row r="8" spans="1:29" x14ac:dyDescent="0.5">
      <c r="A8">
        <v>1985</v>
      </c>
      <c r="B8" s="12">
        <f>'Minimum Deflation Total'!C8</f>
        <v>88462.855243416561</v>
      </c>
      <c r="C8" s="12">
        <f>Data!AF528</f>
        <v>208216.5</v>
      </c>
      <c r="D8" s="12">
        <f>Data!AA87</f>
        <v>2639855</v>
      </c>
      <c r="E8" s="11">
        <f t="shared" si="7"/>
        <v>12.086165444090538</v>
      </c>
      <c r="F8" s="11">
        <f t="shared" si="8"/>
        <v>0.56598275354070182</v>
      </c>
      <c r="G8" s="12">
        <f t="shared" si="9"/>
        <v>366407.55384612788</v>
      </c>
      <c r="H8" s="12">
        <f t="shared" si="9"/>
        <v>661879.11965249712</v>
      </c>
      <c r="I8" s="17">
        <f t="shared" si="10"/>
        <v>0.71556881200389721</v>
      </c>
      <c r="J8" s="17">
        <f t="shared" si="10"/>
        <v>1.760365120500138</v>
      </c>
      <c r="K8" s="18">
        <f t="shared" si="11"/>
        <v>0.76287118144484767</v>
      </c>
      <c r="L8" s="18">
        <f t="shared" si="11"/>
        <v>0.960827040355826</v>
      </c>
      <c r="M8" s="30">
        <f>Data!J204</f>
        <v>6.2199998999999999E-2</v>
      </c>
      <c r="N8" s="30">
        <f>Data!J321 - M8</f>
        <v>0.172300011</v>
      </c>
      <c r="O8" s="30">
        <f t="shared" si="0"/>
        <v>0.76549999000000002</v>
      </c>
      <c r="P8" s="30">
        <f>Data!O204</f>
        <v>5.5899999999999998E-2</v>
      </c>
      <c r="Q8" s="30">
        <f>Data!O321 - P8</f>
        <v>0.15669998999999998</v>
      </c>
      <c r="R8" s="30">
        <f t="shared" si="12"/>
        <v>0.78740001000000004</v>
      </c>
      <c r="S8" s="19">
        <f t="shared" si="1"/>
        <v>0.76287118144484767</v>
      </c>
      <c r="T8" s="19">
        <f t="shared" si="2"/>
        <v>0.19795585891097833</v>
      </c>
      <c r="U8" s="19">
        <f t="shared" si="3"/>
        <v>3.9172959644173999E-2</v>
      </c>
      <c r="V8" s="30">
        <f t="shared" si="13"/>
        <v>0.23712881855515233</v>
      </c>
      <c r="W8" s="11">
        <f t="shared" si="4"/>
        <v>0.31099832919317061</v>
      </c>
      <c r="X8" s="30">
        <f t="shared" si="5"/>
        <v>0.58782996140682719</v>
      </c>
      <c r="Y8" s="30">
        <f t="shared" si="6"/>
        <v>-0.12960388266414424</v>
      </c>
      <c r="Z8" s="30">
        <f t="shared" si="14"/>
        <v>3.4459403095730146E-3</v>
      </c>
      <c r="AA8" s="30">
        <f t="shared" si="15"/>
        <v>0.42700476317759484</v>
      </c>
      <c r="AB8" s="30">
        <f t="shared" si="16"/>
        <v>-0.20840943601235518</v>
      </c>
      <c r="AC8" s="30">
        <f t="shared" si="17"/>
        <v>3.2153303403984701E-2</v>
      </c>
    </row>
    <row r="9" spans="1:29" x14ac:dyDescent="0.5">
      <c r="A9" s="10">
        <v>1986</v>
      </c>
      <c r="B9" s="12">
        <f>'Minimum Deflation Total'!C9</f>
        <v>90232.112348284893</v>
      </c>
      <c r="C9" s="12">
        <f>Data!AF529</f>
        <v>221336.09</v>
      </c>
      <c r="D9" s="12">
        <f>Data!AA88</f>
        <v>2700765</v>
      </c>
      <c r="E9" s="11">
        <f t="shared" si="7"/>
        <v>12.146985441940327</v>
      </c>
      <c r="F9" s="11">
        <f t="shared" si="8"/>
        <v>0.56648416145882174</v>
      </c>
      <c r="G9" s="12">
        <f t="shared" si="9"/>
        <v>389634.38572906877</v>
      </c>
      <c r="H9" s="12">
        <f t="shared" si="9"/>
        <v>704204.91598438681</v>
      </c>
      <c r="I9" s="17">
        <f t="shared" si="10"/>
        <v>0.71506740408577851</v>
      </c>
      <c r="J9" s="17">
        <f t="shared" si="10"/>
        <v>1.7598637125820198</v>
      </c>
      <c r="K9" s="18">
        <f t="shared" si="11"/>
        <v>0.76271630286696135</v>
      </c>
      <c r="L9" s="18">
        <f t="shared" si="11"/>
        <v>0.96078454137535474</v>
      </c>
      <c r="M9" s="30">
        <f>Data!J205</f>
        <v>6.0299999999999999E-2</v>
      </c>
      <c r="N9" s="30">
        <f>Data!J322 - M9</f>
        <v>0.17220000000000002</v>
      </c>
      <c r="O9" s="30">
        <f t="shared" si="0"/>
        <v>0.76749999999999996</v>
      </c>
      <c r="P9" s="30">
        <f>Data!O205</f>
        <v>5.4299999000000002E-2</v>
      </c>
      <c r="Q9" s="30">
        <f>Data!O322 - P9</f>
        <v>0.15690000100000001</v>
      </c>
      <c r="R9" s="30">
        <f t="shared" si="12"/>
        <v>0.78879999999999995</v>
      </c>
      <c r="S9" s="19">
        <f t="shared" si="1"/>
        <v>0.76271630286696135</v>
      </c>
      <c r="T9" s="19">
        <f t="shared" si="2"/>
        <v>0.19806823850839339</v>
      </c>
      <c r="U9" s="19">
        <f t="shared" si="3"/>
        <v>3.9215458624645261E-2</v>
      </c>
      <c r="V9" s="30">
        <f t="shared" si="13"/>
        <v>0.23728369713303865</v>
      </c>
      <c r="W9" s="11">
        <f t="shared" si="4"/>
        <v>0.31125942827214081</v>
      </c>
      <c r="X9" s="30">
        <f t="shared" si="5"/>
        <v>0.53765892622007971</v>
      </c>
      <c r="Y9" s="30">
        <f t="shared" si="6"/>
        <v>-0.13060265847367125</v>
      </c>
      <c r="Z9" s="30">
        <f t="shared" si="14"/>
        <v>6.2719219650311242E-3</v>
      </c>
      <c r="AA9" s="30">
        <f t="shared" si="15"/>
        <v>0.38465801253882925</v>
      </c>
      <c r="AB9" s="30">
        <f t="shared" si="16"/>
        <v>-0.2078487586824721</v>
      </c>
      <c r="AC9" s="30">
        <f t="shared" si="17"/>
        <v>3.4198426118588365E-2</v>
      </c>
    </row>
    <row r="10" spans="1:29" x14ac:dyDescent="0.5">
      <c r="A10">
        <v>1987</v>
      </c>
      <c r="B10" s="12">
        <f>'Minimum Deflation Total'!C10</f>
        <v>92036.75459525059</v>
      </c>
      <c r="C10" s="12">
        <f>Data!AF530</f>
        <v>227865.8</v>
      </c>
      <c r="D10" s="12">
        <f>Data!AA89</f>
        <v>2817992</v>
      </c>
      <c r="E10" s="11">
        <f t="shared" si="7"/>
        <v>12.173910877226898</v>
      </c>
      <c r="F10" s="11">
        <f t="shared" si="8"/>
        <v>0.57026530830401168</v>
      </c>
      <c r="G10" s="12">
        <f t="shared" si="9"/>
        <v>402212.27514589671</v>
      </c>
      <c r="H10" s="12">
        <f t="shared" si="9"/>
        <v>729815.00619583472</v>
      </c>
      <c r="I10" s="17">
        <f t="shared" si="10"/>
        <v>0.71128625724058714</v>
      </c>
      <c r="J10" s="17">
        <f t="shared" si="10"/>
        <v>1.7560825657368284</v>
      </c>
      <c r="K10" s="18">
        <f t="shared" si="11"/>
        <v>0.76154656703345092</v>
      </c>
      <c r="L10" s="18">
        <f t="shared" si="11"/>
        <v>0.96046284422571382</v>
      </c>
      <c r="M10" s="30">
        <f>Data!J206</f>
        <v>6.1199999999999997E-2</v>
      </c>
      <c r="N10" s="30">
        <f>Data!J323 - M10</f>
        <v>0.1719</v>
      </c>
      <c r="O10" s="30">
        <f t="shared" si="0"/>
        <v>0.76690000000000003</v>
      </c>
      <c r="P10" s="30">
        <f>Data!O206</f>
        <v>5.4400001000000003E-2</v>
      </c>
      <c r="Q10" s="30">
        <f>Data!O323 - P10</f>
        <v>0.157200009</v>
      </c>
      <c r="R10" s="30">
        <f t="shared" si="12"/>
        <v>0.78839999000000005</v>
      </c>
      <c r="S10" s="19">
        <f t="shared" si="1"/>
        <v>0.76154656703345092</v>
      </c>
      <c r="T10" s="19">
        <f t="shared" si="2"/>
        <v>0.1989162771922629</v>
      </c>
      <c r="U10" s="19">
        <f t="shared" si="3"/>
        <v>3.9537155774286181E-2</v>
      </c>
      <c r="V10" s="30">
        <f t="shared" si="13"/>
        <v>0.23845343296654908</v>
      </c>
      <c r="W10" s="11">
        <f t="shared" si="4"/>
        <v>0.31322719588612324</v>
      </c>
      <c r="X10" s="30">
        <f t="shared" si="5"/>
        <v>0.54791104219496489</v>
      </c>
      <c r="Y10" s="30">
        <f t="shared" si="6"/>
        <v>-0.135817327639559</v>
      </c>
      <c r="Z10" s="30">
        <f t="shared" si="14"/>
        <v>7.0296856401086405E-3</v>
      </c>
      <c r="AA10" s="30">
        <f t="shared" si="15"/>
        <v>0.37592095168818851</v>
      </c>
      <c r="AB10" s="30">
        <f t="shared" si="16"/>
        <v>-0.20971772034493674</v>
      </c>
      <c r="AC10" s="30">
        <f t="shared" si="17"/>
        <v>3.5261695251486369E-2</v>
      </c>
    </row>
    <row r="11" spans="1:29" x14ac:dyDescent="0.5">
      <c r="A11" s="10">
        <v>1988</v>
      </c>
      <c r="B11" s="12">
        <f>'Minimum Deflation Total'!C11</f>
        <v>93877.489687155597</v>
      </c>
      <c r="C11" s="12">
        <f>Data!AF531</f>
        <v>233090.41</v>
      </c>
      <c r="D11" s="12">
        <f>Data!AA90</f>
        <v>3055157.8</v>
      </c>
      <c r="E11" s="11">
        <f t="shared" si="7"/>
        <v>12.190730653191586</v>
      </c>
      <c r="F11" s="11">
        <f t="shared" si="8"/>
        <v>0.58043264871094546</v>
      </c>
      <c r="G11" s="12">
        <f t="shared" si="9"/>
        <v>414399.19312788575</v>
      </c>
      <c r="H11" s="12">
        <f t="shared" si="9"/>
        <v>759958.3525952372</v>
      </c>
      <c r="I11" s="17">
        <f t="shared" si="10"/>
        <v>0.70111891683365235</v>
      </c>
      <c r="J11" s="17">
        <f t="shared" si="10"/>
        <v>1.7459152253298942</v>
      </c>
      <c r="K11" s="18">
        <f t="shared" si="11"/>
        <v>0.75838559709527176</v>
      </c>
      <c r="L11" s="18">
        <f t="shared" si="11"/>
        <v>0.95958715808424255</v>
      </c>
      <c r="M11" s="30">
        <f>Data!J207</f>
        <v>6.4499997000000003E-2</v>
      </c>
      <c r="N11" s="30">
        <f>Data!J324 - M11</f>
        <v>0.17170000299999999</v>
      </c>
      <c r="O11" s="30">
        <f t="shared" si="0"/>
        <v>0.76380000000000003</v>
      </c>
      <c r="P11" s="30">
        <f>Data!O207</f>
        <v>5.6699999000000001E-2</v>
      </c>
      <c r="Q11" s="30">
        <f>Data!O324 - P11</f>
        <v>0.15790000100000001</v>
      </c>
      <c r="R11" s="30">
        <f t="shared" si="12"/>
        <v>0.78539999999999999</v>
      </c>
      <c r="S11" s="19">
        <f t="shared" si="1"/>
        <v>0.75838559709527176</v>
      </c>
      <c r="T11" s="19">
        <f t="shared" si="2"/>
        <v>0.2012015609889708</v>
      </c>
      <c r="U11" s="19">
        <f t="shared" si="3"/>
        <v>4.0412841915757447E-2</v>
      </c>
      <c r="V11" s="30">
        <f t="shared" si="13"/>
        <v>0.24161440290472824</v>
      </c>
      <c r="W11" s="11">
        <f t="shared" si="4"/>
        <v>0.31850788873457692</v>
      </c>
      <c r="X11" s="30">
        <f t="shared" si="5"/>
        <v>0.59602725129931255</v>
      </c>
      <c r="Y11" s="30">
        <f t="shared" si="6"/>
        <v>-0.14662688422476</v>
      </c>
      <c r="Z11" s="30">
        <f t="shared" si="14"/>
        <v>7.1393799215941911E-3</v>
      </c>
      <c r="AA11" s="30">
        <f t="shared" si="15"/>
        <v>0.40301934514266358</v>
      </c>
      <c r="AB11" s="30">
        <f t="shared" si="16"/>
        <v>-0.21521483121765861</v>
      </c>
      <c r="AC11" s="30">
        <f t="shared" si="17"/>
        <v>3.5620933477900074E-2</v>
      </c>
    </row>
    <row r="12" spans="1:29" x14ac:dyDescent="0.5">
      <c r="A12">
        <v>1989</v>
      </c>
      <c r="B12" s="12">
        <f>'Minimum Deflation Total'!C12</f>
        <v>95755.039480898704</v>
      </c>
      <c r="C12" s="12">
        <f>Data!AF532</f>
        <v>239109.3</v>
      </c>
      <c r="D12" s="12">
        <f>Data!AA91</f>
        <v>2984803.8</v>
      </c>
      <c r="E12" s="11">
        <f t="shared" si="7"/>
        <v>12.220368645960184</v>
      </c>
      <c r="F12" s="11">
        <f t="shared" si="8"/>
        <v>0.57324933944886836</v>
      </c>
      <c r="G12" s="12">
        <f t="shared" si="9"/>
        <v>422953.37796546932</v>
      </c>
      <c r="H12" s="12">
        <f t="shared" si="9"/>
        <v>769846.19573735504</v>
      </c>
      <c r="I12" s="17">
        <f t="shared" si="10"/>
        <v>0.70830222609573223</v>
      </c>
      <c r="J12" s="17">
        <f t="shared" si="10"/>
        <v>1.7530985345919734</v>
      </c>
      <c r="K12" s="18">
        <f t="shared" si="11"/>
        <v>0.76062120250147802</v>
      </c>
      <c r="L12" s="18">
        <f t="shared" si="11"/>
        <v>0.96020745247664008</v>
      </c>
      <c r="M12" s="30">
        <f>Data!J208</f>
        <v>6.1600000000000002E-2</v>
      </c>
      <c r="N12" s="30">
        <f>Data!J325 - M12</f>
        <v>0.17020000000000002</v>
      </c>
      <c r="O12" s="30">
        <f t="shared" si="0"/>
        <v>0.76819999999999999</v>
      </c>
      <c r="P12" s="30">
        <f>Data!O208</f>
        <v>5.2400000000000002E-2</v>
      </c>
      <c r="Q12" s="30">
        <f>Data!O325 - P12</f>
        <v>0.157</v>
      </c>
      <c r="R12" s="30">
        <f t="shared" si="12"/>
        <v>0.79059999999999997</v>
      </c>
      <c r="S12" s="19">
        <f t="shared" si="1"/>
        <v>0.76062120250147802</v>
      </c>
      <c r="T12" s="19">
        <f t="shared" si="2"/>
        <v>0.19958624997516206</v>
      </c>
      <c r="U12" s="19">
        <f t="shared" si="3"/>
        <v>3.9792547523359922E-2</v>
      </c>
      <c r="V12" s="30">
        <f t="shared" si="13"/>
        <v>0.23937879749852198</v>
      </c>
      <c r="W12" s="11">
        <f t="shared" si="4"/>
        <v>0.31477863570026443</v>
      </c>
      <c r="X12" s="30">
        <f t="shared" si="5"/>
        <v>0.54802855896165426</v>
      </c>
      <c r="Y12" s="30">
        <f t="shared" si="6"/>
        <v>-0.1472358440464665</v>
      </c>
      <c r="Z12" s="30">
        <f t="shared" si="14"/>
        <v>9.9639577145593794E-3</v>
      </c>
      <c r="AA12" s="30">
        <f t="shared" si="15"/>
        <v>0.31682948846738124</v>
      </c>
      <c r="AB12" s="30">
        <f t="shared" si="16"/>
        <v>-0.21337266460220483</v>
      </c>
      <c r="AC12" s="30">
        <f t="shared" si="17"/>
        <v>3.9413570644533324E-2</v>
      </c>
    </row>
    <row r="13" spans="1:29" x14ac:dyDescent="0.5">
      <c r="A13" s="10">
        <v>1990</v>
      </c>
      <c r="B13" s="12">
        <f>'Minimum Deflation Total'!C13</f>
        <v>97670.140270516684</v>
      </c>
      <c r="C13" s="12">
        <f>Data!AF533</f>
        <v>234298.5</v>
      </c>
      <c r="D13" s="12">
        <f>Data!AA92</f>
        <v>2519954.7999999998</v>
      </c>
      <c r="E13" s="11">
        <f t="shared" si="7"/>
        <v>12.217613687862091</v>
      </c>
      <c r="F13" s="11">
        <f t="shared" si="8"/>
        <v>0.54173339303507306</v>
      </c>
      <c r="G13" s="12">
        <f t="shared" si="9"/>
        <v>405093.41175963002</v>
      </c>
      <c r="H13" s="12">
        <f t="shared" si="9"/>
        <v>713454.55088907119</v>
      </c>
      <c r="I13" s="17">
        <f t="shared" si="10"/>
        <v>0.73981817250952653</v>
      </c>
      <c r="J13" s="17">
        <f t="shared" si="10"/>
        <v>1.7846144810057685</v>
      </c>
      <c r="K13" s="18">
        <f t="shared" si="11"/>
        <v>0.77029483461198778</v>
      </c>
      <c r="L13" s="18">
        <f t="shared" si="11"/>
        <v>0.96283806454377763</v>
      </c>
      <c r="M13" s="30">
        <f>Data!J209</f>
        <v>5.4099999000000003E-2</v>
      </c>
      <c r="N13" s="30">
        <f>Data!J326 - M13</f>
        <v>0.16970000099999999</v>
      </c>
      <c r="O13" s="30">
        <f t="shared" si="0"/>
        <v>0.7762</v>
      </c>
      <c r="P13" s="30">
        <f>Data!O209</f>
        <v>4.4199998999999997E-2</v>
      </c>
      <c r="Q13" s="30">
        <f>Data!O326 - P13</f>
        <v>0.15660000100000002</v>
      </c>
      <c r="R13" s="30">
        <f t="shared" si="12"/>
        <v>0.79919999999999991</v>
      </c>
      <c r="S13" s="19">
        <f t="shared" si="1"/>
        <v>0.77029483461198778</v>
      </c>
      <c r="T13" s="19">
        <f t="shared" si="2"/>
        <v>0.19254322993178985</v>
      </c>
      <c r="U13" s="19">
        <f t="shared" si="3"/>
        <v>3.7161935456222372E-2</v>
      </c>
      <c r="V13" s="30">
        <f t="shared" si="13"/>
        <v>0.22970516538801222</v>
      </c>
      <c r="W13" s="11">
        <f t="shared" si="4"/>
        <v>0.29832721106799687</v>
      </c>
      <c r="X13" s="30">
        <f t="shared" si="5"/>
        <v>0.45579067225201619</v>
      </c>
      <c r="Y13" s="30">
        <f t="shared" si="6"/>
        <v>-0.11863948132521862</v>
      </c>
      <c r="Z13" s="30">
        <f t="shared" si="14"/>
        <v>7.6661105886641767E-3</v>
      </c>
      <c r="AA13" s="30">
        <f t="shared" si="15"/>
        <v>0.18938904708202364</v>
      </c>
      <c r="AB13" s="30">
        <f t="shared" si="16"/>
        <v>-0.18667615030932561</v>
      </c>
      <c r="AC13" s="30">
        <f t="shared" si="17"/>
        <v>3.7524807501237101E-2</v>
      </c>
    </row>
    <row r="14" spans="1:29" x14ac:dyDescent="0.5">
      <c r="A14">
        <v>1991</v>
      </c>
      <c r="B14" s="12">
        <f>'Minimum Deflation Total'!C14</f>
        <v>99623.543075927024</v>
      </c>
      <c r="C14" s="12">
        <f>Data!AF534</f>
        <v>229668.5</v>
      </c>
      <c r="D14" s="12">
        <f>Data!AA93</f>
        <v>2615531.2999999998</v>
      </c>
      <c r="E14" s="11">
        <f t="shared" si="7"/>
        <v>12.196077329911752</v>
      </c>
      <c r="F14" s="11">
        <f t="shared" si="8"/>
        <v>0.54463733615595744</v>
      </c>
      <c r="G14" s="12">
        <f t="shared" si="9"/>
        <v>397940.65325216315</v>
      </c>
      <c r="H14" s="12">
        <f t="shared" si="9"/>
        <v>702986.69107664737</v>
      </c>
      <c r="I14" s="17">
        <f t="shared" si="10"/>
        <v>0.73691422938864393</v>
      </c>
      <c r="J14" s="17">
        <f t="shared" si="10"/>
        <v>1.7817105378848854</v>
      </c>
      <c r="K14" s="18">
        <f t="shared" si="11"/>
        <v>0.76941274489311218</v>
      </c>
      <c r="L14" s="18">
        <f t="shared" si="11"/>
        <v>0.96260177622374909</v>
      </c>
      <c r="M14" s="30">
        <f>Data!J210</f>
        <v>5.7100001999999997E-2</v>
      </c>
      <c r="N14" s="30">
        <f>Data!J327 - M14</f>
        <v>0.17579998800000002</v>
      </c>
      <c r="O14" s="30">
        <f t="shared" si="0"/>
        <v>0.76710000999999994</v>
      </c>
      <c r="P14" s="30">
        <f>Data!O210</f>
        <v>4.3000001000000003E-2</v>
      </c>
      <c r="Q14" s="30">
        <f>Data!O327 - P14</f>
        <v>0.16169998899999999</v>
      </c>
      <c r="R14" s="30">
        <f t="shared" si="12"/>
        <v>0.79530001000000006</v>
      </c>
      <c r="S14" s="19">
        <f t="shared" si="1"/>
        <v>0.76941274489311218</v>
      </c>
      <c r="T14" s="19">
        <f t="shared" si="2"/>
        <v>0.19318903133063692</v>
      </c>
      <c r="U14" s="19">
        <f t="shared" si="3"/>
        <v>3.7398223776250905E-2</v>
      </c>
      <c r="V14" s="30">
        <f t="shared" si="13"/>
        <v>0.23058725510688782</v>
      </c>
      <c r="W14" s="11">
        <f t="shared" si="4"/>
        <v>0.29984908409753563</v>
      </c>
      <c r="X14" s="30">
        <f t="shared" si="5"/>
        <v>0.52681053361310615</v>
      </c>
      <c r="Y14" s="30">
        <f t="shared" si="6"/>
        <v>-9.0010510487399831E-2</v>
      </c>
      <c r="Z14" s="30">
        <f t="shared" si="14"/>
        <v>-3.0058442733925661E-3</v>
      </c>
      <c r="AA14" s="30">
        <f t="shared" si="15"/>
        <v>0.14978725346058841</v>
      </c>
      <c r="AB14" s="30">
        <f t="shared" si="16"/>
        <v>-0.16299601542462538</v>
      </c>
      <c r="AC14" s="30">
        <f t="shared" si="17"/>
        <v>3.3645485181668322E-2</v>
      </c>
    </row>
    <row r="15" spans="1:29" x14ac:dyDescent="0.5">
      <c r="A15" s="10">
        <v>1992</v>
      </c>
      <c r="B15" s="12">
        <f>'Minimum Deflation Total'!C15</f>
        <v>101616.01393744556</v>
      </c>
      <c r="C15" s="12">
        <f>Data!AF535</f>
        <v>220894.91</v>
      </c>
      <c r="D15" s="12">
        <f>Data!AA94</f>
        <v>2493443.2999999998</v>
      </c>
      <c r="E15" s="11">
        <f t="shared" si="7"/>
        <v>12.16320068012101</v>
      </c>
      <c r="F15" s="11">
        <f t="shared" si="8"/>
        <v>0.53336979089788839</v>
      </c>
      <c r="G15" s="12">
        <f t="shared" si="9"/>
        <v>379549.98148383619</v>
      </c>
      <c r="H15" s="12">
        <f t="shared" si="9"/>
        <v>662651.41339757561</v>
      </c>
      <c r="I15" s="17">
        <f t="shared" si="10"/>
        <v>0.74818177464671165</v>
      </c>
      <c r="J15" s="17">
        <f t="shared" si="10"/>
        <v>1.7929780831429536</v>
      </c>
      <c r="K15" s="18">
        <f t="shared" si="11"/>
        <v>0.77282473871265878</v>
      </c>
      <c r="L15" s="18">
        <f t="shared" si="11"/>
        <v>0.96351178569276907</v>
      </c>
      <c r="M15" s="30">
        <f>Data!J211</f>
        <v>5.6600000999999997E-2</v>
      </c>
      <c r="N15" s="30">
        <f>Data!J328 - M15</f>
        <v>0.17599999900000002</v>
      </c>
      <c r="O15" s="30">
        <f t="shared" si="0"/>
        <v>0.76739999999999997</v>
      </c>
      <c r="P15" s="30">
        <f>Data!O211</f>
        <v>4.2800001999999997E-2</v>
      </c>
      <c r="Q15" s="30">
        <f>Data!O328 - P15</f>
        <v>0.16249999800000001</v>
      </c>
      <c r="R15" s="30">
        <f t="shared" si="12"/>
        <v>0.79469999999999996</v>
      </c>
      <c r="S15" s="19">
        <f t="shared" si="1"/>
        <v>0.77282473871265878</v>
      </c>
      <c r="T15" s="19">
        <f t="shared" si="2"/>
        <v>0.1906870469801103</v>
      </c>
      <c r="U15" s="19">
        <f t="shared" si="3"/>
        <v>3.6488214307230926E-2</v>
      </c>
      <c r="V15" s="30">
        <f t="shared" si="13"/>
        <v>0.22717526128734122</v>
      </c>
      <c r="W15" s="11">
        <f t="shared" si="4"/>
        <v>0.29393741578343935</v>
      </c>
      <c r="X15" s="30">
        <f t="shared" si="5"/>
        <v>0.55118583012661948</v>
      </c>
      <c r="Y15" s="30">
        <f t="shared" si="6"/>
        <v>-7.702173908877108E-2</v>
      </c>
      <c r="Z15" s="30">
        <f t="shared" si="14"/>
        <v>-7.0193647290524019E-3</v>
      </c>
      <c r="AA15" s="30">
        <f t="shared" si="15"/>
        <v>0.17298154520864717</v>
      </c>
      <c r="AB15" s="30">
        <f t="shared" si="16"/>
        <v>-0.14781837270284204</v>
      </c>
      <c r="AC15" s="30">
        <f t="shared" si="17"/>
        <v>2.8305591412330022E-2</v>
      </c>
    </row>
    <row r="16" spans="1:29" x14ac:dyDescent="0.5">
      <c r="A16">
        <v>1993</v>
      </c>
      <c r="B16" s="12">
        <f>'Minimum Deflation Total'!C16</f>
        <v>103648.33421619447</v>
      </c>
      <c r="C16" s="12">
        <f>Data!AF536</f>
        <v>209168.7</v>
      </c>
      <c r="D16" s="12">
        <f>Data!AA95</f>
        <v>2614458</v>
      </c>
      <c r="E16" s="11">
        <f t="shared" si="7"/>
        <v>12.10619156902975</v>
      </c>
      <c r="F16" s="11">
        <f t="shared" si="8"/>
        <v>0.53796805362122557</v>
      </c>
      <c r="G16" s="12">
        <f t="shared" si="9"/>
        <v>360636.3433191636</v>
      </c>
      <c r="H16" s="12">
        <f t="shared" si="9"/>
        <v>632662.51473536633</v>
      </c>
      <c r="I16" s="17">
        <f t="shared" si="10"/>
        <v>0.7435835119233758</v>
      </c>
      <c r="J16" s="17">
        <f t="shared" si="10"/>
        <v>1.7883798204196157</v>
      </c>
      <c r="K16" s="18">
        <f t="shared" si="11"/>
        <v>0.77143575938540543</v>
      </c>
      <c r="L16" s="18">
        <f t="shared" si="11"/>
        <v>0.96314262512260951</v>
      </c>
      <c r="M16" s="30">
        <f>Data!J212</f>
        <v>6.1900001000000003E-2</v>
      </c>
      <c r="N16" s="30">
        <f>Data!J329 - M16</f>
        <v>0.17829999899999999</v>
      </c>
      <c r="O16" s="30">
        <f t="shared" si="0"/>
        <v>0.75979999999999992</v>
      </c>
      <c r="P16" s="30">
        <f>Data!O212</f>
        <v>4.7699999E-2</v>
      </c>
      <c r="Q16" s="30">
        <f>Data!O329 - P16</f>
        <v>0.16319999100000002</v>
      </c>
      <c r="R16" s="30">
        <f t="shared" si="12"/>
        <v>0.78910000999999996</v>
      </c>
      <c r="S16" s="19">
        <f t="shared" si="1"/>
        <v>0.77143575938540543</v>
      </c>
      <c r="T16" s="19">
        <f t="shared" si="2"/>
        <v>0.19170686573720408</v>
      </c>
      <c r="U16" s="19">
        <f t="shared" si="3"/>
        <v>3.6857374877390492E-2</v>
      </c>
      <c r="V16" s="30">
        <f t="shared" si="13"/>
        <v>0.22856424061459457</v>
      </c>
      <c r="W16" s="11">
        <f t="shared" si="4"/>
        <v>0.29635212275888989</v>
      </c>
      <c r="X16" s="30">
        <f t="shared" si="5"/>
        <v>0.67944681914857341</v>
      </c>
      <c r="Y16" s="30">
        <f t="shared" si="6"/>
        <v>-6.9934202333590489E-2</v>
      </c>
      <c r="Z16" s="30">
        <f t="shared" si="14"/>
        <v>-1.5083251254356722E-2</v>
      </c>
      <c r="AA16" s="30">
        <f t="shared" si="15"/>
        <v>0.29417787237095738</v>
      </c>
      <c r="AB16" s="30">
        <f t="shared" si="16"/>
        <v>-0.14870033281062511</v>
      </c>
      <c r="AC16" s="30">
        <f t="shared" si="17"/>
        <v>2.2897889292385676E-2</v>
      </c>
    </row>
    <row r="17" spans="1:29" x14ac:dyDescent="0.5">
      <c r="A17" s="10">
        <v>1994</v>
      </c>
      <c r="B17" s="12">
        <f>'Minimum Deflation Total'!C17</f>
        <v>105721.30090051837</v>
      </c>
      <c r="C17" s="12">
        <f>Data!AF537</f>
        <v>221760.8</v>
      </c>
      <c r="D17" s="12">
        <f>Data!AA96</f>
        <v>3411884</v>
      </c>
      <c r="E17" s="11">
        <f t="shared" si="7"/>
        <v>12.141713497595347</v>
      </c>
      <c r="F17" s="11">
        <f t="shared" si="8"/>
        <v>0.57903558592789162</v>
      </c>
      <c r="G17" s="12">
        <f t="shared" si="9"/>
        <v>393870.50204711163</v>
      </c>
      <c r="H17" s="12">
        <f t="shared" si="9"/>
        <v>721257.64897487999</v>
      </c>
      <c r="I17" s="17">
        <f t="shared" si="10"/>
        <v>0.70251597961670942</v>
      </c>
      <c r="J17" s="17">
        <f t="shared" si="10"/>
        <v>1.7473122881129499</v>
      </c>
      <c r="K17" s="18">
        <f t="shared" si="11"/>
        <v>0.75882128007135796</v>
      </c>
      <c r="L17" s="18">
        <f t="shared" si="11"/>
        <v>0.95970840864147877</v>
      </c>
      <c r="M17" s="30">
        <f>Data!J213</f>
        <v>7.4699998000000004E-2</v>
      </c>
      <c r="N17" s="30">
        <f>Data!J330 - M17</f>
        <v>0.18509999199999999</v>
      </c>
      <c r="O17" s="30">
        <f t="shared" si="0"/>
        <v>0.74020000999999991</v>
      </c>
      <c r="P17" s="30">
        <f>Data!O213</f>
        <v>6.0600001000000001E-2</v>
      </c>
      <c r="Q17" s="30">
        <f>Data!O330 - P17</f>
        <v>0.16749999900000001</v>
      </c>
      <c r="R17" s="30">
        <f t="shared" si="12"/>
        <v>0.77190000000000003</v>
      </c>
      <c r="S17" s="19">
        <f t="shared" si="1"/>
        <v>0.75882128007135796</v>
      </c>
      <c r="T17" s="19">
        <f t="shared" si="2"/>
        <v>0.20088712857012081</v>
      </c>
      <c r="U17" s="19">
        <f t="shared" si="3"/>
        <v>4.0291591358521228E-2</v>
      </c>
      <c r="V17" s="30">
        <f t="shared" si="13"/>
        <v>0.24117871992864204</v>
      </c>
      <c r="W17" s="11">
        <f t="shared" si="4"/>
        <v>0.31778320204355337</v>
      </c>
      <c r="X17" s="30">
        <f t="shared" si="5"/>
        <v>0.8539848013275797</v>
      </c>
      <c r="Y17" s="30">
        <f t="shared" si="6"/>
        <v>-7.8587098548776546E-2</v>
      </c>
      <c r="Z17" s="30">
        <f t="shared" si="14"/>
        <v>-2.4539730975397744E-2</v>
      </c>
      <c r="AA17" s="30">
        <f t="shared" si="15"/>
        <v>0.50403592801215491</v>
      </c>
      <c r="AB17" s="30">
        <f t="shared" si="16"/>
        <v>-0.16619845088017593</v>
      </c>
      <c r="AC17" s="30">
        <f t="shared" si="17"/>
        <v>1.7235573477080379E-2</v>
      </c>
    </row>
    <row r="18" spans="1:29" x14ac:dyDescent="0.5">
      <c r="A18">
        <v>1995</v>
      </c>
      <c r="B18" s="12">
        <f>'Minimum Deflation Total'!C18</f>
        <v>107835.72691852874</v>
      </c>
      <c r="C18" s="12">
        <f>Data!AF538</f>
        <v>235840.09</v>
      </c>
      <c r="D18" s="12">
        <f>Data!AA97</f>
        <v>3809918.3</v>
      </c>
      <c r="E18" s="11">
        <f t="shared" si="7"/>
        <v>12.194416615482387</v>
      </c>
      <c r="F18" s="11">
        <f t="shared" si="8"/>
        <v>0.5941256670356907</v>
      </c>
      <c r="G18" s="12">
        <f t="shared" si="9"/>
        <v>423292.74795665062</v>
      </c>
      <c r="H18" s="12">
        <f t="shared" si="9"/>
        <v>787453.49809787783</v>
      </c>
      <c r="I18" s="17">
        <f t="shared" si="10"/>
        <v>0.68742589850891178</v>
      </c>
      <c r="J18" s="17">
        <f t="shared" si="10"/>
        <v>1.7322222070051503</v>
      </c>
      <c r="K18" s="18">
        <f t="shared" si="11"/>
        <v>0.7540928090165957</v>
      </c>
      <c r="L18" s="18">
        <f t="shared" si="11"/>
        <v>0.95838299670526916</v>
      </c>
      <c r="M18" s="30">
        <f>Data!J214</f>
        <v>7.8299998999999995E-2</v>
      </c>
      <c r="N18" s="30">
        <f>Data!J331 - M18</f>
        <v>0.18619999100000001</v>
      </c>
      <c r="O18" s="30">
        <f t="shared" si="0"/>
        <v>0.73550000999999998</v>
      </c>
      <c r="P18" s="30">
        <f>Data!O214</f>
        <v>6.6200002999999993E-2</v>
      </c>
      <c r="Q18" s="30">
        <f>Data!O331 - P18</f>
        <v>0.16740000700000002</v>
      </c>
      <c r="R18" s="30">
        <f t="shared" si="12"/>
        <v>0.76639999000000003</v>
      </c>
      <c r="S18" s="19">
        <f t="shared" si="1"/>
        <v>0.7540928090165957</v>
      </c>
      <c r="T18" s="19">
        <f t="shared" si="2"/>
        <v>0.20429018768867346</v>
      </c>
      <c r="U18" s="19">
        <f t="shared" si="3"/>
        <v>4.1617003294730837E-2</v>
      </c>
      <c r="V18" s="30">
        <f t="shared" si="13"/>
        <v>0.2459071909834043</v>
      </c>
      <c r="W18" s="11">
        <f t="shared" si="4"/>
        <v>0.32559511264434371</v>
      </c>
      <c r="X18" s="30">
        <f t="shared" si="5"/>
        <v>0.88144250669566171</v>
      </c>
      <c r="Y18" s="30">
        <f t="shared" si="6"/>
        <v>-8.8551471283789152E-2</v>
      </c>
      <c r="Z18" s="30">
        <f t="shared" si="14"/>
        <v>-2.4655849776425209E-2</v>
      </c>
      <c r="AA18" s="30">
        <f t="shared" si="15"/>
        <v>0.59069605591668428</v>
      </c>
      <c r="AB18" s="30">
        <f t="shared" si="16"/>
        <v>-0.1805773498279416</v>
      </c>
      <c r="AC18" s="30">
        <f t="shared" si="17"/>
        <v>1.632051232454268E-2</v>
      </c>
    </row>
    <row r="19" spans="1:29" x14ac:dyDescent="0.5">
      <c r="A19" s="10">
        <v>1996</v>
      </c>
      <c r="B19" s="12">
        <f>'Minimum Deflation Total'!C19</f>
        <v>109992.44145689932</v>
      </c>
      <c r="C19" s="12">
        <f>Data!AF539</f>
        <v>242070.09</v>
      </c>
      <c r="D19" s="12">
        <f>Data!AA98</f>
        <v>3632681.8</v>
      </c>
      <c r="E19" s="11">
        <f t="shared" si="7"/>
        <v>12.227104664066495</v>
      </c>
      <c r="F19" s="11">
        <f t="shared" si="8"/>
        <v>0.58288579882749081</v>
      </c>
      <c r="G19" s="12">
        <f t="shared" si="9"/>
        <v>431103.23815616174</v>
      </c>
      <c r="H19" s="12">
        <f t="shared" si="9"/>
        <v>792620.48361587524</v>
      </c>
      <c r="I19" s="17">
        <f t="shared" si="10"/>
        <v>0.69866576671711134</v>
      </c>
      <c r="J19" s="17">
        <f t="shared" si="10"/>
        <v>1.7434620752133518</v>
      </c>
      <c r="K19" s="18">
        <f t="shared" si="11"/>
        <v>0.7576195336957261</v>
      </c>
      <c r="L19" s="18">
        <f t="shared" si="11"/>
        <v>0.95937353333328901</v>
      </c>
      <c r="M19" s="30">
        <f>Data!J215</f>
        <v>7.3200002E-2</v>
      </c>
      <c r="N19" s="30">
        <f>Data!J332 - M19</f>
        <v>0.18759999799999999</v>
      </c>
      <c r="O19" s="30">
        <f t="shared" si="0"/>
        <v>0.73919999999999997</v>
      </c>
      <c r="P19" s="30">
        <f>Data!O215</f>
        <v>6.1099999000000002E-2</v>
      </c>
      <c r="Q19" s="30">
        <f>Data!O332 - P19</f>
        <v>0.16930000099999998</v>
      </c>
      <c r="R19" s="30">
        <f t="shared" si="12"/>
        <v>0.76960000000000006</v>
      </c>
      <c r="S19" s="19">
        <f t="shared" si="1"/>
        <v>0.7576195336957261</v>
      </c>
      <c r="T19" s="19">
        <f t="shared" si="2"/>
        <v>0.20175399963756291</v>
      </c>
      <c r="U19" s="19">
        <f t="shared" si="3"/>
        <v>4.0626466666710992E-2</v>
      </c>
      <c r="V19" s="30">
        <f t="shared" si="13"/>
        <v>0.2423804663042739</v>
      </c>
      <c r="W19" s="11">
        <f t="shared" si="4"/>
        <v>0.31977967961636078</v>
      </c>
      <c r="X19" s="30">
        <f t="shared" si="5"/>
        <v>0.80178115415534057</v>
      </c>
      <c r="Y19" s="30">
        <f t="shared" si="6"/>
        <v>-7.0154751147385452E-2</v>
      </c>
      <c r="Z19" s="30">
        <f t="shared" si="14"/>
        <v>-2.4312379600185619E-2</v>
      </c>
      <c r="AA19" s="30">
        <f t="shared" si="15"/>
        <v>0.50394567908768839</v>
      </c>
      <c r="AB19" s="30">
        <f t="shared" si="16"/>
        <v>-0.16085925778851617</v>
      </c>
      <c r="AC19" s="30">
        <f t="shared" si="17"/>
        <v>1.5813301758248466E-2</v>
      </c>
    </row>
    <row r="20" spans="1:29" x14ac:dyDescent="0.5">
      <c r="A20">
        <v>1997</v>
      </c>
      <c r="B20" s="12">
        <f>'Minimum Deflation Total'!C20</f>
        <v>112192.29028603731</v>
      </c>
      <c r="C20" s="12">
        <f>Data!AF540</f>
        <v>248588.59</v>
      </c>
      <c r="D20" s="12">
        <f>Data!AA99</f>
        <v>3890664.3</v>
      </c>
      <c r="E20" s="11">
        <f t="shared" si="7"/>
        <v>12.248902149499713</v>
      </c>
      <c r="F20" s="11">
        <f t="shared" si="8"/>
        <v>0.59102015275691377</v>
      </c>
      <c r="G20" s="12">
        <f t="shared" si="9"/>
        <v>445220.50333459524</v>
      </c>
      <c r="H20" s="12">
        <f t="shared" si="9"/>
        <v>825562.80893779069</v>
      </c>
      <c r="I20" s="17">
        <f t="shared" si="10"/>
        <v>0.69053141278768759</v>
      </c>
      <c r="J20" s="17">
        <f t="shared" si="10"/>
        <v>1.7353277212839264</v>
      </c>
      <c r="K20" s="18">
        <f t="shared" si="11"/>
        <v>0.75506996869057175</v>
      </c>
      <c r="L20" s="18">
        <f t="shared" si="11"/>
        <v>0.95865861283674214</v>
      </c>
      <c r="M20" s="30">
        <f>Data!J216</f>
        <v>7.6200001000000003E-2</v>
      </c>
      <c r="N20" s="30">
        <f>Data!J333 - M20</f>
        <v>0.18919998899999996</v>
      </c>
      <c r="O20" s="30">
        <f t="shared" si="0"/>
        <v>0.73460000999999997</v>
      </c>
      <c r="P20" s="30">
        <f>Data!O216</f>
        <v>6.5600000000000006E-2</v>
      </c>
      <c r="Q20" s="30">
        <f>Data!O333 - P20</f>
        <v>0.17220000000000002</v>
      </c>
      <c r="R20" s="30">
        <f t="shared" si="12"/>
        <v>0.76219999999999999</v>
      </c>
      <c r="S20" s="19">
        <f t="shared" si="1"/>
        <v>0.75506996869057175</v>
      </c>
      <c r="T20" s="19">
        <f t="shared" si="2"/>
        <v>0.20358864414617039</v>
      </c>
      <c r="U20" s="19">
        <f t="shared" si="3"/>
        <v>4.1341387163257859E-2</v>
      </c>
      <c r="V20" s="30">
        <f t="shared" si="13"/>
        <v>0.24493003130942825</v>
      </c>
      <c r="W20" s="11">
        <f t="shared" si="4"/>
        <v>0.32399026542926967</v>
      </c>
      <c r="X20" s="30">
        <f t="shared" si="5"/>
        <v>0.84318926452769638</v>
      </c>
      <c r="Y20" s="30">
        <f t="shared" si="6"/>
        <v>-7.0675136162505314E-2</v>
      </c>
      <c r="Z20" s="30">
        <f t="shared" si="14"/>
        <v>-2.7110015679832178E-2</v>
      </c>
      <c r="AA20" s="30">
        <f t="shared" si="15"/>
        <v>0.58678758748332416</v>
      </c>
      <c r="AB20" s="30">
        <f t="shared" si="16"/>
        <v>-0.15417679251124783</v>
      </c>
      <c r="AC20" s="30">
        <f t="shared" si="17"/>
        <v>9.4428749719619454E-3</v>
      </c>
    </row>
    <row r="21" spans="1:29" x14ac:dyDescent="0.5">
      <c r="A21" s="10">
        <v>1998</v>
      </c>
      <c r="B21" s="12">
        <f>'Minimum Deflation Total'!C21</f>
        <v>114436.13609175806</v>
      </c>
      <c r="C21" s="12">
        <f>Data!AF541</f>
        <v>264789.40999999997</v>
      </c>
      <c r="D21" s="12">
        <f>Data!AA100</f>
        <v>4041191.8</v>
      </c>
      <c r="E21" s="11">
        <f t="shared" si="7"/>
        <v>12.310244584402469</v>
      </c>
      <c r="F21" s="11">
        <f t="shared" si="8"/>
        <v>0.59404633724259703</v>
      </c>
      <c r="G21" s="12">
        <f t="shared" si="9"/>
        <v>475225.92328104848</v>
      </c>
      <c r="H21" s="12">
        <f t="shared" si="9"/>
        <v>883991.75807215867</v>
      </c>
      <c r="I21" s="17">
        <f t="shared" si="10"/>
        <v>0.68750522830200367</v>
      </c>
      <c r="J21" s="17">
        <f t="shared" si="10"/>
        <v>1.7323015367982428</v>
      </c>
      <c r="K21" s="18">
        <f t="shared" si="11"/>
        <v>0.75411779639354537</v>
      </c>
      <c r="L21" s="18">
        <f t="shared" si="11"/>
        <v>0.95839005574925829</v>
      </c>
      <c r="M21" s="30">
        <f>Data!J217</f>
        <v>7.4500001999999996E-2</v>
      </c>
      <c r="N21" s="30">
        <f>Data!J334 - M21</f>
        <v>0.18740000800000001</v>
      </c>
      <c r="O21" s="30">
        <f t="shared" si="0"/>
        <v>0.73809999000000004</v>
      </c>
      <c r="P21" s="30">
        <f>Data!O217</f>
        <v>6.4599998000000006E-2</v>
      </c>
      <c r="Q21" s="30">
        <f>Data!O334 - P21</f>
        <v>0.17200000199999999</v>
      </c>
      <c r="R21" s="30">
        <f t="shared" si="12"/>
        <v>0.76339999999999997</v>
      </c>
      <c r="S21" s="19">
        <f t="shared" si="1"/>
        <v>0.75411779639354537</v>
      </c>
      <c r="T21" s="19">
        <f t="shared" si="2"/>
        <v>0.20427225935571292</v>
      </c>
      <c r="U21" s="19">
        <f t="shared" si="3"/>
        <v>4.1609944250741715E-2</v>
      </c>
      <c r="V21" s="30">
        <f t="shared" si="13"/>
        <v>0.24588220360645463</v>
      </c>
      <c r="W21" s="11">
        <f t="shared" si="4"/>
        <v>0.32555413550756507</v>
      </c>
      <c r="X21" s="30">
        <f t="shared" si="5"/>
        <v>0.79043743848976677</v>
      </c>
      <c r="Y21" s="30">
        <f t="shared" si="6"/>
        <v>-8.2596880305377818E-2</v>
      </c>
      <c r="Z21" s="30">
        <f t="shared" si="14"/>
        <v>-2.1240456690119314E-2</v>
      </c>
      <c r="AA21" s="30">
        <f t="shared" si="15"/>
        <v>0.55251344752398901</v>
      </c>
      <c r="AB21" s="30">
        <f t="shared" si="16"/>
        <v>-0.15798649046865976</v>
      </c>
      <c r="AC21" s="30">
        <f t="shared" si="17"/>
        <v>1.230869189249395E-2</v>
      </c>
    </row>
    <row r="22" spans="1:29" x14ac:dyDescent="0.5">
      <c r="A22">
        <v>1999</v>
      </c>
      <c r="B22" s="12">
        <f>'Minimum Deflation Total'!C22</f>
        <v>116724.85881359322</v>
      </c>
      <c r="C22" s="12">
        <f>Data!AF542</f>
        <v>275596.90999999997</v>
      </c>
      <c r="D22" s="12">
        <f>Data!AA101</f>
        <v>4279479</v>
      </c>
      <c r="E22" s="11">
        <f t="shared" si="7"/>
        <v>12.346517860701084</v>
      </c>
      <c r="F22" s="11">
        <f t="shared" si="8"/>
        <v>0.60029450348374291</v>
      </c>
      <c r="G22" s="12">
        <f t="shared" si="9"/>
        <v>496742.08237201785</v>
      </c>
      <c r="H22" s="12">
        <f t="shared" si="9"/>
        <v>930066.81132074364</v>
      </c>
      <c r="I22" s="17">
        <f t="shared" si="10"/>
        <v>0.68125706206085834</v>
      </c>
      <c r="J22" s="17">
        <f t="shared" si="10"/>
        <v>1.7260533705570993</v>
      </c>
      <c r="K22" s="18">
        <f t="shared" si="11"/>
        <v>0.75214557632737922</v>
      </c>
      <c r="L22" s="18">
        <f t="shared" si="11"/>
        <v>0.95783109420944923</v>
      </c>
      <c r="M22" s="30">
        <f>Data!J218</f>
        <v>7.5800002000000005E-2</v>
      </c>
      <c r="N22" s="30">
        <f>Data!J335 - M22</f>
        <v>0.187700008</v>
      </c>
      <c r="O22" s="30">
        <f t="shared" si="0"/>
        <v>0.73649998999999999</v>
      </c>
      <c r="P22" s="30">
        <f>Data!O218</f>
        <v>6.7000002000000003E-2</v>
      </c>
      <c r="Q22" s="30">
        <f>Data!O335 - P22</f>
        <v>0.17359999800000001</v>
      </c>
      <c r="R22" s="30">
        <f t="shared" si="12"/>
        <v>0.75939999999999996</v>
      </c>
      <c r="S22" s="19">
        <f t="shared" si="1"/>
        <v>0.75214557632737922</v>
      </c>
      <c r="T22" s="19">
        <f t="shared" si="2"/>
        <v>0.20568551788207001</v>
      </c>
      <c r="U22" s="19">
        <f t="shared" si="3"/>
        <v>4.216890579055077E-2</v>
      </c>
      <c r="V22" s="30">
        <f t="shared" si="13"/>
        <v>0.24785442367262078</v>
      </c>
      <c r="W22" s="11">
        <f t="shared" si="4"/>
        <v>0.32877860771522038</v>
      </c>
      <c r="X22" s="30">
        <f t="shared" si="5"/>
        <v>0.79753305377407502</v>
      </c>
      <c r="Y22" s="30">
        <f t="shared" si="6"/>
        <v>-8.7441790103968464E-2</v>
      </c>
      <c r="Z22" s="30">
        <f t="shared" si="14"/>
        <v>-2.0801274141336368E-2</v>
      </c>
      <c r="AA22" s="30">
        <f t="shared" si="15"/>
        <v>0.58884848311651949</v>
      </c>
      <c r="AB22" s="30">
        <f t="shared" si="16"/>
        <v>-0.15599309184454235</v>
      </c>
      <c r="AC22" s="30">
        <f t="shared" si="17"/>
        <v>9.6449728628904552E-3</v>
      </c>
    </row>
    <row r="23" spans="1:29" x14ac:dyDescent="0.5">
      <c r="A23" s="10">
        <v>2000</v>
      </c>
      <c r="B23" s="12">
        <f>'Minimum Deflation Total'!C23</f>
        <v>119059.35598986509</v>
      </c>
      <c r="C23" s="12">
        <f>Data!AF543</f>
        <v>288529.5</v>
      </c>
      <c r="D23" s="12">
        <f>Data!AA102</f>
        <v>3657332.5</v>
      </c>
      <c r="E23" s="11">
        <f t="shared" si="7"/>
        <v>12.409639901906015</v>
      </c>
      <c r="F23" s="11">
        <f t="shared" si="8"/>
        <v>0.57081119615810216</v>
      </c>
      <c r="G23" s="12">
        <f t="shared" si="9"/>
        <v>509489.17442607495</v>
      </c>
      <c r="H23" s="12">
        <f t="shared" si="9"/>
        <v>924996.5757234589</v>
      </c>
      <c r="I23" s="17">
        <f t="shared" si="10"/>
        <v>0.71074036938649898</v>
      </c>
      <c r="J23" s="17">
        <f t="shared" si="10"/>
        <v>1.7555366778827382</v>
      </c>
      <c r="K23" s="18">
        <f t="shared" si="11"/>
        <v>0.76137743070719055</v>
      </c>
      <c r="L23" s="18">
        <f t="shared" si="11"/>
        <v>0.96041622368005897</v>
      </c>
      <c r="M23" s="30">
        <f>Data!J219</f>
        <v>6.5099999000000006E-2</v>
      </c>
      <c r="N23" s="30">
        <f>Data!J336 - M23</f>
        <v>0.19540001099999998</v>
      </c>
      <c r="O23" s="30">
        <f t="shared" si="0"/>
        <v>0.73949999</v>
      </c>
      <c r="P23" s="30">
        <f>Data!O219</f>
        <v>6.0100000000000001E-2</v>
      </c>
      <c r="Q23" s="30">
        <f>Data!O336 - P23</f>
        <v>0.18180000000000002</v>
      </c>
      <c r="R23" s="30">
        <f t="shared" si="12"/>
        <v>0.7581</v>
      </c>
      <c r="S23" s="19">
        <f t="shared" si="1"/>
        <v>0.76137743070719055</v>
      </c>
      <c r="T23" s="19">
        <f t="shared" si="2"/>
        <v>0.19903879297286842</v>
      </c>
      <c r="U23" s="19">
        <f t="shared" si="3"/>
        <v>3.9583776319941033E-2</v>
      </c>
      <c r="V23" s="30">
        <f t="shared" si="13"/>
        <v>0.23862256929280945</v>
      </c>
      <c r="W23" s="11">
        <f t="shared" si="4"/>
        <v>0.3135111095344596</v>
      </c>
      <c r="X23" s="30">
        <f t="shared" si="5"/>
        <v>0.64461314842274708</v>
      </c>
      <c r="Y23" s="30">
        <f t="shared" si="6"/>
        <v>-1.8281772706310817E-2</v>
      </c>
      <c r="Z23" s="30">
        <f t="shared" si="14"/>
        <v>-2.8734028387038091E-2</v>
      </c>
      <c r="AA23" s="30">
        <f t="shared" si="15"/>
        <v>0.51829879782651145</v>
      </c>
      <c r="AB23" s="30">
        <f t="shared" si="16"/>
        <v>-8.6610216608469237E-2</v>
      </c>
      <c r="AC23" s="30">
        <f t="shared" si="17"/>
        <v>-4.3046071173220568E-3</v>
      </c>
    </row>
    <row r="24" spans="1:29" x14ac:dyDescent="0.5">
      <c r="A24">
        <v>2001</v>
      </c>
      <c r="B24" s="12">
        <f>'Minimum Deflation Total'!C24</f>
        <v>121440.54310966239</v>
      </c>
      <c r="C24" s="12">
        <f>Data!AF544</f>
        <v>289861.69</v>
      </c>
      <c r="D24" s="12">
        <f>Data!AA103</f>
        <v>3418311.8</v>
      </c>
      <c r="E24" s="11">
        <f t="shared" si="7"/>
        <v>12.422454230700561</v>
      </c>
      <c r="F24" s="11">
        <f t="shared" si="8"/>
        <v>0.55624621609469305</v>
      </c>
      <c r="G24" s="12">
        <f t="shared" si="9"/>
        <v>506516.63226123789</v>
      </c>
      <c r="H24" s="12">
        <f t="shared" si="9"/>
        <v>905711.80007325241</v>
      </c>
      <c r="I24" s="17">
        <f t="shared" si="10"/>
        <v>0.72530534944990765</v>
      </c>
      <c r="J24" s="17">
        <f t="shared" si="10"/>
        <v>1.7701016579461473</v>
      </c>
      <c r="K24" s="18">
        <f t="shared" si="11"/>
        <v>0.76586763766178478</v>
      </c>
      <c r="L24" s="18">
        <f t="shared" si="11"/>
        <v>0.96164489628959215</v>
      </c>
      <c r="M24" s="30">
        <f>Data!J220</f>
        <v>6.1500001999999998E-2</v>
      </c>
      <c r="N24" s="30">
        <f>Data!J337 - M24</f>
        <v>0.19379998799999998</v>
      </c>
      <c r="O24" s="30">
        <f t="shared" si="0"/>
        <v>0.74470001000000008</v>
      </c>
      <c r="P24" s="30">
        <f>Data!O220</f>
        <v>5.5799998000000003E-2</v>
      </c>
      <c r="Q24" s="30">
        <f>Data!O337 - P24</f>
        <v>0.17950000199999999</v>
      </c>
      <c r="R24" s="30">
        <f t="shared" si="12"/>
        <v>0.76470000000000005</v>
      </c>
      <c r="S24" s="19">
        <f t="shared" si="1"/>
        <v>0.76586763766178478</v>
      </c>
      <c r="T24" s="19">
        <f t="shared" si="2"/>
        <v>0.19577725862780737</v>
      </c>
      <c r="U24" s="19">
        <f t="shared" si="3"/>
        <v>3.8355103710407845E-2</v>
      </c>
      <c r="V24" s="30">
        <f t="shared" si="13"/>
        <v>0.23413236233821522</v>
      </c>
      <c r="W24" s="11">
        <f t="shared" si="4"/>
        <v>0.30592089231452979</v>
      </c>
      <c r="X24" s="30">
        <f t="shared" si="5"/>
        <v>0.6034372495598721</v>
      </c>
      <c r="Y24" s="30">
        <f t="shared" si="6"/>
        <v>-1.009959298473162E-2</v>
      </c>
      <c r="Z24" s="30">
        <f t="shared" si="14"/>
        <v>-2.7638754558699019E-2</v>
      </c>
      <c r="AA24" s="30">
        <f t="shared" si="15"/>
        <v>0.45482589282787944</v>
      </c>
      <c r="AB24" s="30">
        <f t="shared" si="16"/>
        <v>-8.314171289297756E-2</v>
      </c>
      <c r="AC24" s="30">
        <f t="shared" si="17"/>
        <v>-1.5245945962014673E-3</v>
      </c>
    </row>
    <row r="25" spans="1:29" x14ac:dyDescent="0.5">
      <c r="A25" s="10">
        <v>2002</v>
      </c>
      <c r="B25" s="12">
        <f>'Minimum Deflation Total'!C25</f>
        <v>123869.35397185564</v>
      </c>
      <c r="C25" s="12">
        <f>Data!AF545</f>
        <v>293357.81</v>
      </c>
      <c r="D25" s="12">
        <f>Data!AA104</f>
        <v>3511310.5</v>
      </c>
      <c r="E25" s="11">
        <f t="shared" si="7"/>
        <v>12.433790069841566</v>
      </c>
      <c r="F25" s="11">
        <f t="shared" si="8"/>
        <v>0.55741953257011723</v>
      </c>
      <c r="G25" s="12">
        <f t="shared" si="9"/>
        <v>513061.98456808599</v>
      </c>
      <c r="H25" s="12">
        <f t="shared" si="9"/>
        <v>918540.99425644637</v>
      </c>
      <c r="I25" s="17">
        <f t="shared" si="10"/>
        <v>0.72413203297448503</v>
      </c>
      <c r="J25" s="17">
        <f t="shared" si="10"/>
        <v>1.7689283414707226</v>
      </c>
      <c r="K25" s="18">
        <f t="shared" si="11"/>
        <v>0.76550765982641111</v>
      </c>
      <c r="L25" s="18">
        <f t="shared" si="11"/>
        <v>0.96154708308988823</v>
      </c>
      <c r="M25" s="30">
        <f>Data!J221</f>
        <v>6.2199998999999999E-2</v>
      </c>
      <c r="N25" s="30">
        <f>Data!J338 - M25</f>
        <v>0.19410000099999997</v>
      </c>
      <c r="O25" s="30">
        <f t="shared" si="0"/>
        <v>0.74370000000000003</v>
      </c>
      <c r="P25" s="30">
        <f>Data!O221</f>
        <v>5.6699999000000001E-2</v>
      </c>
      <c r="Q25" s="30">
        <f>Data!O338 - P25</f>
        <v>0.17979999099999999</v>
      </c>
      <c r="R25" s="30">
        <f t="shared" si="12"/>
        <v>0.76350001000000001</v>
      </c>
      <c r="S25" s="19">
        <f t="shared" si="1"/>
        <v>0.76550765982641111</v>
      </c>
      <c r="T25" s="19">
        <f t="shared" si="2"/>
        <v>0.19603942326347712</v>
      </c>
      <c r="U25" s="19">
        <f t="shared" si="3"/>
        <v>3.8452916910111767E-2</v>
      </c>
      <c r="V25" s="30">
        <f t="shared" si="13"/>
        <v>0.23449234017358889</v>
      </c>
      <c r="W25" s="11">
        <f t="shared" si="4"/>
        <v>0.30653349031638033</v>
      </c>
      <c r="X25" s="30">
        <f t="shared" si="5"/>
        <v>0.61756256737037241</v>
      </c>
      <c r="Y25" s="30">
        <f t="shared" si="6"/>
        <v>-9.8930216748830402E-3</v>
      </c>
      <c r="Z25" s="30">
        <f t="shared" si="14"/>
        <v>-2.8487840123449959E-2</v>
      </c>
      <c r="AA25" s="30">
        <f t="shared" si="15"/>
        <v>0.47453050525511342</v>
      </c>
      <c r="AB25" s="30">
        <f t="shared" si="16"/>
        <v>-8.283758436511679E-2</v>
      </c>
      <c r="AC25" s="30">
        <f t="shared" si="17"/>
        <v>-2.6226384552002768E-3</v>
      </c>
    </row>
    <row r="26" spans="1:29" x14ac:dyDescent="0.5">
      <c r="A26">
        <v>2003</v>
      </c>
      <c r="B26" s="12">
        <f>'Minimum Deflation Total'!C26</f>
        <v>126346.74105129276</v>
      </c>
      <c r="C26" s="12">
        <f>Data!AF546</f>
        <v>308042.19</v>
      </c>
      <c r="D26" s="12">
        <f>Data!AA105</f>
        <v>4073854.5</v>
      </c>
      <c r="E26" s="11">
        <f t="shared" si="7"/>
        <v>12.47043764438037</v>
      </c>
      <c r="F26" s="11">
        <f t="shared" si="8"/>
        <v>0.57888580689778291</v>
      </c>
      <c r="G26" s="12">
        <f t="shared" si="9"/>
        <v>547057.75261604215</v>
      </c>
      <c r="H26" s="12">
        <f t="shared" si="9"/>
        <v>1001618.1604160946</v>
      </c>
      <c r="I26" s="17">
        <f t="shared" si="10"/>
        <v>0.70266575864681802</v>
      </c>
      <c r="J26" s="17">
        <f t="shared" si="10"/>
        <v>1.7474620671430585</v>
      </c>
      <c r="K26" s="18">
        <f t="shared" si="11"/>
        <v>0.75886796426198955</v>
      </c>
      <c r="L26" s="18">
        <f t="shared" si="11"/>
        <v>0.95972139035311532</v>
      </c>
      <c r="M26" s="30">
        <f>Data!J222</f>
        <v>6.7199997999999997E-2</v>
      </c>
      <c r="N26" s="30">
        <f>Data!J339 - M26</f>
        <v>0.19549999200000001</v>
      </c>
      <c r="O26" s="30">
        <f t="shared" si="0"/>
        <v>0.73730001000000001</v>
      </c>
      <c r="P26" s="30">
        <f>Data!O222</f>
        <v>6.2199998999999999E-2</v>
      </c>
      <c r="Q26" s="30">
        <f>Data!O339 - P26</f>
        <v>0.18150000099999999</v>
      </c>
      <c r="R26" s="30">
        <f t="shared" si="12"/>
        <v>0.75630000000000008</v>
      </c>
      <c r="S26" s="19">
        <f t="shared" si="1"/>
        <v>0.75886796426198955</v>
      </c>
      <c r="T26" s="19">
        <f t="shared" si="2"/>
        <v>0.20085342609112578</v>
      </c>
      <c r="U26" s="19">
        <f t="shared" si="3"/>
        <v>4.0278609646884678E-2</v>
      </c>
      <c r="V26" s="30">
        <f t="shared" si="13"/>
        <v>0.24113203573801045</v>
      </c>
      <c r="W26" s="11">
        <f t="shared" si="4"/>
        <v>0.3177054910091619</v>
      </c>
      <c r="X26" s="30">
        <f t="shared" si="5"/>
        <v>0.66837928590709272</v>
      </c>
      <c r="Y26" s="30">
        <f t="shared" si="6"/>
        <v>-2.6653436763866556E-2</v>
      </c>
      <c r="Z26" s="30">
        <f t="shared" si="14"/>
        <v>-2.842122118432644E-2</v>
      </c>
      <c r="AA26" s="30">
        <f t="shared" si="15"/>
        <v>0.54424394350490735</v>
      </c>
      <c r="AB26" s="30">
        <f t="shared" si="16"/>
        <v>-9.6355961995616024E-2</v>
      </c>
      <c r="AC26" s="30">
        <f t="shared" si="17"/>
        <v>-3.3839407946109068E-3</v>
      </c>
    </row>
    <row r="27" spans="1:29" x14ac:dyDescent="0.5">
      <c r="A27" s="10">
        <v>2004</v>
      </c>
      <c r="B27" s="12">
        <f>'Minimum Deflation Total'!C27</f>
        <v>128873.67587231862</v>
      </c>
      <c r="C27" s="12">
        <f>Data!AF547</f>
        <v>317184.59000000003</v>
      </c>
      <c r="D27" s="12">
        <f>Data!AA106</f>
        <v>4433015</v>
      </c>
      <c r="E27" s="11">
        <f t="shared" si="7"/>
        <v>12.493385546661917</v>
      </c>
      <c r="F27" s="11">
        <f t="shared" si="8"/>
        <v>0.58966709177994014</v>
      </c>
      <c r="G27" s="12">
        <f t="shared" si="9"/>
        <v>567544.4386610681</v>
      </c>
      <c r="H27" s="12">
        <f t="shared" si="9"/>
        <v>1050898.7748219154</v>
      </c>
      <c r="I27" s="17">
        <f t="shared" si="10"/>
        <v>0.69188447376466189</v>
      </c>
      <c r="J27" s="17">
        <f t="shared" si="10"/>
        <v>1.7366807822609005</v>
      </c>
      <c r="K27" s="18">
        <f t="shared" si="11"/>
        <v>0.75549505911585579</v>
      </c>
      <c r="L27" s="18">
        <f t="shared" si="11"/>
        <v>0.95877823413855412</v>
      </c>
      <c r="M27" s="30">
        <f>Data!J223</f>
        <v>6.9899999000000004E-2</v>
      </c>
      <c r="N27" s="30">
        <f>Data!J340 - M27</f>
        <v>0.19450001100000003</v>
      </c>
      <c r="O27" s="30">
        <f t="shared" si="0"/>
        <v>0.73559998999999998</v>
      </c>
      <c r="P27" s="30">
        <f>Data!O223</f>
        <v>6.0699998999999998E-2</v>
      </c>
      <c r="Q27" s="30">
        <f>Data!O340 - P27</f>
        <v>0.175699991</v>
      </c>
      <c r="R27" s="30">
        <f t="shared" si="12"/>
        <v>0.76360001</v>
      </c>
      <c r="S27" s="19">
        <f t="shared" si="1"/>
        <v>0.75549505911585579</v>
      </c>
      <c r="T27" s="19">
        <f t="shared" si="2"/>
        <v>0.20328317502269833</v>
      </c>
      <c r="U27" s="19">
        <f t="shared" si="3"/>
        <v>4.122176586144588E-2</v>
      </c>
      <c r="V27" s="30">
        <f t="shared" si="13"/>
        <v>0.24450494088414421</v>
      </c>
      <c r="W27" s="11">
        <f t="shared" si="4"/>
        <v>0.3232905782680362</v>
      </c>
      <c r="X27" s="30">
        <f t="shared" si="5"/>
        <v>0.69570608000994105</v>
      </c>
      <c r="Y27" s="30">
        <f t="shared" si="6"/>
        <v>-4.3206546836537685E-2</v>
      </c>
      <c r="Z27" s="30">
        <f t="shared" si="14"/>
        <v>-2.6333817641559065E-2</v>
      </c>
      <c r="AA27" s="30">
        <f t="shared" si="15"/>
        <v>0.47252301621488346</v>
      </c>
      <c r="AB27" s="30">
        <f t="shared" si="16"/>
        <v>-0.13568847505268655</v>
      </c>
      <c r="AC27" s="30">
        <f t="shared" si="17"/>
        <v>1.0727999854333037E-2</v>
      </c>
    </row>
    <row r="28" spans="1:29" x14ac:dyDescent="0.5">
      <c r="A28">
        <v>2005</v>
      </c>
      <c r="B28" s="12">
        <f>'Minimum Deflation Total'!C28</f>
        <v>131451.14938976499</v>
      </c>
      <c r="C28" s="12">
        <f>Data!AF548</f>
        <v>327257.5</v>
      </c>
      <c r="D28" s="12">
        <f>Data!AA107</f>
        <v>5073452</v>
      </c>
      <c r="E28" s="11">
        <f t="shared" si="7"/>
        <v>12.513149235605207</v>
      </c>
      <c r="F28" s="11">
        <f t="shared" si="8"/>
        <v>0.60885690628017386</v>
      </c>
      <c r="G28" s="12">
        <f t="shared" si="9"/>
        <v>593285.34851547109</v>
      </c>
      <c r="H28" s="12">
        <f t="shared" si="9"/>
        <v>1120810.0100442634</v>
      </c>
      <c r="I28" s="17">
        <f t="shared" si="10"/>
        <v>0.67269465926442584</v>
      </c>
      <c r="J28" s="17">
        <f t="shared" si="10"/>
        <v>1.7174909677606662</v>
      </c>
      <c r="K28" s="18">
        <f t="shared" si="11"/>
        <v>0.74942921698866505</v>
      </c>
      <c r="L28" s="18">
        <f t="shared" si="11"/>
        <v>0.95705524832581446</v>
      </c>
      <c r="M28" s="30">
        <f>Data!J224</f>
        <v>7.6099999000000002E-2</v>
      </c>
      <c r="N28" s="30">
        <f>Data!J341 - M28</f>
        <v>0.19280001100000002</v>
      </c>
      <c r="O28" s="30">
        <f t="shared" si="0"/>
        <v>0.73109999000000003</v>
      </c>
      <c r="P28" s="30">
        <f>Data!O224</f>
        <v>6.3900000999999998E-2</v>
      </c>
      <c r="Q28" s="30">
        <f>Data!O341 - P28</f>
        <v>0.174100009</v>
      </c>
      <c r="R28" s="30">
        <f t="shared" si="12"/>
        <v>0.76199998999999996</v>
      </c>
      <c r="S28" s="19">
        <f t="shared" si="1"/>
        <v>0.74942921698866505</v>
      </c>
      <c r="T28" s="19">
        <f t="shared" si="2"/>
        <v>0.20762603133714941</v>
      </c>
      <c r="U28" s="19">
        <f t="shared" si="3"/>
        <v>4.2944751674185544E-2</v>
      </c>
      <c r="V28" s="30">
        <f t="shared" si="13"/>
        <v>0.25057078301133495</v>
      </c>
      <c r="W28" s="11">
        <f t="shared" si="4"/>
        <v>0.33318755836996017</v>
      </c>
      <c r="X28" s="30">
        <f t="shared" si="5"/>
        <v>0.77204422038244913</v>
      </c>
      <c r="Y28" s="30">
        <f t="shared" si="6"/>
        <v>-7.140732904090652E-2</v>
      </c>
      <c r="Z28" s="30">
        <f t="shared" si="14"/>
        <v>-2.4457582615093343E-2</v>
      </c>
      <c r="AA28" s="30">
        <f t="shared" si="15"/>
        <v>0.48795833038687308</v>
      </c>
      <c r="AB28" s="30">
        <f t="shared" si="16"/>
        <v>-0.16147311645479001</v>
      </c>
      <c r="AC28" s="30">
        <f t="shared" si="17"/>
        <v>1.6773796279048847E-2</v>
      </c>
    </row>
    <row r="29" spans="1:29" x14ac:dyDescent="0.5">
      <c r="A29" s="10">
        <v>2006</v>
      </c>
      <c r="B29" s="12">
        <f>'Minimum Deflation Total'!C29</f>
        <v>134080.17237756029</v>
      </c>
      <c r="C29" s="12">
        <f>Data!AF549</f>
        <v>346538.31</v>
      </c>
      <c r="D29" s="12">
        <f>Data!AA108</f>
        <v>5930450</v>
      </c>
      <c r="E29" s="11">
        <f t="shared" si="7"/>
        <v>12.556308590019645</v>
      </c>
      <c r="F29" s="11">
        <f t="shared" si="8"/>
        <v>0.63156957534605895</v>
      </c>
      <c r="G29" s="12">
        <f t="shared" si="9"/>
        <v>637747.40567059035</v>
      </c>
      <c r="H29" s="12">
        <f t="shared" si="9"/>
        <v>1233737.9823526975</v>
      </c>
      <c r="I29" s="17">
        <f t="shared" si="10"/>
        <v>0.64998199019854175</v>
      </c>
      <c r="J29" s="17">
        <f t="shared" si="10"/>
        <v>1.6947782986947826</v>
      </c>
      <c r="K29" s="18">
        <f t="shared" si="11"/>
        <v>0.74214807249201531</v>
      </c>
      <c r="L29" s="18">
        <f t="shared" si="11"/>
        <v>0.95494125713000488</v>
      </c>
      <c r="M29" s="30">
        <f>Data!J225</f>
        <v>8.3199999999999996E-2</v>
      </c>
      <c r="N29" s="30">
        <f>Data!J342 - M29</f>
        <v>0.19500000000000001</v>
      </c>
      <c r="O29" s="30">
        <f t="shared" si="0"/>
        <v>0.7218</v>
      </c>
      <c r="P29" s="30">
        <f>Data!O225</f>
        <v>6.7599996999999995E-2</v>
      </c>
      <c r="Q29" s="30">
        <f>Data!O342 - P29</f>
        <v>0.17180000300000001</v>
      </c>
      <c r="R29" s="30">
        <f t="shared" si="12"/>
        <v>0.76060000000000005</v>
      </c>
      <c r="S29" s="19">
        <f t="shared" si="1"/>
        <v>0.74214807249201531</v>
      </c>
      <c r="T29" s="19">
        <f t="shared" si="2"/>
        <v>0.21279318463798957</v>
      </c>
      <c r="U29" s="19">
        <f t="shared" si="3"/>
        <v>4.5058742869995116E-2</v>
      </c>
      <c r="V29" s="30">
        <f t="shared" si="13"/>
        <v>0.25785192750798469</v>
      </c>
      <c r="W29" s="11">
        <f t="shared" si="4"/>
        <v>0.34482680989603542</v>
      </c>
      <c r="X29" s="30">
        <f t="shared" si="5"/>
        <v>0.84647850118790968</v>
      </c>
      <c r="Y29" s="30">
        <f t="shared" si="6"/>
        <v>-8.3617267480910584E-2</v>
      </c>
      <c r="Z29" s="30">
        <f t="shared" si="14"/>
        <v>-2.7417806831579683E-2</v>
      </c>
      <c r="AA29" s="30">
        <f t="shared" si="15"/>
        <v>0.50026371563542305</v>
      </c>
      <c r="AB29" s="30">
        <f t="shared" si="16"/>
        <v>-0.19264330155934484</v>
      </c>
      <c r="AC29" s="30">
        <f t="shared" si="17"/>
        <v>2.486286523122816E-2</v>
      </c>
    </row>
    <row r="30" spans="1:29" x14ac:dyDescent="0.5">
      <c r="A30">
        <v>2007</v>
      </c>
      <c r="B30" s="12">
        <f>'Minimum Deflation Total'!C30</f>
        <v>136761.77582511149</v>
      </c>
      <c r="C30" s="12">
        <f>Data!AF550</f>
        <v>355584.81</v>
      </c>
      <c r="D30" s="12">
        <f>Data!AA109</f>
        <v>5998926.5</v>
      </c>
      <c r="E30" s="11">
        <f t="shared" si="7"/>
        <v>12.582954045596017</v>
      </c>
      <c r="F30" s="11">
        <f t="shared" si="8"/>
        <v>0.6301825443124569</v>
      </c>
      <c r="G30" s="12">
        <f t="shared" si="9"/>
        <v>653805.68714736809</v>
      </c>
      <c r="H30" s="12">
        <f t="shared" si="9"/>
        <v>1262971.5404878196</v>
      </c>
      <c r="I30" s="17">
        <f t="shared" si="10"/>
        <v>0.65136902123214324</v>
      </c>
      <c r="J30" s="17">
        <f t="shared" si="10"/>
        <v>1.6961653297283836</v>
      </c>
      <c r="K30" s="18">
        <f t="shared" si="11"/>
        <v>0.74259584840291581</v>
      </c>
      <c r="L30" s="18">
        <f t="shared" si="11"/>
        <v>0.9550727128513834</v>
      </c>
      <c r="M30" s="30">
        <f>Data!J226</f>
        <v>8.2299999999999998E-2</v>
      </c>
      <c r="N30" s="30">
        <f>Data!J343 - M30</f>
        <v>0.19259999</v>
      </c>
      <c r="O30" s="30">
        <f t="shared" si="0"/>
        <v>0.72510001000000002</v>
      </c>
      <c r="P30" s="30">
        <f>Data!O226</f>
        <v>6.4499997000000003E-2</v>
      </c>
      <c r="Q30" s="30">
        <f>Data!O343 - P30</f>
        <v>0.17120000299999999</v>
      </c>
      <c r="R30" s="30">
        <f t="shared" si="12"/>
        <v>0.76429999999999998</v>
      </c>
      <c r="S30" s="19">
        <f t="shared" si="1"/>
        <v>0.74259584840291581</v>
      </c>
      <c r="T30" s="19">
        <f t="shared" si="2"/>
        <v>0.21247686444846758</v>
      </c>
      <c r="U30" s="19">
        <f t="shared" si="3"/>
        <v>4.4927287148616601E-2</v>
      </c>
      <c r="V30" s="30">
        <f t="shared" si="13"/>
        <v>0.25740415159708419</v>
      </c>
      <c r="W30" s="11">
        <f t="shared" si="4"/>
        <v>0.34411837747676066</v>
      </c>
      <c r="X30" s="30">
        <f t="shared" si="5"/>
        <v>0.83184886565166605</v>
      </c>
      <c r="Y30" s="30">
        <f t="shared" si="6"/>
        <v>-9.3548417612724921E-2</v>
      </c>
      <c r="Z30" s="30">
        <f t="shared" si="14"/>
        <v>-2.3560377344613137E-2</v>
      </c>
      <c r="AA30" s="30">
        <f t="shared" si="15"/>
        <v>0.435653053936645</v>
      </c>
      <c r="AB30" s="30">
        <f t="shared" si="16"/>
        <v>-0.1942652041463957</v>
      </c>
      <c r="AC30" s="30">
        <f t="shared" si="17"/>
        <v>2.9227407672373529E-2</v>
      </c>
    </row>
    <row r="31" spans="1:29" x14ac:dyDescent="0.5">
      <c r="A31" s="10">
        <v>2008</v>
      </c>
      <c r="B31" s="12">
        <f>'Minimum Deflation Total'!C31</f>
        <v>139497.01134161372</v>
      </c>
      <c r="C31" s="12">
        <f>Data!AF551</f>
        <v>357980.69</v>
      </c>
      <c r="D31" s="12">
        <f>Data!AA110</f>
        <v>5714726</v>
      </c>
      <c r="E31" s="11">
        <f t="shared" si="7"/>
        <v>12.596781890122239</v>
      </c>
      <c r="F31" s="11">
        <f t="shared" si="8"/>
        <v>0.61879307568584885</v>
      </c>
      <c r="G31" s="12">
        <f t="shared" si="9"/>
        <v>653303.53056474752</v>
      </c>
      <c r="H31" s="12">
        <f t="shared" si="9"/>
        <v>1247073.1032193245</v>
      </c>
      <c r="I31" s="17">
        <f t="shared" si="10"/>
        <v>0.66275848985875363</v>
      </c>
      <c r="J31" s="17">
        <f t="shared" si="10"/>
        <v>1.7075547983549944</v>
      </c>
      <c r="K31" s="18">
        <f t="shared" si="11"/>
        <v>0.74625737853760055</v>
      </c>
      <c r="L31" s="18">
        <f t="shared" si="11"/>
        <v>0.95614050916130122</v>
      </c>
      <c r="M31" s="30">
        <f>Data!J227</f>
        <v>7.8599997000000005E-2</v>
      </c>
      <c r="N31" s="30">
        <f>Data!J344 - M31</f>
        <v>0.18929999299999997</v>
      </c>
      <c r="O31" s="30">
        <f t="shared" si="0"/>
        <v>0.73210001000000002</v>
      </c>
      <c r="P31" s="30">
        <f>Data!O227</f>
        <v>6.1199999999999997E-2</v>
      </c>
      <c r="Q31" s="30">
        <f>Data!O344 - P31</f>
        <v>0.16989999</v>
      </c>
      <c r="R31" s="30">
        <f t="shared" si="12"/>
        <v>0.76890000999999997</v>
      </c>
      <c r="S31" s="19">
        <f t="shared" si="1"/>
        <v>0.74625737853760055</v>
      </c>
      <c r="T31" s="19">
        <f t="shared" si="2"/>
        <v>0.20988313062370068</v>
      </c>
      <c r="U31" s="19">
        <f t="shared" si="3"/>
        <v>4.3859490838698778E-2</v>
      </c>
      <c r="V31" s="30">
        <f t="shared" si="13"/>
        <v>0.25374262146239945</v>
      </c>
      <c r="W31" s="11">
        <f t="shared" si="4"/>
        <v>0.33828949236511363</v>
      </c>
      <c r="X31" s="30">
        <f t="shared" si="5"/>
        <v>0.79208639902058442</v>
      </c>
      <c r="Y31" s="30">
        <f t="shared" si="6"/>
        <v>-9.8069518796173316E-2</v>
      </c>
      <c r="Z31" s="30">
        <f t="shared" si="14"/>
        <v>-1.8971160546973675E-2</v>
      </c>
      <c r="AA31" s="30">
        <f t="shared" si="15"/>
        <v>0.39536503570171577</v>
      </c>
      <c r="AB31" s="30">
        <f t="shared" si="16"/>
        <v>-0.19050192602370897</v>
      </c>
      <c r="AC31" s="30">
        <f t="shared" si="17"/>
        <v>3.0341584704691282E-2</v>
      </c>
    </row>
    <row r="32" spans="1:29" x14ac:dyDescent="0.5">
      <c r="A32">
        <v>2009</v>
      </c>
      <c r="B32" s="12">
        <f>'Minimum Deflation Total'!C32</f>
        <v>142286.95156844601</v>
      </c>
      <c r="C32" s="12">
        <f>Data!AF552</f>
        <v>331518.09000000003</v>
      </c>
      <c r="D32" s="12">
        <f>Data!AA111</f>
        <v>4597494</v>
      </c>
      <c r="E32" s="11">
        <f t="shared" si="7"/>
        <v>12.54368001746432</v>
      </c>
      <c r="F32" s="11">
        <f t="shared" si="8"/>
        <v>0.57923680786114673</v>
      </c>
      <c r="G32" s="12">
        <f t="shared" si="9"/>
        <v>588894.22083887213</v>
      </c>
      <c r="H32" s="12">
        <f t="shared" si="9"/>
        <v>1078612.8053371364</v>
      </c>
      <c r="I32" s="17">
        <f t="shared" si="10"/>
        <v>0.70231475768345342</v>
      </c>
      <c r="J32" s="17">
        <f t="shared" si="10"/>
        <v>1.747111066179694</v>
      </c>
      <c r="K32" s="18">
        <f t="shared" si="11"/>
        <v>0.75875855405877246</v>
      </c>
      <c r="L32" s="18">
        <f t="shared" si="11"/>
        <v>0.9596909628997411</v>
      </c>
      <c r="M32" s="30">
        <f>Data!J228</f>
        <v>6.9300002999999999E-2</v>
      </c>
      <c r="N32" s="30">
        <f>Data!J345 - M32</f>
        <v>0.19010000700000002</v>
      </c>
      <c r="O32" s="30">
        <f t="shared" si="0"/>
        <v>0.74059998999999999</v>
      </c>
      <c r="P32" s="30">
        <f>Data!O228</f>
        <v>5.3199998999999998E-2</v>
      </c>
      <c r="Q32" s="30">
        <f>Data!O345 - P32</f>
        <v>0.16950000100000001</v>
      </c>
      <c r="R32" s="30">
        <f t="shared" si="12"/>
        <v>0.77729999999999988</v>
      </c>
      <c r="S32" s="19">
        <f t="shared" si="1"/>
        <v>0.75875855405877246</v>
      </c>
      <c r="T32" s="19">
        <f t="shared" si="2"/>
        <v>0.20093240884096863</v>
      </c>
      <c r="U32" s="19">
        <f t="shared" si="3"/>
        <v>4.0309037100258904E-2</v>
      </c>
      <c r="V32" s="30">
        <f t="shared" si="13"/>
        <v>0.24124144594122754</v>
      </c>
      <c r="W32" s="11">
        <f t="shared" si="4"/>
        <v>0.31788759830002156</v>
      </c>
      <c r="X32" s="30">
        <f t="shared" si="5"/>
        <v>0.71921752503373204</v>
      </c>
      <c r="Y32" s="30">
        <f t="shared" si="6"/>
        <v>-5.3910675253697415E-2</v>
      </c>
      <c r="Z32" s="30">
        <f t="shared" si="14"/>
        <v>-2.3931939826758009E-2</v>
      </c>
      <c r="AA32" s="30">
        <f t="shared" si="15"/>
        <v>0.31980327060847347</v>
      </c>
      <c r="AB32" s="30">
        <f t="shared" si="16"/>
        <v>-0.15643274284262598</v>
      </c>
      <c r="AC32" s="30">
        <f t="shared" si="17"/>
        <v>2.4436556058636816E-2</v>
      </c>
    </row>
    <row r="33" spans="1:29" x14ac:dyDescent="0.5">
      <c r="A33" s="10">
        <v>2010</v>
      </c>
      <c r="B33" s="12">
        <f>'Minimum Deflation Total'!C33</f>
        <v>145132.69059981493</v>
      </c>
      <c r="C33" s="12">
        <f>Data!AF553</f>
        <v>348814.81</v>
      </c>
      <c r="D33" s="12">
        <f>Data!AA112</f>
        <v>5413626.5</v>
      </c>
      <c r="E33" s="11">
        <f t="shared" si="7"/>
        <v>12.580388797488329</v>
      </c>
      <c r="F33" s="11">
        <f t="shared" si="8"/>
        <v>0.60317100807254465</v>
      </c>
      <c r="G33" s="12">
        <f t="shared" si="9"/>
        <v>629942.32538860152</v>
      </c>
      <c r="H33" s="12">
        <f t="shared" si="9"/>
        <v>1183012.122074347</v>
      </c>
      <c r="I33" s="17">
        <f t="shared" si="10"/>
        <v>0.67838055747205517</v>
      </c>
      <c r="J33" s="17">
        <f t="shared" si="10"/>
        <v>1.723176865968296</v>
      </c>
      <c r="K33" s="18">
        <f t="shared" si="11"/>
        <v>0.75123478334807547</v>
      </c>
      <c r="L33" s="18">
        <f t="shared" si="11"/>
        <v>0.9575717270541334</v>
      </c>
      <c r="M33" s="30">
        <f>Data!J229</f>
        <v>7.7200003000000003E-2</v>
      </c>
      <c r="N33" s="30">
        <f>Data!J346 - M33</f>
        <v>0.193299997</v>
      </c>
      <c r="O33" s="30">
        <f t="shared" si="0"/>
        <v>0.72950000000000004</v>
      </c>
      <c r="P33" s="30">
        <f>Data!O229</f>
        <v>5.9599999000000001E-2</v>
      </c>
      <c r="Q33" s="30">
        <f>Data!O346 - P33</f>
        <v>0.174100011</v>
      </c>
      <c r="R33" s="30">
        <f t="shared" si="12"/>
        <v>0.76629999000000004</v>
      </c>
      <c r="S33" s="19">
        <f t="shared" si="1"/>
        <v>0.75123478334807547</v>
      </c>
      <c r="T33" s="19">
        <f t="shared" si="2"/>
        <v>0.20633694370605793</v>
      </c>
      <c r="U33" s="19">
        <f t="shared" si="3"/>
        <v>4.2428272945866596E-2</v>
      </c>
      <c r="V33" s="30">
        <f t="shared" si="13"/>
        <v>0.24876521665192453</v>
      </c>
      <c r="W33" s="11">
        <f t="shared" si="4"/>
        <v>0.33026104894899011</v>
      </c>
      <c r="X33" s="30">
        <f t="shared" si="5"/>
        <v>0.81954149061164894</v>
      </c>
      <c r="Y33" s="30">
        <f t="shared" si="6"/>
        <v>-6.3182804164386597E-2</v>
      </c>
      <c r="Z33" s="30">
        <f t="shared" si="14"/>
        <v>-2.8932077999914596E-2</v>
      </c>
      <c r="AA33" s="30">
        <f t="shared" si="15"/>
        <v>0.40472366329976417</v>
      </c>
      <c r="AB33" s="30">
        <f t="shared" si="16"/>
        <v>-0.15623441991067677</v>
      </c>
      <c r="AC33" s="30">
        <f t="shared" si="17"/>
        <v>2.0053925864271793E-2</v>
      </c>
    </row>
    <row r="34" spans="1:29" x14ac:dyDescent="0.5">
      <c r="A34">
        <v>2011</v>
      </c>
      <c r="B34" s="12">
        <f>'Minimum Deflation Total'!C34</f>
        <v>148035.34441181124</v>
      </c>
      <c r="C34" s="12">
        <f>Data!AF554</f>
        <v>351010.81</v>
      </c>
      <c r="D34" s="12">
        <f>Data!AA113</f>
        <v>5173455.5</v>
      </c>
      <c r="E34" s="11">
        <f t="shared" si="7"/>
        <v>12.593158206430674</v>
      </c>
      <c r="F34" s="11">
        <f t="shared" si="8"/>
        <v>0.59230751010583216</v>
      </c>
      <c r="G34" s="12">
        <f t="shared" si="9"/>
        <v>629216.59418867133</v>
      </c>
      <c r="H34" s="12">
        <f t="shared" si="9"/>
        <v>1168313.1605513548</v>
      </c>
      <c r="I34" s="17">
        <f t="shared" si="10"/>
        <v>0.68924405543876688</v>
      </c>
      <c r="J34" s="17">
        <f t="shared" si="10"/>
        <v>1.7340403639350077</v>
      </c>
      <c r="K34" s="18">
        <f t="shared" si="11"/>
        <v>0.75466515144603252</v>
      </c>
      <c r="L34" s="18">
        <f t="shared" si="11"/>
        <v>0.95854453921198546</v>
      </c>
      <c r="M34" s="30">
        <f>Data!J230</f>
        <v>7.3700003E-2</v>
      </c>
      <c r="N34" s="30">
        <f>Data!J347 - M34</f>
        <v>0.19239998699999999</v>
      </c>
      <c r="O34" s="30">
        <f t="shared" si="0"/>
        <v>0.73390001000000005</v>
      </c>
      <c r="P34" s="30">
        <f>Data!O230</f>
        <v>5.7599998999999999E-2</v>
      </c>
      <c r="Q34" s="30">
        <f>Data!O347 - P34</f>
        <v>0.17240000100000002</v>
      </c>
      <c r="R34" s="30">
        <f t="shared" si="12"/>
        <v>0.77</v>
      </c>
      <c r="S34" s="19">
        <f t="shared" si="1"/>
        <v>0.75466515144603252</v>
      </c>
      <c r="T34" s="19">
        <f t="shared" si="2"/>
        <v>0.20387938776595294</v>
      </c>
      <c r="U34" s="19">
        <f t="shared" si="3"/>
        <v>4.1455460788014542E-2</v>
      </c>
      <c r="V34" s="30">
        <f t="shared" si="13"/>
        <v>0.24533484855396748</v>
      </c>
      <c r="W34" s="11">
        <f t="shared" si="4"/>
        <v>0.32465571664847248</v>
      </c>
      <c r="X34" s="30">
        <f t="shared" si="5"/>
        <v>0.77781169474560241</v>
      </c>
      <c r="Y34" s="30">
        <f t="shared" si="6"/>
        <v>-5.6304861868287204E-2</v>
      </c>
      <c r="Z34" s="30">
        <f t="shared" si="14"/>
        <v>-2.7515702038505285E-2</v>
      </c>
      <c r="AA34" s="30">
        <f t="shared" si="15"/>
        <v>0.38944298061337945</v>
      </c>
      <c r="AB34" s="30">
        <f t="shared" si="16"/>
        <v>-0.15440200753442646</v>
      </c>
      <c r="AC34" s="30">
        <f t="shared" si="17"/>
        <v>2.0320069801267548E-2</v>
      </c>
    </row>
    <row r="35" spans="1:29" x14ac:dyDescent="0.5">
      <c r="A35" s="10">
        <v>2012</v>
      </c>
      <c r="B35" s="12">
        <f>'Minimum Deflation Total'!C35</f>
        <v>150996.05130004746</v>
      </c>
      <c r="C35" s="12">
        <f>Data!AF555</f>
        <v>350870.41</v>
      </c>
      <c r="D35" s="12">
        <f>Data!AA114</f>
        <v>5152344</v>
      </c>
      <c r="E35" s="11">
        <f t="shared" si="7"/>
        <v>12.595108750742034</v>
      </c>
      <c r="F35" s="11">
        <f t="shared" si="8"/>
        <v>0.58832555826655142</v>
      </c>
      <c r="G35" s="12">
        <f t="shared" si="9"/>
        <v>627236.09198925609</v>
      </c>
      <c r="H35" s="12">
        <f t="shared" si="9"/>
        <v>1159800.612414968</v>
      </c>
      <c r="I35" s="17">
        <f t="shared" si="10"/>
        <v>0.69322600727805028</v>
      </c>
      <c r="J35" s="17">
        <f t="shared" si="10"/>
        <v>1.7380223157742902</v>
      </c>
      <c r="K35" s="18">
        <f t="shared" si="11"/>
        <v>0.7559161352669429</v>
      </c>
      <c r="L35" s="18">
        <f t="shared" si="11"/>
        <v>0.95889655913754868</v>
      </c>
      <c r="M35" s="30">
        <f>Data!J231</f>
        <v>7.3399997999999994E-2</v>
      </c>
      <c r="N35" s="30">
        <f>Data!J348 - M35</f>
        <v>0.19109999200000002</v>
      </c>
      <c r="O35" s="30">
        <f t="shared" si="0"/>
        <v>0.73550000999999998</v>
      </c>
      <c r="P35" s="30">
        <f>Data!O231</f>
        <v>5.5799998000000003E-2</v>
      </c>
      <c r="Q35" s="30">
        <f>Data!O348 - P35</f>
        <v>0.17110000199999997</v>
      </c>
      <c r="R35" s="30">
        <f t="shared" si="12"/>
        <v>0.77310000000000001</v>
      </c>
      <c r="S35" s="19">
        <f t="shared" si="1"/>
        <v>0.7559161352669429</v>
      </c>
      <c r="T35" s="19">
        <f t="shared" si="2"/>
        <v>0.20298042387060578</v>
      </c>
      <c r="U35" s="19">
        <f t="shared" si="3"/>
        <v>4.1103440862451324E-2</v>
      </c>
      <c r="V35" s="30">
        <f t="shared" si="13"/>
        <v>0.2440838647330571</v>
      </c>
      <c r="W35" s="11">
        <f t="shared" si="4"/>
        <v>0.32259657649872553</v>
      </c>
      <c r="X35" s="30">
        <f t="shared" si="5"/>
        <v>0.78573852845132763</v>
      </c>
      <c r="Y35" s="30">
        <f t="shared" si="6"/>
        <v>-5.8529939213148863E-2</v>
      </c>
      <c r="Z35" s="30">
        <f t="shared" si="14"/>
        <v>-2.7008452809031747E-2</v>
      </c>
      <c r="AA35" s="30">
        <f t="shared" si="15"/>
        <v>0.35755053176032825</v>
      </c>
      <c r="AB35" s="30">
        <f t="shared" si="16"/>
        <v>-0.15706155925129339</v>
      </c>
      <c r="AC35" s="30">
        <f t="shared" si="17"/>
        <v>2.2732501571737007E-2</v>
      </c>
    </row>
    <row r="36" spans="1:29" x14ac:dyDescent="0.5">
      <c r="A36">
        <v>2013</v>
      </c>
      <c r="B36" s="12">
        <f>'Minimum Deflation Total'!C36</f>
        <v>154015.97232604842</v>
      </c>
      <c r="C36" s="12">
        <f>Data!AF556</f>
        <v>354617</v>
      </c>
      <c r="D36" s="12">
        <f>Data!AA115</f>
        <v>5255604</v>
      </c>
      <c r="E36" s="11">
        <f t="shared" si="7"/>
        <v>12.605726155258839</v>
      </c>
      <c r="F36" s="11">
        <f t="shared" si="8"/>
        <v>0.58833231690365684</v>
      </c>
      <c r="G36" s="12">
        <f t="shared" si="9"/>
        <v>633936.68154211226</v>
      </c>
      <c r="H36" s="12">
        <f t="shared" si="9"/>
        <v>1172198.7186603432</v>
      </c>
      <c r="I36" s="17">
        <f t="shared" si="10"/>
        <v>0.69321924864094353</v>
      </c>
      <c r="J36" s="17">
        <f t="shared" si="10"/>
        <v>1.738015557137182</v>
      </c>
      <c r="K36" s="18">
        <f t="shared" si="11"/>
        <v>0.75591401486870491</v>
      </c>
      <c r="L36" s="18">
        <f t="shared" si="11"/>
        <v>0.95889596370798991</v>
      </c>
      <c r="M36" s="30">
        <f>Data!J232</f>
        <v>7.4000000999999996E-2</v>
      </c>
      <c r="N36" s="30">
        <f>Data!J349 - M36</f>
        <v>0.19109999900000002</v>
      </c>
      <c r="O36" s="30">
        <f t="shared" si="0"/>
        <v>0.7349</v>
      </c>
      <c r="P36" s="30">
        <f>Data!O232</f>
        <v>5.5399998999999998E-2</v>
      </c>
      <c r="Q36" s="30">
        <f>Data!O349 - P36</f>
        <v>0.17129999099999998</v>
      </c>
      <c r="R36" s="30">
        <f t="shared" si="12"/>
        <v>0.77330001000000004</v>
      </c>
      <c r="S36" s="19">
        <f t="shared" si="1"/>
        <v>0.75591401486870491</v>
      </c>
      <c r="T36" s="19">
        <f t="shared" si="2"/>
        <v>0.202981948839285</v>
      </c>
      <c r="U36" s="19">
        <f t="shared" si="3"/>
        <v>4.1104036292010093E-2</v>
      </c>
      <c r="V36" s="30">
        <f t="shared" si="13"/>
        <v>0.24408598513129509</v>
      </c>
      <c r="W36" s="11">
        <f t="shared" si="4"/>
        <v>0.32260007356209996</v>
      </c>
      <c r="X36" s="30">
        <f t="shared" si="5"/>
        <v>0.80030983999457739</v>
      </c>
      <c r="Y36" s="30">
        <f t="shared" si="6"/>
        <v>-5.8536977830933812E-2</v>
      </c>
      <c r="Z36" s="30">
        <f t="shared" si="14"/>
        <v>-2.7799477791604188E-2</v>
      </c>
      <c r="AA36" s="30">
        <f t="shared" si="15"/>
        <v>0.34779948631878743</v>
      </c>
      <c r="AB36" s="30">
        <f t="shared" si="16"/>
        <v>-0.15608263700517444</v>
      </c>
      <c r="AC36" s="30">
        <f t="shared" si="17"/>
        <v>2.2999964002936135E-2</v>
      </c>
    </row>
    <row r="37" spans="1:29" x14ac:dyDescent="0.5">
      <c r="A37" s="10">
        <v>2014</v>
      </c>
      <c r="B37" s="12">
        <f>'Minimum Deflation Total'!C37</f>
        <v>157096.29177256938</v>
      </c>
      <c r="C37" s="12">
        <f>Data!AF557</f>
        <v>367348.81</v>
      </c>
      <c r="D37" s="12">
        <f>Data!AA116</f>
        <v>6542983.5</v>
      </c>
      <c r="E37" s="11">
        <f t="shared" si="7"/>
        <v>12.62090598851972</v>
      </c>
      <c r="F37" s="11">
        <f t="shared" si="8"/>
        <v>0.62154826539216879</v>
      </c>
      <c r="G37" s="12">
        <f t="shared" si="9"/>
        <v>671622.79241487535</v>
      </c>
      <c r="H37" s="12">
        <f t="shared" si="9"/>
        <v>1285738.0563269441</v>
      </c>
      <c r="I37" s="17">
        <f t="shared" si="10"/>
        <v>0.66000330015243014</v>
      </c>
      <c r="J37" s="17">
        <f t="shared" si="10"/>
        <v>1.7047996086486721</v>
      </c>
      <c r="K37" s="18">
        <f t="shared" si="11"/>
        <v>0.74537414422697246</v>
      </c>
      <c r="L37" s="18">
        <f t="shared" si="11"/>
        <v>0.95588409772574434</v>
      </c>
      <c r="M37" s="30">
        <f>Data!J233</f>
        <v>8.7899997999999993E-2</v>
      </c>
      <c r="N37" s="30">
        <f>Data!J350 - M37</f>
        <v>0.19280000200000003</v>
      </c>
      <c r="O37" s="30">
        <f t="shared" si="0"/>
        <v>0.71929999999999994</v>
      </c>
      <c r="P37" s="30">
        <f>Data!O233</f>
        <v>6.1199999999999997E-2</v>
      </c>
      <c r="Q37" s="30">
        <f>Data!O350 - P37</f>
        <v>0.17429998999999999</v>
      </c>
      <c r="R37" s="30">
        <f t="shared" si="12"/>
        <v>0.76450001000000001</v>
      </c>
      <c r="S37" s="19">
        <f t="shared" si="1"/>
        <v>0.74537414422697246</v>
      </c>
      <c r="T37" s="19">
        <f t="shared" si="2"/>
        <v>0.21050995349877188</v>
      </c>
      <c r="U37" s="19">
        <f t="shared" si="3"/>
        <v>4.4115902274255658E-2</v>
      </c>
      <c r="V37" s="30">
        <f t="shared" si="13"/>
        <v>0.25462585577302754</v>
      </c>
      <c r="W37" s="11">
        <f t="shared" si="4"/>
        <v>0.33970143754425131</v>
      </c>
      <c r="X37" s="30">
        <f t="shared" si="5"/>
        <v>0.99247875411345832</v>
      </c>
      <c r="Y37" s="30">
        <f t="shared" si="6"/>
        <v>-8.4128808184241843E-2</v>
      </c>
      <c r="Z37" s="30">
        <f t="shared" si="14"/>
        <v>-3.4981283465385093E-2</v>
      </c>
      <c r="AA37" s="30">
        <f t="shared" si="15"/>
        <v>0.38725486377990181</v>
      </c>
      <c r="AB37" s="30">
        <f t="shared" si="16"/>
        <v>-0.17201069544192904</v>
      </c>
      <c r="AC37" s="30">
        <f t="shared" si="17"/>
        <v>2.5659416711942606E-2</v>
      </c>
    </row>
    <row r="38" spans="1:29" x14ac:dyDescent="0.5">
      <c r="A38">
        <v>2015</v>
      </c>
      <c r="B38" s="12">
        <f>'Minimum Deflation Total'!C38</f>
        <v>160238.21760802079</v>
      </c>
      <c r="C38" s="12">
        <f>Data!AF558</f>
        <v>384215.31</v>
      </c>
      <c r="D38" s="12">
        <f>Data!AA117</f>
        <v>6670439</v>
      </c>
      <c r="E38" s="11">
        <f t="shared" si="7"/>
        <v>12.665850103837366</v>
      </c>
      <c r="F38" s="11">
        <f t="shared" si="8"/>
        <v>0.62146323096742473</v>
      </c>
      <c r="G38" s="12">
        <f t="shared" si="9"/>
        <v>702420.34117271355</v>
      </c>
      <c r="H38" s="12">
        <f t="shared" si="9"/>
        <v>1344576.6592588003</v>
      </c>
      <c r="I38" s="17">
        <f t="shared" si="10"/>
        <v>0.66008833457717619</v>
      </c>
      <c r="J38" s="17">
        <f t="shared" si="10"/>
        <v>1.7048846430734159</v>
      </c>
      <c r="K38" s="18">
        <f t="shared" si="11"/>
        <v>0.7454014278708595</v>
      </c>
      <c r="L38" s="18">
        <f t="shared" si="11"/>
        <v>0.95589202948057916</v>
      </c>
      <c r="M38" s="30">
        <f>Data!J234</f>
        <v>8.5800000000000001E-2</v>
      </c>
      <c r="N38" s="30">
        <f>Data!J351 - M38</f>
        <v>0.19550001</v>
      </c>
      <c r="O38" s="30">
        <f t="shared" si="0"/>
        <v>0.71869999000000007</v>
      </c>
      <c r="P38" s="30">
        <f>Data!O234</f>
        <v>6.0600001000000001E-2</v>
      </c>
      <c r="Q38" s="30">
        <f>Data!O351 - P38</f>
        <v>0.17599999900000002</v>
      </c>
      <c r="R38" s="30">
        <f t="shared" si="12"/>
        <v>0.76339999999999997</v>
      </c>
      <c r="S38" s="19">
        <f t="shared" si="1"/>
        <v>0.7454014278708595</v>
      </c>
      <c r="T38" s="19">
        <f t="shared" si="2"/>
        <v>0.21049060160971966</v>
      </c>
      <c r="U38" s="19">
        <f t="shared" si="3"/>
        <v>4.4107970519420836E-2</v>
      </c>
      <c r="V38" s="30">
        <f t="shared" si="13"/>
        <v>0.2545985721291405</v>
      </c>
      <c r="W38" s="11">
        <f t="shared" si="4"/>
        <v>0.33965787821587057</v>
      </c>
      <c r="X38" s="30">
        <f t="shared" si="5"/>
        <v>0.94522665608072076</v>
      </c>
      <c r="Y38" s="30">
        <f t="shared" si="6"/>
        <v>-7.1217391632118598E-2</v>
      </c>
      <c r="Z38" s="30">
        <f t="shared" si="14"/>
        <v>-3.5821554497324382E-2</v>
      </c>
      <c r="AA38" s="30">
        <f t="shared" si="15"/>
        <v>0.37390136717620437</v>
      </c>
      <c r="AB38" s="30">
        <f t="shared" si="16"/>
        <v>-0.163858159680071</v>
      </c>
      <c r="AC38" s="30">
        <f t="shared" si="17"/>
        <v>2.4146146567697091E-2</v>
      </c>
    </row>
    <row r="39" spans="1:29" x14ac:dyDescent="0.5">
      <c r="A39" s="10">
        <v>2016</v>
      </c>
      <c r="B39" s="12">
        <v>20000</v>
      </c>
      <c r="C39" s="12">
        <f>Data!AF559</f>
        <v>390957.31</v>
      </c>
      <c r="D39" s="12">
        <v>2000000</v>
      </c>
      <c r="E39" s="34">
        <f t="shared" si="7"/>
        <v>12.581803756394505</v>
      </c>
      <c r="F39" s="97">
        <f t="shared" si="8"/>
        <v>0.76752836433134863</v>
      </c>
      <c r="G39" s="12">
        <f t="shared" si="9"/>
        <v>778738.77379179955</v>
      </c>
      <c r="H39" s="12">
        <f t="shared" si="9"/>
        <v>1736429.8187850767</v>
      </c>
      <c r="I39" s="17">
        <f t="shared" si="10"/>
        <v>0.51402320121325051</v>
      </c>
      <c r="J39" s="17">
        <f>(LN(H39)-($E39+$F39^2))/$F39</f>
        <v>1.558819509709491</v>
      </c>
      <c r="K39" s="18">
        <f t="shared" si="11"/>
        <v>0.69638211518735083</v>
      </c>
      <c r="L39" s="18">
        <f t="shared" si="11"/>
        <v>0.94048044738520931</v>
      </c>
      <c r="M39" s="30">
        <f>Data!J235</f>
        <v>8.2500003000000002E-2</v>
      </c>
      <c r="N39" s="30">
        <f>Data!J352 - M39</f>
        <v>0.19419998700000002</v>
      </c>
      <c r="O39" s="30">
        <f t="shared" si="0"/>
        <v>0.72330000999999999</v>
      </c>
      <c r="P39" s="30">
        <f>Data!O235</f>
        <v>5.6699999000000001E-2</v>
      </c>
      <c r="Q39" s="30">
        <f>Data!O352 - P39</f>
        <v>0.17470000099999999</v>
      </c>
      <c r="R39" s="30">
        <f t="shared" si="12"/>
        <v>0.76860000000000006</v>
      </c>
      <c r="S39" s="19">
        <f t="shared" si="1"/>
        <v>0.69638211518735083</v>
      </c>
      <c r="T39" s="19">
        <f t="shared" si="2"/>
        <v>0.24409833219785848</v>
      </c>
      <c r="U39" s="19">
        <f t="shared" si="3"/>
        <v>5.9519552614790694E-2</v>
      </c>
      <c r="V39" s="30">
        <f t="shared" si="13"/>
        <v>0.30361788481264917</v>
      </c>
      <c r="W39" s="11">
        <f t="shared" si="4"/>
        <v>0.4126805047503519</v>
      </c>
      <c r="X39" s="30">
        <f t="shared" si="5"/>
        <v>0.38609917876799749</v>
      </c>
      <c r="Y39" s="30">
        <f t="shared" si="6"/>
        <v>-0.20441903370897441</v>
      </c>
      <c r="Z39" s="30">
        <f t="shared" si="14"/>
        <v>3.8653914604638073E-2</v>
      </c>
      <c r="AA39" s="30">
        <f t="shared" si="15"/>
        <v>-4.7371888579855193E-2</v>
      </c>
      <c r="AB39" s="30">
        <f t="shared" si="16"/>
        <v>-0.28430481508413741</v>
      </c>
      <c r="AC39" s="30">
        <f t="shared" si="17"/>
        <v>0.10370439337492199</v>
      </c>
    </row>
    <row r="40" spans="1:29" x14ac:dyDescent="0.5">
      <c r="A40" s="10">
        <v>2017</v>
      </c>
      <c r="B40" s="12">
        <f>'Minimum Deflation Total'!C40</f>
        <v>166711.84159938485</v>
      </c>
      <c r="C40" s="12">
        <f>Data!AF560</f>
        <v>395254.09</v>
      </c>
      <c r="D40" s="12">
        <f>Data!AA119</f>
        <v>0</v>
      </c>
      <c r="E40" s="11"/>
      <c r="F40" s="11"/>
    </row>
    <row r="41" spans="1:29" x14ac:dyDescent="0.5">
      <c r="A41">
        <v>2018</v>
      </c>
      <c r="B41" s="12">
        <f>'Minimum Deflation Total'!C41</f>
        <v>170046.07843137256</v>
      </c>
      <c r="C41" s="12">
        <f>Data!AF561</f>
        <v>401710.5</v>
      </c>
      <c r="D41" s="12">
        <f>Data!AA120</f>
        <v>0</v>
      </c>
      <c r="E41" s="11"/>
      <c r="F41" s="11"/>
    </row>
    <row r="42" spans="1:29" x14ac:dyDescent="0.5">
      <c r="A42" s="10">
        <v>2019</v>
      </c>
      <c r="B42" s="12">
        <f>'Minimum Deflation Total'!C42</f>
        <v>173447</v>
      </c>
      <c r="C42" s="12">
        <f>Data!AF562</f>
        <v>0</v>
      </c>
      <c r="D42" s="12">
        <f>Data!AA121</f>
        <v>0</v>
      </c>
      <c r="E42" s="11"/>
    </row>
  </sheetData>
  <mergeCells count="8">
    <mergeCell ref="M1:R1"/>
    <mergeCell ref="S1:W1"/>
    <mergeCell ref="A1:A2"/>
    <mergeCell ref="B1:D1"/>
    <mergeCell ref="E1:F1"/>
    <mergeCell ref="G1:H1"/>
    <mergeCell ref="I1:J1"/>
    <mergeCell ref="K1:L1"/>
  </mergeCells>
  <hyperlinks>
    <hyperlink ref="H1" location="Index" display="Back to Index" xr:uid="{2FC7ED4D-30CE-49A8-8BFA-4A7CBD6213E2}"/>
  </hyperlinks>
  <pageMargins left="0.7" right="0.7" top="0.75" bottom="0.75" header="0.3" footer="0.3"/>
  <pageSetup orientation="portrait" horizontalDpi="4294967293"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B0432-9A87-41F9-9AE5-799B2B92E671}">
  <sheetPr codeName="Sheet9"/>
  <dimension ref="A1:I50"/>
  <sheetViews>
    <sheetView topLeftCell="A7" workbookViewId="0">
      <selection activeCell="K11" sqref="K11"/>
    </sheetView>
  </sheetViews>
  <sheetFormatPr defaultRowHeight="15.75" x14ac:dyDescent="0.5"/>
  <cols>
    <col min="1" max="1" width="14.25" customWidth="1"/>
    <col min="3" max="3" width="10.75" customWidth="1"/>
    <col min="4" max="4" width="17.5" customWidth="1"/>
    <col min="5" max="5" width="16.875" style="32" customWidth="1"/>
    <col min="6" max="6" width="13.625" customWidth="1"/>
    <col min="7" max="7" width="16.25" customWidth="1"/>
    <col min="8" max="8" width="18.625" customWidth="1"/>
    <col min="9" max="9" width="17.875" customWidth="1"/>
    <col min="29" max="29" width="20" customWidth="1"/>
    <col min="30" max="30" width="24.125" customWidth="1"/>
    <col min="31" max="31" width="12.875" customWidth="1"/>
    <col min="32" max="32" width="12.75" customWidth="1"/>
    <col min="33" max="33" width="36.125" customWidth="1"/>
  </cols>
  <sheetData>
    <row r="1" spans="1:9" x14ac:dyDescent="0.5">
      <c r="B1" t="s">
        <v>2</v>
      </c>
      <c r="C1" t="s">
        <v>139</v>
      </c>
      <c r="D1" t="s">
        <v>141</v>
      </c>
      <c r="E1" s="32" t="s">
        <v>142</v>
      </c>
      <c r="F1" t="s">
        <v>152</v>
      </c>
      <c r="G1" t="s">
        <v>153</v>
      </c>
      <c r="H1" s="5" t="s">
        <v>543</v>
      </c>
      <c r="I1" t="s">
        <v>154</v>
      </c>
    </row>
    <row r="2" spans="1:9" x14ac:dyDescent="0.5">
      <c r="A2" t="s">
        <v>143</v>
      </c>
      <c r="B2">
        <v>5.58</v>
      </c>
      <c r="C2">
        <v>23.66</v>
      </c>
      <c r="D2">
        <v>43.38</v>
      </c>
      <c r="E2" s="32">
        <v>27.38</v>
      </c>
      <c r="F2">
        <f>B2/(B2+C2+D2+E2)</f>
        <v>5.5800000000000002E-2</v>
      </c>
      <c r="G2">
        <f>C2/(B2+C2+D2+E2)</f>
        <v>0.2366</v>
      </c>
      <c r="H2">
        <f>D2/(B2+C2+D2+E2)</f>
        <v>0.43380000000000002</v>
      </c>
      <c r="I2">
        <f>E2/(B2+C2+D2+E2)</f>
        <v>0.27379999999999999</v>
      </c>
    </row>
    <row r="3" spans="1:9" x14ac:dyDescent="0.5">
      <c r="A3">
        <v>2017</v>
      </c>
      <c r="B3">
        <f>B2+B2*(1-0.57)*(0.4)*(1.09)*(1-0.3)</f>
        <v>6.3122968799999999</v>
      </c>
      <c r="C3">
        <f>C2+C2*(1-0.52)*(0.2)*(1.09)*(1-0.3)</f>
        <v>25.393047679999999</v>
      </c>
      <c r="D3">
        <f>D2+D2*(1-0.52)*(0.1)*(1.09)*(1-0.3)</f>
        <v>44.968749120000005</v>
      </c>
      <c r="E3" s="32">
        <f>E2</f>
        <v>27.38</v>
      </c>
      <c r="F3">
        <f>B3/(B3+C3+D3+E3)</f>
        <v>6.0663609251283813E-2</v>
      </c>
      <c r="G3">
        <f t="shared" ref="G3:G21" si="0">C3/(B3+C3+D3+E3)</f>
        <v>0.24403698866564383</v>
      </c>
      <c r="H3">
        <f t="shared" ref="H3:H21" si="1">D3/(B3+C3+D3+E3)</f>
        <v>0.43216703475687807</v>
      </c>
      <c r="I3">
        <f t="shared" ref="I3:I21" si="2">E3/(B3+C3+D3+E3)</f>
        <v>0.26313236732619438</v>
      </c>
    </row>
    <row r="4" spans="1:9" x14ac:dyDescent="0.5">
      <c r="A4">
        <v>2018</v>
      </c>
      <c r="B4">
        <f>B3+B3*(1-0.57)*(0.4)*(1.09)*(1-0.3)</f>
        <v>7.1406974733436801</v>
      </c>
      <c r="C4">
        <f t="shared" ref="C4:C21" si="3">C3+C3*(1-0.52)*(0.2)*(1.09)*(1-0.3)</f>
        <v>27.25303763646464</v>
      </c>
      <c r="D4">
        <f t="shared" ref="D4:D21" si="4">D3+D3*(1-0.52)*(0.1)*(1.09)*(1-0.3)</f>
        <v>46.615684587770886</v>
      </c>
      <c r="E4" s="32">
        <f t="shared" ref="E4:E21" si="5">E3</f>
        <v>27.38</v>
      </c>
      <c r="F4">
        <f t="shared" ref="F4:F21" si="6">B4/(B4+C4+D4+E4)</f>
        <v>6.5880023098815077E-2</v>
      </c>
      <c r="G4">
        <f t="shared" si="0"/>
        <v>0.25143632757241635</v>
      </c>
      <c r="H4">
        <f t="shared" si="1"/>
        <v>0.43007596791121128</v>
      </c>
      <c r="I4">
        <f t="shared" si="2"/>
        <v>0.25260768141755735</v>
      </c>
    </row>
    <row r="5" spans="1:9" x14ac:dyDescent="0.5">
      <c r="A5">
        <v>2019</v>
      </c>
      <c r="B5">
        <f t="shared" ref="B5:B21" si="7">B4+B4*(1-0.57)*(0.4)*(1.09)*(1-0.3)</f>
        <v>8.0778140469554121</v>
      </c>
      <c r="C5">
        <f t="shared" si="3"/>
        <v>29.249268137260401</v>
      </c>
      <c r="D5">
        <f t="shared" si="4"/>
        <v>48.322937420113405</v>
      </c>
      <c r="E5" s="32">
        <f t="shared" si="5"/>
        <v>27.38</v>
      </c>
      <c r="F5">
        <f t="shared" si="6"/>
        <v>7.1466094363536861E-2</v>
      </c>
      <c r="G5">
        <f t="shared" si="0"/>
        <v>0.25877433481520967</v>
      </c>
      <c r="H5">
        <f t="shared" si="1"/>
        <v>0.42752303847483863</v>
      </c>
      <c r="I5">
        <f t="shared" si="2"/>
        <v>0.24223653234641487</v>
      </c>
    </row>
    <row r="6" spans="1:9" x14ac:dyDescent="0.5">
      <c r="A6">
        <v>2020</v>
      </c>
      <c r="B6">
        <f t="shared" si="7"/>
        <v>9.137914051221653</v>
      </c>
      <c r="C6">
        <f t="shared" si="3"/>
        <v>31.391718529778451</v>
      </c>
      <c r="D6">
        <f t="shared" si="4"/>
        <v>50.092716680187635</v>
      </c>
      <c r="E6" s="32">
        <f t="shared" si="5"/>
        <v>27.38</v>
      </c>
      <c r="F6">
        <f t="shared" si="6"/>
        <v>7.7438407865895037E-2</v>
      </c>
      <c r="G6">
        <f t="shared" si="0"/>
        <v>0.26602621665010812</v>
      </c>
      <c r="H6">
        <f t="shared" si="1"/>
        <v>0.4245060966482273</v>
      </c>
      <c r="I6">
        <f t="shared" si="2"/>
        <v>0.2320292788357696</v>
      </c>
    </row>
    <row r="7" spans="1:9" x14ac:dyDescent="0.5">
      <c r="A7">
        <v>2021</v>
      </c>
      <c r="B7">
        <f t="shared" si="7"/>
        <v>10.337137339647779</v>
      </c>
      <c r="C7">
        <f t="shared" si="3"/>
        <v>33.691099128647664</v>
      </c>
      <c r="D7">
        <f t="shared" si="4"/>
        <v>51.927312335882824</v>
      </c>
      <c r="E7" s="32">
        <f t="shared" si="5"/>
        <v>27.38</v>
      </c>
      <c r="F7">
        <f t="shared" si="6"/>
        <v>8.3813121519896977E-2</v>
      </c>
      <c r="G7">
        <f t="shared" si="0"/>
        <v>0.27316616705650321</v>
      </c>
      <c r="H7">
        <f t="shared" si="1"/>
        <v>0.42102469919948715</v>
      </c>
      <c r="I7">
        <f t="shared" si="2"/>
        <v>0.22199601222411261</v>
      </c>
    </row>
    <row r="8" spans="1:9" x14ac:dyDescent="0.5">
      <c r="A8">
        <v>2022</v>
      </c>
      <c r="B8">
        <f t="shared" si="7"/>
        <v>11.693741895553794</v>
      </c>
      <c r="C8">
        <f t="shared" si="3"/>
        <v>36.15890475762285</v>
      </c>
      <c r="D8">
        <f t="shared" si="4"/>
        <v>53.829098222872197</v>
      </c>
      <c r="E8" s="32">
        <f t="shared" si="5"/>
        <v>27.38</v>
      </c>
      <c r="F8">
        <f t="shared" si="6"/>
        <v>9.0605794201717077E-2</v>
      </c>
      <c r="G8">
        <f t="shared" si="0"/>
        <v>0.28016748721590534</v>
      </c>
      <c r="H8">
        <f t="shared" si="1"/>
        <v>0.41708019889681308</v>
      </c>
      <c r="I8">
        <f t="shared" si="2"/>
        <v>0.2121465196855645</v>
      </c>
    </row>
    <row r="9" spans="1:9" x14ac:dyDescent="0.5">
      <c r="A9">
        <v>2023</v>
      </c>
      <c r="B9">
        <f t="shared" si="7"/>
        <v>13.228381806958691</v>
      </c>
      <c r="C9">
        <f t="shared" si="3"/>
        <v>38.807472213309211</v>
      </c>
      <c r="D9">
        <f t="shared" si="4"/>
        <v>55.800535116186666</v>
      </c>
      <c r="E9" s="32">
        <f t="shared" si="5"/>
        <v>27.38</v>
      </c>
      <c r="F9">
        <f t="shared" si="6"/>
        <v>9.7831201464854786E-2</v>
      </c>
      <c r="G9">
        <f t="shared" si="0"/>
        <v>0.28700272549170336</v>
      </c>
      <c r="H9">
        <f t="shared" si="1"/>
        <v>0.41267582629998467</v>
      </c>
      <c r="I9">
        <f t="shared" si="2"/>
        <v>0.20249024674345709</v>
      </c>
    </row>
    <row r="10" spans="1:9" x14ac:dyDescent="0.5">
      <c r="A10">
        <v>2024</v>
      </c>
      <c r="B10">
        <f t="shared" si="7"/>
        <v>14.964421721776722</v>
      </c>
      <c r="C10">
        <f t="shared" si="3"/>
        <v>41.650041937989684</v>
      </c>
      <c r="D10">
        <f t="shared" si="4"/>
        <v>57.844173914281889</v>
      </c>
      <c r="E10" s="32">
        <f t="shared" si="5"/>
        <v>27.38</v>
      </c>
      <c r="F10">
        <f t="shared" si="6"/>
        <v>0.10550314059499051</v>
      </c>
      <c r="G10">
        <f t="shared" si="0"/>
        <v>0.29364383816959505</v>
      </c>
      <c r="H10">
        <f t="shared" si="1"/>
        <v>0.40781676208701417</v>
      </c>
      <c r="I10">
        <f t="shared" si="2"/>
        <v>0.19303625914840017</v>
      </c>
    </row>
    <row r="11" spans="1:9" x14ac:dyDescent="0.5">
      <c r="A11">
        <v>2025</v>
      </c>
      <c r="B11">
        <f t="shared" si="7"/>
        <v>16.928292570855813</v>
      </c>
      <c r="C11">
        <f t="shared" si="3"/>
        <v>44.700824209863555</v>
      </c>
      <c r="D11">
        <f t="shared" si="4"/>
        <v>59.962658939718551</v>
      </c>
      <c r="E11" s="32">
        <f t="shared" si="5"/>
        <v>27.38</v>
      </c>
      <c r="F11">
        <f t="shared" si="6"/>
        <v>0.11363422694661056</v>
      </c>
      <c r="G11">
        <f t="shared" si="0"/>
        <v>0.30006237083291276</v>
      </c>
      <c r="H11">
        <f t="shared" si="1"/>
        <v>0.40251019798706794</v>
      </c>
      <c r="I11">
        <f t="shared" si="2"/>
        <v>0.18379320423340867</v>
      </c>
    </row>
    <row r="12" spans="1:9" x14ac:dyDescent="0.5">
      <c r="A12">
        <v>2026</v>
      </c>
      <c r="B12">
        <f t="shared" si="7"/>
        <v>19.149893974684648</v>
      </c>
      <c r="C12">
        <f t="shared" si="3"/>
        <v>47.97507018158764</v>
      </c>
      <c r="D12">
        <f t="shared" si="4"/>
        <v>62.158731360726804</v>
      </c>
      <c r="E12" s="32">
        <f t="shared" si="5"/>
        <v>27.38</v>
      </c>
      <c r="F12">
        <f t="shared" si="6"/>
        <v>0.12223568396933897</v>
      </c>
      <c r="G12">
        <f t="shared" si="0"/>
        <v>0.30622965980259292</v>
      </c>
      <c r="H12">
        <f t="shared" si="1"/>
        <v>0.39676538431957359</v>
      </c>
      <c r="I12">
        <f t="shared" si="2"/>
        <v>0.17476927190849445</v>
      </c>
    </row>
    <row r="13" spans="1:9" x14ac:dyDescent="0.5">
      <c r="A13">
        <v>2027</v>
      </c>
      <c r="B13">
        <f t="shared" si="7"/>
        <v>21.663049460346365</v>
      </c>
      <c r="C13">
        <f t="shared" si="3"/>
        <v>51.489148122248572</v>
      </c>
      <c r="D13">
        <f t="shared" si="4"/>
        <v>64.435232738082064</v>
      </c>
      <c r="E13" s="32">
        <f t="shared" si="5"/>
        <v>27.38</v>
      </c>
      <c r="F13">
        <f t="shared" si="6"/>
        <v>0.13131712980093088</v>
      </c>
      <c r="G13">
        <f t="shared" si="0"/>
        <v>0.31211705257310374</v>
      </c>
      <c r="H13">
        <f t="shared" si="1"/>
        <v>0.39059366211153107</v>
      </c>
      <c r="I13">
        <f t="shared" si="2"/>
        <v>0.16597215551443423</v>
      </c>
    </row>
    <row r="14" spans="1:9" x14ac:dyDescent="0.5">
      <c r="A14">
        <v>2028</v>
      </c>
      <c r="B14">
        <f t="shared" si="7"/>
        <v>24.50602141932438</v>
      </c>
      <c r="C14">
        <f t="shared" si="3"/>
        <v>55.260625243907036</v>
      </c>
      <c r="D14">
        <f t="shared" si="4"/>
        <v>66.795108701881588</v>
      </c>
      <c r="E14" s="32">
        <f t="shared" si="5"/>
        <v>27.38</v>
      </c>
      <c r="F14">
        <f t="shared" si="6"/>
        <v>0.14088636375943739</v>
      </c>
      <c r="G14">
        <f t="shared" si="0"/>
        <v>0.31769614563169168</v>
      </c>
      <c r="H14">
        <f t="shared" si="1"/>
        <v>0.38400847779002284</v>
      </c>
      <c r="I14">
        <f t="shared" si="2"/>
        <v>0.157409012818848</v>
      </c>
    </row>
    <row r="15" spans="1:9" x14ac:dyDescent="0.5">
      <c r="A15">
        <v>2029</v>
      </c>
      <c r="B15">
        <f t="shared" si="7"/>
        <v>27.722093646310835</v>
      </c>
      <c r="C15">
        <f t="shared" si="3"/>
        <v>59.308355521772739</v>
      </c>
      <c r="D15">
        <f t="shared" si="4"/>
        <v>69.241412762979294</v>
      </c>
      <c r="E15" s="32">
        <f t="shared" si="5"/>
        <v>27.38</v>
      </c>
      <c r="F15">
        <f t="shared" si="6"/>
        <v>0.1509491564899943</v>
      </c>
      <c r="G15">
        <f t="shared" si="0"/>
        <v>0.32293903747099084</v>
      </c>
      <c r="H15">
        <f t="shared" si="1"/>
        <v>0.37702537853370827</v>
      </c>
      <c r="I15">
        <f t="shared" si="2"/>
        <v>0.14908642750530671</v>
      </c>
    </row>
    <row r="16" spans="1:9" x14ac:dyDescent="0.5">
      <c r="A16">
        <v>2030</v>
      </c>
      <c r="B16">
        <f t="shared" si="7"/>
        <v>31.360230328078085</v>
      </c>
      <c r="C16">
        <f t="shared" si="3"/>
        <v>63.652573947031549</v>
      </c>
      <c r="D16">
        <f t="shared" si="4"/>
        <v>71.777310264010652</v>
      </c>
      <c r="E16" s="32">
        <f t="shared" si="5"/>
        <v>27.38</v>
      </c>
      <c r="F16">
        <f t="shared" si="6"/>
        <v>0.16150904789088852</v>
      </c>
      <c r="G16">
        <f t="shared" si="0"/>
        <v>0.3278185940102909</v>
      </c>
      <c r="H16">
        <f t="shared" si="1"/>
        <v>0.3696619865234172</v>
      </c>
      <c r="I16">
        <f t="shared" si="2"/>
        <v>0.14101037157540344</v>
      </c>
    </row>
    <row r="17" spans="1:9" x14ac:dyDescent="0.5">
      <c r="A17">
        <v>2031</v>
      </c>
      <c r="B17">
        <f t="shared" si="7"/>
        <v>35.475821515413742</v>
      </c>
      <c r="C17">
        <f t="shared" si="3"/>
        <v>68.314997683503719</v>
      </c>
      <c r="D17">
        <f t="shared" si="4"/>
        <v>74.406082475119774</v>
      </c>
      <c r="E17" s="32">
        <f t="shared" si="5"/>
        <v>27.38</v>
      </c>
      <c r="F17">
        <f t="shared" si="6"/>
        <v>0.1725671572366832</v>
      </c>
      <c r="G17">
        <f t="shared" si="0"/>
        <v>0.33230872304819531</v>
      </c>
      <c r="H17">
        <f t="shared" si="1"/>
        <v>0.3619379505636196</v>
      </c>
      <c r="I17">
        <f t="shared" si="2"/>
        <v>0.13318616915150192</v>
      </c>
    </row>
    <row r="18" spans="1:9" x14ac:dyDescent="0.5">
      <c r="A18">
        <v>2032</v>
      </c>
      <c r="B18">
        <f t="shared" si="7"/>
        <v>40.131526427810584</v>
      </c>
      <c r="C18">
        <f t="shared" si="3"/>
        <v>73.318934633824995</v>
      </c>
      <c r="D18">
        <f t="shared" si="4"/>
        <v>77.131130839688566</v>
      </c>
      <c r="E18" s="32">
        <f t="shared" si="5"/>
        <v>27.38</v>
      </c>
      <c r="F18">
        <f t="shared" si="6"/>
        <v>0.18412201011074916</v>
      </c>
      <c r="G18">
        <f t="shared" si="0"/>
        <v>0.33638465380184063</v>
      </c>
      <c r="H18">
        <f t="shared" si="1"/>
        <v>0.35387487385670902</v>
      </c>
      <c r="I18">
        <f t="shared" si="2"/>
        <v>0.12561846223070122</v>
      </c>
    </row>
    <row r="19" spans="1:9" x14ac:dyDescent="0.5">
      <c r="A19">
        <v>2033</v>
      </c>
      <c r="B19">
        <f t="shared" si="7"/>
        <v>45.398227430090735</v>
      </c>
      <c r="C19">
        <f t="shared" si="3"/>
        <v>78.68939995788341</v>
      </c>
      <c r="D19">
        <f t="shared" si="4"/>
        <v>79.955981375561322</v>
      </c>
      <c r="E19" s="32">
        <f t="shared" si="5"/>
        <v>27.38</v>
      </c>
      <c r="F19">
        <f t="shared" si="6"/>
        <v>0.19616938683415761</v>
      </c>
      <c r="G19">
        <f t="shared" si="0"/>
        <v>0.34002321707067856</v>
      </c>
      <c r="H19">
        <f t="shared" si="1"/>
        <v>0.34549621710055917</v>
      </c>
      <c r="I19">
        <f t="shared" si="2"/>
        <v>0.11831117899460464</v>
      </c>
    </row>
    <row r="20" spans="1:9" x14ac:dyDescent="0.5">
      <c r="A20">
        <v>2034</v>
      </c>
      <c r="B20">
        <f t="shared" si="7"/>
        <v>51.356109205106122</v>
      </c>
      <c r="C20">
        <f t="shared" si="3"/>
        <v>84.45324112599846</v>
      </c>
      <c r="D20">
        <f t="shared" si="4"/>
        <v>82.884289237459882</v>
      </c>
      <c r="E20" s="32">
        <f t="shared" si="5"/>
        <v>27.38</v>
      </c>
      <c r="F20">
        <f t="shared" si="6"/>
        <v>0.20870219701365683</v>
      </c>
      <c r="G20">
        <f t="shared" si="0"/>
        <v>0.34320312112288209</v>
      </c>
      <c r="H20">
        <f t="shared" si="1"/>
        <v>0.3368271765426768</v>
      </c>
      <c r="I20">
        <f t="shared" si="2"/>
        <v>0.11126750532078428</v>
      </c>
    </row>
    <row r="21" spans="1:9" x14ac:dyDescent="0.5">
      <c r="A21">
        <v>2035</v>
      </c>
      <c r="B21">
        <f t="shared" si="7"/>
        <v>58.095879552747434</v>
      </c>
      <c r="C21">
        <f t="shared" si="3"/>
        <v>90.639272131995597</v>
      </c>
      <c r="D21">
        <f t="shared" si="4"/>
        <v>85.919843446492607</v>
      </c>
      <c r="E21" s="32">
        <f t="shared" si="5"/>
        <v>27.38</v>
      </c>
      <c r="F21">
        <f t="shared" si="6"/>
        <v>0.2217103846135175</v>
      </c>
      <c r="G21">
        <f t="shared" si="0"/>
        <v>0.34590521806677199</v>
      </c>
      <c r="H21">
        <f t="shared" si="1"/>
        <v>0.32789453715318123</v>
      </c>
      <c r="I21">
        <f t="shared" si="2"/>
        <v>0.10448986016652931</v>
      </c>
    </row>
    <row r="23" spans="1:9" x14ac:dyDescent="0.5">
      <c r="A23" t="s">
        <v>131</v>
      </c>
      <c r="B23" t="s">
        <v>140</v>
      </c>
    </row>
    <row r="24" spans="1:9" x14ac:dyDescent="0.5">
      <c r="B24" t="s">
        <v>138</v>
      </c>
    </row>
    <row r="26" spans="1:9" x14ac:dyDescent="0.5">
      <c r="B26" t="s">
        <v>132</v>
      </c>
    </row>
    <row r="27" spans="1:9" x14ac:dyDescent="0.5">
      <c r="B27" t="s">
        <v>133</v>
      </c>
    </row>
    <row r="28" spans="1:9" x14ac:dyDescent="0.5">
      <c r="B28" t="s">
        <v>134</v>
      </c>
    </row>
    <row r="29" spans="1:9" x14ac:dyDescent="0.5">
      <c r="B29" t="s">
        <v>135</v>
      </c>
    </row>
    <row r="30" spans="1:9" x14ac:dyDescent="0.5">
      <c r="B30" t="s">
        <v>136</v>
      </c>
    </row>
    <row r="31" spans="1:9" x14ac:dyDescent="0.5">
      <c r="B31" t="s">
        <v>137</v>
      </c>
    </row>
    <row r="45" spans="1:5" x14ac:dyDescent="0.5">
      <c r="B45" t="s">
        <v>2</v>
      </c>
      <c r="C45" t="s">
        <v>144</v>
      </c>
      <c r="D45" t="s">
        <v>147</v>
      </c>
      <c r="E45" s="32" t="s">
        <v>148</v>
      </c>
    </row>
    <row r="46" spans="1:5" x14ac:dyDescent="0.5">
      <c r="A46" t="s">
        <v>146</v>
      </c>
      <c r="B46">
        <v>5.58</v>
      </c>
      <c r="C46">
        <v>23.66</v>
      </c>
      <c r="D46">
        <v>43.38</v>
      </c>
      <c r="E46" s="32">
        <v>27.38</v>
      </c>
    </row>
    <row r="47" spans="1:5" x14ac:dyDescent="0.5">
      <c r="A47" t="s">
        <v>145</v>
      </c>
      <c r="B47">
        <v>0.56999999999999995</v>
      </c>
      <c r="C47">
        <v>0.52</v>
      </c>
      <c r="D47">
        <v>0.52</v>
      </c>
      <c r="E47" s="32">
        <v>0.32</v>
      </c>
    </row>
    <row r="48" spans="1:5" x14ac:dyDescent="0.5">
      <c r="A48" t="s">
        <v>149</v>
      </c>
      <c r="B48">
        <v>0.4</v>
      </c>
      <c r="C48">
        <v>0.2</v>
      </c>
      <c r="D48">
        <v>0.1</v>
      </c>
      <c r="E48" s="32">
        <v>0</v>
      </c>
    </row>
    <row r="49" spans="1:5" x14ac:dyDescent="0.5">
      <c r="A49" t="s">
        <v>150</v>
      </c>
      <c r="B49" s="31">
        <v>0.09</v>
      </c>
      <c r="C49" s="31">
        <v>0.09</v>
      </c>
      <c r="D49" s="31">
        <v>0.09</v>
      </c>
      <c r="E49" s="33">
        <v>0.09</v>
      </c>
    </row>
    <row r="50" spans="1:5" x14ac:dyDescent="0.5">
      <c r="A50" t="s">
        <v>151</v>
      </c>
      <c r="B50">
        <v>0.3</v>
      </c>
      <c r="C50">
        <v>0.3</v>
      </c>
      <c r="D50">
        <v>0.3</v>
      </c>
      <c r="E50" s="32">
        <v>0.3</v>
      </c>
    </row>
  </sheetData>
  <phoneticPr fontId="31" type="noConversion"/>
  <hyperlinks>
    <hyperlink ref="H1" location="Index" display="Back to Index" xr:uid="{AEED6910-BA9B-47F9-B00E-7F956A8F9190}"/>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99EEB-C375-45F6-9765-0FBBEFE838DF}">
  <sheetPr codeName="Sheet10"/>
  <dimension ref="A1:AH48"/>
  <sheetViews>
    <sheetView zoomScale="145" zoomScaleNormal="145" workbookViewId="0">
      <pane xSplit="1" ySplit="2" topLeftCell="B3" activePane="bottomRight" state="frozen"/>
      <selection pane="topRight" activeCell="B1" sqref="B1"/>
      <selection pane="bottomLeft" activeCell="A3" sqref="A3"/>
      <selection pane="bottomRight" activeCell="C23" sqref="C23"/>
    </sheetView>
  </sheetViews>
  <sheetFormatPr defaultRowHeight="15.75" x14ac:dyDescent="0.5"/>
  <cols>
    <col min="2" max="2" width="17" customWidth="1"/>
    <col min="3" max="3" width="25.125" customWidth="1"/>
    <col min="4" max="4" width="60.375" customWidth="1"/>
    <col min="5" max="5" width="27.625" customWidth="1"/>
    <col min="6" max="6" width="59.5" customWidth="1"/>
    <col min="7" max="7" width="15.375" customWidth="1"/>
    <col min="8" max="9" width="10.875" customWidth="1"/>
    <col min="10" max="10" width="22.75" customWidth="1"/>
    <col min="11" max="12" width="18.75" customWidth="1"/>
    <col min="13" max="13" width="15.25" customWidth="1"/>
    <col min="14" max="15" width="26" customWidth="1"/>
    <col min="16" max="16" width="21.125" customWidth="1"/>
    <col min="17" max="17" width="17.375" customWidth="1"/>
    <col min="18" max="22" width="19.625" customWidth="1"/>
    <col min="23" max="24" width="23.25" customWidth="1"/>
    <col min="25" max="25" width="14.125" customWidth="1"/>
    <col min="26" max="26" width="30.125" customWidth="1"/>
    <col min="27" max="27" width="14.875" customWidth="1"/>
    <col min="28" max="28" width="18.75" customWidth="1"/>
    <col min="29" max="29" width="18.5" customWidth="1"/>
    <col min="30" max="30" width="17.25" customWidth="1"/>
    <col min="31" max="31" width="13.625" customWidth="1"/>
    <col min="32" max="32" width="18.375" customWidth="1"/>
    <col min="33" max="33" width="24" customWidth="1"/>
    <col min="34" max="34" width="20.5" customWidth="1"/>
  </cols>
  <sheetData>
    <row r="1" spans="1:31" x14ac:dyDescent="0.5">
      <c r="A1" s="105" t="s">
        <v>5</v>
      </c>
      <c r="B1" s="106" t="s">
        <v>12</v>
      </c>
      <c r="C1" s="106"/>
      <c r="D1" s="106"/>
      <c r="E1" s="107" t="s">
        <v>13</v>
      </c>
      <c r="F1" s="107"/>
      <c r="G1" s="106" t="s">
        <v>18</v>
      </c>
      <c r="H1" s="108"/>
      <c r="I1" s="86"/>
      <c r="J1" s="109" t="s">
        <v>19</v>
      </c>
      <c r="K1" s="109"/>
      <c r="L1" s="87"/>
      <c r="M1" s="103" t="s">
        <v>20</v>
      </c>
      <c r="N1" s="103"/>
      <c r="O1" s="85"/>
      <c r="P1" s="104" t="s">
        <v>116</v>
      </c>
      <c r="Q1" s="104"/>
      <c r="R1" s="104"/>
      <c r="S1" s="104"/>
      <c r="T1" s="104"/>
      <c r="U1" s="104"/>
      <c r="V1" s="88"/>
      <c r="W1" s="103" t="s">
        <v>21</v>
      </c>
      <c r="X1" s="103"/>
      <c r="Y1" s="103"/>
      <c r="Z1" s="103"/>
      <c r="AA1" s="103"/>
      <c r="AB1" s="103"/>
    </row>
    <row r="2" spans="1:31" x14ac:dyDescent="0.5">
      <c r="A2" s="105"/>
      <c r="B2" s="13" t="s">
        <v>9</v>
      </c>
      <c r="C2" s="13" t="s">
        <v>10</v>
      </c>
      <c r="D2" s="13" t="s">
        <v>243</v>
      </c>
      <c r="E2" s="8" t="s">
        <v>3</v>
      </c>
      <c r="F2" s="8" t="s">
        <v>4</v>
      </c>
      <c r="G2" s="14">
        <v>0.9</v>
      </c>
      <c r="H2" s="14">
        <v>0.99</v>
      </c>
      <c r="I2" s="14">
        <v>0.95</v>
      </c>
      <c r="J2" s="15" t="s">
        <v>14</v>
      </c>
      <c r="K2" s="15" t="s">
        <v>15</v>
      </c>
      <c r="L2" s="15" t="s">
        <v>533</v>
      </c>
      <c r="M2" s="16" t="s">
        <v>16</v>
      </c>
      <c r="N2" s="16" t="s">
        <v>17</v>
      </c>
      <c r="O2" s="16" t="s">
        <v>537</v>
      </c>
      <c r="P2" s="29" t="s">
        <v>252</v>
      </c>
      <c r="Q2" s="29" t="s">
        <v>532</v>
      </c>
      <c r="R2" s="29" t="s">
        <v>124</v>
      </c>
      <c r="S2" s="45" t="s">
        <v>0</v>
      </c>
      <c r="T2" s="45" t="s">
        <v>1</v>
      </c>
      <c r="U2" s="45" t="s">
        <v>2</v>
      </c>
      <c r="V2" s="45" t="s">
        <v>535</v>
      </c>
      <c r="W2" s="45" t="s">
        <v>118</v>
      </c>
      <c r="X2" s="45" t="s">
        <v>536</v>
      </c>
      <c r="Y2" s="46" t="s">
        <v>25</v>
      </c>
      <c r="Z2" s="29" t="s">
        <v>534</v>
      </c>
      <c r="AA2" s="29" t="s">
        <v>538</v>
      </c>
      <c r="AB2" s="29" t="s">
        <v>123</v>
      </c>
      <c r="AC2" s="29"/>
      <c r="AD2" s="29"/>
      <c r="AE2" s="29"/>
    </row>
    <row r="3" spans="1:31" x14ac:dyDescent="0.5">
      <c r="A3" s="10">
        <v>1980</v>
      </c>
      <c r="B3" s="12">
        <f>'Minimum Deflation Total'!E3 / 'DNK to PPP'!G2</f>
        <v>9911.4887805106082</v>
      </c>
      <c r="C3" s="12"/>
      <c r="D3" s="12"/>
      <c r="E3" s="39"/>
      <c r="F3" s="39"/>
      <c r="G3" s="12"/>
      <c r="H3" s="12"/>
      <c r="I3" s="12"/>
      <c r="J3" s="17"/>
      <c r="K3" s="17"/>
      <c r="L3" s="17"/>
      <c r="M3" s="18"/>
      <c r="N3" s="18"/>
      <c r="O3" s="18"/>
      <c r="P3" s="30"/>
      <c r="Q3" s="30"/>
      <c r="R3" s="30"/>
      <c r="S3" s="47"/>
      <c r="T3" s="47"/>
      <c r="U3" s="47"/>
      <c r="V3" s="47"/>
      <c r="W3" s="48"/>
      <c r="X3" s="48"/>
      <c r="Y3" s="49"/>
      <c r="Z3" s="30"/>
      <c r="AA3" s="30"/>
      <c r="AB3" s="30"/>
    </row>
    <row r="4" spans="1:31" x14ac:dyDescent="0.5">
      <c r="A4">
        <v>1981</v>
      </c>
      <c r="B4" s="12">
        <f>'Minimum Deflation Total'!E4 / 'DNK to PPP'!G3</f>
        <v>9997.2375282937337</v>
      </c>
      <c r="C4" s="12"/>
      <c r="D4" s="12"/>
      <c r="E4" s="39"/>
      <c r="F4" s="39"/>
      <c r="G4" s="12"/>
      <c r="H4" s="12"/>
      <c r="I4" s="12"/>
      <c r="J4" s="17"/>
      <c r="K4" s="17"/>
      <c r="L4" s="17"/>
      <c r="M4" s="18"/>
      <c r="N4" s="18"/>
      <c r="O4" s="18"/>
      <c r="P4" s="30"/>
      <c r="Q4" s="30"/>
      <c r="R4" s="30"/>
      <c r="S4" s="47"/>
      <c r="T4" s="47"/>
      <c r="U4" s="47"/>
      <c r="V4" s="47"/>
      <c r="W4" s="48"/>
      <c r="X4" s="48"/>
      <c r="Y4" s="49"/>
      <c r="Z4" s="30"/>
      <c r="AA4" s="30"/>
      <c r="AB4" s="30"/>
    </row>
    <row r="5" spans="1:31" x14ac:dyDescent="0.5">
      <c r="A5" s="10">
        <v>1982</v>
      </c>
      <c r="B5" s="12">
        <f>'Minimum Deflation Total'!E5 / 'DNK to PPP'!G4</f>
        <v>9829.9779877659403</v>
      </c>
      <c r="C5" s="12"/>
      <c r="D5" s="12"/>
      <c r="E5" s="39"/>
      <c r="F5" s="39"/>
      <c r="G5" s="12"/>
      <c r="H5" s="12"/>
      <c r="I5" s="12"/>
      <c r="J5" s="17"/>
      <c r="K5" s="17"/>
      <c r="L5" s="17"/>
      <c r="M5" s="18"/>
      <c r="N5" s="18"/>
      <c r="O5" s="18"/>
      <c r="P5" s="30"/>
      <c r="Q5" s="30"/>
      <c r="R5" s="30"/>
      <c r="S5" s="47"/>
      <c r="T5" s="47"/>
      <c r="U5" s="47"/>
      <c r="V5" s="47"/>
      <c r="W5" s="48"/>
      <c r="X5" s="48"/>
      <c r="Y5" s="49"/>
      <c r="Z5" s="30"/>
      <c r="AA5" s="30"/>
      <c r="AB5" s="30"/>
    </row>
    <row r="6" spans="1:31" x14ac:dyDescent="0.5">
      <c r="A6">
        <v>1983</v>
      </c>
      <c r="B6" s="12">
        <f>'Minimum Deflation Total'!E6 / 'DNK to PPP'!G5</f>
        <v>9702.6639962323206</v>
      </c>
      <c r="C6" s="12"/>
      <c r="D6" s="12"/>
      <c r="E6" s="39"/>
      <c r="F6" s="39"/>
      <c r="G6" s="12"/>
      <c r="H6" s="12"/>
      <c r="I6" s="12"/>
      <c r="J6" s="17"/>
      <c r="K6" s="17"/>
      <c r="L6" s="17"/>
      <c r="M6" s="18"/>
      <c r="N6" s="18"/>
      <c r="O6" s="18"/>
      <c r="P6" s="30"/>
      <c r="Q6" s="30"/>
      <c r="R6" s="30"/>
      <c r="S6" s="47"/>
      <c r="T6" s="47"/>
      <c r="U6" s="47"/>
      <c r="V6" s="47"/>
      <c r="W6" s="48"/>
      <c r="X6" s="48"/>
      <c r="Y6" s="49"/>
      <c r="Z6" s="30"/>
      <c r="AA6" s="30"/>
      <c r="AB6" s="30"/>
    </row>
    <row r="7" spans="1:31" x14ac:dyDescent="0.5">
      <c r="A7" s="10">
        <v>1984</v>
      </c>
      <c r="B7" s="12">
        <f>'Minimum Deflation Total'!E7 / 'DNK to PPP'!G6</f>
        <v>9677.0823439207288</v>
      </c>
      <c r="C7" s="12"/>
      <c r="D7" s="12"/>
      <c r="E7" s="39"/>
      <c r="F7" s="39"/>
      <c r="G7" s="12"/>
      <c r="H7" s="12"/>
      <c r="I7" s="12"/>
      <c r="J7" s="17"/>
      <c r="K7" s="17"/>
      <c r="L7" s="17"/>
      <c r="M7" s="18"/>
      <c r="N7" s="18"/>
      <c r="O7" s="18"/>
      <c r="P7" s="30"/>
      <c r="Q7" s="30"/>
      <c r="R7" s="30"/>
      <c r="S7" s="47"/>
      <c r="T7" s="47"/>
      <c r="U7" s="47"/>
      <c r="V7" s="47"/>
      <c r="W7" s="48"/>
      <c r="X7" s="48"/>
      <c r="Y7" s="49"/>
      <c r="Z7" s="30"/>
      <c r="AA7" s="30"/>
      <c r="AB7" s="30"/>
    </row>
    <row r="8" spans="1:31" x14ac:dyDescent="0.5">
      <c r="A8">
        <v>1985</v>
      </c>
      <c r="B8" s="12">
        <f>'Minimum Deflation Total'!E8 / 'DNK to PPP'!G7</f>
        <v>9763.8084080149747</v>
      </c>
      <c r="C8" s="12"/>
      <c r="D8" s="12"/>
      <c r="E8" s="39"/>
      <c r="F8" s="39"/>
      <c r="G8" s="12"/>
      <c r="H8" s="12"/>
      <c r="I8" s="12"/>
      <c r="J8" s="17"/>
      <c r="K8" s="17"/>
      <c r="L8" s="17"/>
      <c r="M8" s="18"/>
      <c r="N8" s="18"/>
      <c r="O8" s="18"/>
      <c r="P8" s="30"/>
      <c r="Q8" s="30"/>
      <c r="R8" s="30"/>
      <c r="S8" s="47"/>
      <c r="T8" s="47"/>
      <c r="U8" s="47"/>
      <c r="V8" s="47"/>
      <c r="W8" s="48"/>
      <c r="X8" s="48"/>
      <c r="Y8" s="49"/>
      <c r="Z8" s="30"/>
      <c r="AA8" s="30"/>
      <c r="AB8" s="30"/>
    </row>
    <row r="9" spans="1:31" x14ac:dyDescent="0.5">
      <c r="A9" s="10">
        <v>1986</v>
      </c>
      <c r="B9" s="12">
        <f>'Minimum Deflation Total'!E9 / 'DNK to PPP'!G8</f>
        <v>9929.7258908471777</v>
      </c>
      <c r="C9" s="12"/>
      <c r="D9" s="12"/>
      <c r="E9" s="39"/>
      <c r="F9" s="39"/>
      <c r="G9" s="12"/>
      <c r="H9" s="12"/>
      <c r="I9" s="12"/>
      <c r="J9" s="17"/>
      <c r="K9" s="17"/>
      <c r="L9" s="17"/>
      <c r="M9" s="18"/>
      <c r="N9" s="18"/>
      <c r="O9" s="18"/>
      <c r="P9" s="30"/>
      <c r="Q9" s="30"/>
      <c r="R9" s="30"/>
      <c r="S9" s="47"/>
      <c r="T9" s="47"/>
      <c r="U9" s="47"/>
      <c r="V9" s="47"/>
      <c r="W9" s="48"/>
      <c r="X9" s="48"/>
      <c r="Y9" s="49"/>
      <c r="Z9" s="30"/>
      <c r="AA9" s="30"/>
      <c r="AB9" s="30"/>
    </row>
    <row r="10" spans="1:31" x14ac:dyDescent="0.5">
      <c r="A10">
        <v>1987</v>
      </c>
      <c r="B10" s="12">
        <f>'Minimum Deflation Total'!E10 / 'DNK to PPP'!G9</f>
        <v>9907.662723254105</v>
      </c>
      <c r="C10" s="92">
        <f>30626.6949 * 251.5 / 224.9</f>
        <v>34249.060770787015</v>
      </c>
      <c r="D10" s="92" t="s">
        <v>244</v>
      </c>
      <c r="E10" s="39">
        <f>LN(C10)-F10^2/2</f>
        <v>10.396661862023802</v>
      </c>
      <c r="F10" s="39">
        <f>(LN(D10)-LN(B10))/6</f>
        <v>0.29917405816619258</v>
      </c>
      <c r="G10" s="12">
        <f t="shared" ref="G10:I18" si="0">_xlfn.LOGNORM.INV(G$2,$E10,$F10)</f>
        <v>48053.432345548834</v>
      </c>
      <c r="H10" s="12">
        <f t="shared" si="0"/>
        <v>65686.243317368237</v>
      </c>
      <c r="I10" s="12">
        <f t="shared" si="0"/>
        <v>53570.798617508503</v>
      </c>
      <c r="J10" s="17">
        <f t="shared" ref="J10:J18" si="1">(LN(G10)-($E10+$F10^2))/$F10</f>
        <v>0.98237750737840457</v>
      </c>
      <c r="K10" s="17">
        <f>(LN(H10)-($E10+$F10^2))/$F10</f>
        <v>2.027173815874646</v>
      </c>
      <c r="L10" s="17">
        <f>(LN(I10)-($E10+$F10^2))/$F10</f>
        <v>1.3456795687852785</v>
      </c>
      <c r="M10" s="18">
        <f>_xlfn.NORM.DIST(J10,0,1,TRUE)</f>
        <v>0.8370430484365412</v>
      </c>
      <c r="N10" s="18">
        <f t="shared" ref="N10:O18" si="2">_xlfn.NORM.DIST(K10,0,1,TRUE)</f>
        <v>0.97867768002087641</v>
      </c>
      <c r="O10" s="18">
        <f t="shared" si="2"/>
        <v>0.91079706088809276</v>
      </c>
      <c r="P10" s="30">
        <f>'Lissy webtabulator'!O29</f>
        <v>9.7368603590327341E-2</v>
      </c>
      <c r="Q10" s="30">
        <f>'Lissy webtabulator'!P29</f>
        <v>7.2312554202510454E-2</v>
      </c>
      <c r="R10" s="30">
        <f>'Lissy webtabulator'!Q29</f>
        <v>0.83031884220716223</v>
      </c>
      <c r="S10" s="47">
        <f>M10</f>
        <v>0.8370430484365412</v>
      </c>
      <c r="T10" s="47">
        <f>N10-M10</f>
        <v>0.1416346315843352</v>
      </c>
      <c r="U10" s="47">
        <f>1-N10</f>
        <v>2.1322319979123594E-2</v>
      </c>
      <c r="V10" s="47">
        <f>1-O10</f>
        <v>8.9202939111907242E-2</v>
      </c>
      <c r="W10" s="48">
        <f>T10+U10</f>
        <v>0.1629569515634588</v>
      </c>
      <c r="X10" s="48">
        <f>O10-M10</f>
        <v>7.3754012451551554E-2</v>
      </c>
      <c r="Y10" s="49">
        <f>2*_xlfn.NORM.DIST(F10/SQRT(2),0,1,TRUE)-1</f>
        <v>0.16754032310074329</v>
      </c>
      <c r="Z10" s="30">
        <f>P10/V10 - 1</f>
        <v>9.1540307524801134E-2</v>
      </c>
      <c r="AA10" s="30">
        <f>Q10/X10 - 1</f>
        <v>-1.9544133276653719E-2</v>
      </c>
      <c r="AB10" s="30">
        <f>R10/S10 - 1</f>
        <v>-8.0332860322281929E-3</v>
      </c>
    </row>
    <row r="11" spans="1:31" x14ac:dyDescent="0.5">
      <c r="A11" s="10">
        <v>1988</v>
      </c>
      <c r="B11" s="12">
        <f>'Minimum Deflation Total'!E11 / 'DNK to PPP'!G10</f>
        <v>10065.250500385047</v>
      </c>
      <c r="C11" s="12"/>
      <c r="D11" s="12"/>
      <c r="E11" s="39"/>
      <c r="F11" s="39"/>
      <c r="G11" s="12"/>
      <c r="H11" s="12"/>
      <c r="I11" s="12"/>
      <c r="J11" s="17"/>
      <c r="K11" s="17"/>
      <c r="L11" s="17"/>
      <c r="M11" s="18"/>
      <c r="N11" s="18"/>
      <c r="O11" s="18"/>
      <c r="P11" s="30"/>
      <c r="Q11" s="30"/>
      <c r="R11" s="30"/>
      <c r="S11" s="47"/>
      <c r="T11" s="47"/>
      <c r="U11" s="47"/>
      <c r="V11" s="47"/>
      <c r="W11" s="48"/>
      <c r="X11" s="48"/>
      <c r="Y11" s="49"/>
      <c r="Z11" s="30"/>
      <c r="AA11" s="30"/>
      <c r="AB11" s="30"/>
    </row>
    <row r="12" spans="1:31" x14ac:dyDescent="0.5">
      <c r="A12">
        <v>1989</v>
      </c>
      <c r="B12" s="12">
        <f>'Minimum Deflation Total'!E12 / 'DNK to PPP'!G11</f>
        <v>10164.352127694045</v>
      </c>
      <c r="C12" s="12"/>
      <c r="D12" s="12"/>
      <c r="E12" s="39"/>
      <c r="F12" s="39"/>
      <c r="G12" s="12"/>
      <c r="H12" s="12"/>
      <c r="I12" s="12"/>
      <c r="J12" s="17"/>
      <c r="K12" s="17"/>
      <c r="L12" s="17"/>
      <c r="M12" s="18"/>
      <c r="N12" s="18"/>
      <c r="O12" s="18"/>
      <c r="P12" s="30"/>
      <c r="Q12" s="30"/>
      <c r="R12" s="30"/>
      <c r="S12" s="47"/>
      <c r="T12" s="47"/>
      <c r="U12" s="47"/>
      <c r="V12" s="47"/>
      <c r="W12" s="48"/>
      <c r="X12" s="48"/>
      <c r="Y12" s="49"/>
      <c r="Z12" s="30"/>
      <c r="AA12" s="30"/>
      <c r="AB12" s="30"/>
    </row>
    <row r="13" spans="1:31" x14ac:dyDescent="0.5">
      <c r="A13" s="10">
        <v>1990</v>
      </c>
      <c r="B13" s="12">
        <f>'Minimum Deflation Total'!E13 / 'DNK to PPP'!G12</f>
        <v>10482.925654040791</v>
      </c>
      <c r="C13" s="12"/>
      <c r="D13" s="12"/>
      <c r="E13" s="39"/>
      <c r="F13" s="39"/>
      <c r="G13" s="12"/>
      <c r="H13" s="12"/>
      <c r="I13" s="12"/>
      <c r="J13" s="17"/>
      <c r="K13" s="17"/>
      <c r="L13" s="17"/>
      <c r="M13" s="18"/>
      <c r="N13" s="18"/>
      <c r="O13" s="18"/>
      <c r="P13" s="30"/>
      <c r="Q13" s="30"/>
      <c r="R13" s="30"/>
      <c r="S13" s="47"/>
      <c r="T13" s="47"/>
      <c r="U13" s="47"/>
      <c r="V13" s="47"/>
      <c r="W13" s="48"/>
      <c r="X13" s="48"/>
      <c r="Y13" s="49"/>
      <c r="Z13" s="30"/>
      <c r="AA13" s="30"/>
      <c r="AB13" s="30"/>
    </row>
    <row r="14" spans="1:31" x14ac:dyDescent="0.5">
      <c r="A14">
        <v>1991</v>
      </c>
      <c r="B14" s="12">
        <f>'Minimum Deflation Total'!E14 / 'DNK to PPP'!G13</f>
        <v>10767.813481401403</v>
      </c>
      <c r="C14" s="12"/>
      <c r="D14" s="12"/>
      <c r="E14" s="39"/>
      <c r="F14" s="39"/>
      <c r="G14" s="12"/>
      <c r="H14" s="12"/>
      <c r="I14" s="12"/>
      <c r="J14" s="17"/>
      <c r="K14" s="17"/>
      <c r="L14" s="17"/>
      <c r="M14" s="18"/>
      <c r="N14" s="18"/>
      <c r="O14" s="18"/>
      <c r="P14" s="30"/>
      <c r="Q14" s="30"/>
      <c r="R14" s="30"/>
      <c r="S14" s="47"/>
      <c r="T14" s="47"/>
      <c r="U14" s="47"/>
      <c r="V14" s="47"/>
      <c r="W14" s="48"/>
      <c r="X14" s="48"/>
      <c r="Y14" s="49"/>
      <c r="Z14" s="30"/>
      <c r="AA14" s="30"/>
      <c r="AB14" s="30"/>
    </row>
    <row r="15" spans="1:31" x14ac:dyDescent="0.5">
      <c r="A15" s="10">
        <v>1992</v>
      </c>
      <c r="B15" s="12">
        <f>'Minimum Deflation Total'!E15 / 'DNK to PPP'!G14</f>
        <v>11050.4858572508</v>
      </c>
      <c r="C15" s="92">
        <f>30419.8458* 251.5 / 224.9</f>
        <v>34017.746637172073</v>
      </c>
      <c r="D15" s="92" t="s">
        <v>245</v>
      </c>
      <c r="E15" s="39">
        <f>LN(C15)-F15^2/2</f>
        <v>10.394100457548484</v>
      </c>
      <c r="F15" s="39">
        <f>(LN(D15)-LN(B15))/6</f>
        <v>0.28473556080315604</v>
      </c>
      <c r="G15" s="12">
        <f t="shared" si="0"/>
        <v>47051.769877778046</v>
      </c>
      <c r="H15" s="12">
        <f t="shared" si="0"/>
        <v>63354.069629389014</v>
      </c>
      <c r="I15" s="12">
        <f t="shared" si="0"/>
        <v>52179.698336128713</v>
      </c>
      <c r="J15" s="17">
        <f t="shared" si="1"/>
        <v>0.99681600474144427</v>
      </c>
      <c r="K15" s="17">
        <f>(LN(H15)-($E15+$F15^2))/$F15</f>
        <v>2.0416123132376849</v>
      </c>
      <c r="L15" s="17">
        <f>(LN(I15)-($E15+$F15^2))/$F15</f>
        <v>1.3601180661483174</v>
      </c>
      <c r="M15" s="18">
        <f>_xlfn.NORM.DIST(J15,0,1,TRUE)</f>
        <v>0.84057308590251079</v>
      </c>
      <c r="N15" s="18">
        <f t="shared" si="2"/>
        <v>0.9794049985373986</v>
      </c>
      <c r="O15" s="18">
        <f t="shared" si="2"/>
        <v>0.9131037175447162</v>
      </c>
      <c r="P15" s="30">
        <f>'Lissy webtabulator'!O30</f>
        <v>0.10026488645119956</v>
      </c>
      <c r="Q15" s="30">
        <f>'Lissy webtabulator'!P30</f>
        <v>7.4419428352263409E-2</v>
      </c>
      <c r="R15" s="30">
        <f>'Lissy webtabulator'!Q30</f>
        <v>0.82531568519653709</v>
      </c>
      <c r="S15" s="47">
        <f>M15</f>
        <v>0.84057308590251079</v>
      </c>
      <c r="T15" s="47">
        <f>N15-M15</f>
        <v>0.13883191263488781</v>
      </c>
      <c r="U15" s="47">
        <f>1-N15</f>
        <v>2.0595001462601403E-2</v>
      </c>
      <c r="V15" s="47">
        <f>1-O15</f>
        <v>8.6896282455283802E-2</v>
      </c>
      <c r="W15" s="48">
        <f>T15+U15</f>
        <v>0.15942691409748921</v>
      </c>
      <c r="X15" s="48">
        <f>O15-M15</f>
        <v>7.2530631642205412E-2</v>
      </c>
      <c r="Y15" s="49">
        <f>2*_xlfn.NORM.DIST(F15/SQRT(2),0,1,TRUE)-1</f>
        <v>0.1595660574447737</v>
      </c>
      <c r="Z15" s="30">
        <f>P15/V15 - 1</f>
        <v>0.1538455227103086</v>
      </c>
      <c r="AA15" s="30">
        <f>Q15/X15 - 1</f>
        <v>2.604136579666716E-2</v>
      </c>
      <c r="AB15" s="30">
        <f>R15/S15 - 1</f>
        <v>-1.8151188709060406E-2</v>
      </c>
    </row>
    <row r="16" spans="1:31" x14ac:dyDescent="0.5">
      <c r="A16">
        <v>1993</v>
      </c>
      <c r="B16" s="12">
        <f>'Minimum Deflation Total'!E16 / 'DNK to PPP'!G15</f>
        <v>11472.01642729587</v>
      </c>
      <c r="C16" s="12"/>
      <c r="D16" s="12"/>
      <c r="E16" s="39"/>
      <c r="F16" s="39"/>
      <c r="G16" s="12"/>
      <c r="H16" s="12"/>
      <c r="I16" s="12"/>
      <c r="J16" s="17"/>
      <c r="K16" s="17"/>
      <c r="L16" s="17"/>
      <c r="M16" s="18"/>
      <c r="N16" s="18"/>
      <c r="O16" s="18"/>
      <c r="P16" s="30"/>
      <c r="Q16" s="30"/>
      <c r="R16" s="30"/>
      <c r="S16" s="47"/>
      <c r="T16" s="47"/>
      <c r="U16" s="47"/>
      <c r="V16" s="47"/>
      <c r="W16" s="48"/>
      <c r="X16" s="48"/>
      <c r="Y16" s="49"/>
      <c r="Z16" s="30"/>
      <c r="AA16" s="30"/>
      <c r="AB16" s="30"/>
    </row>
    <row r="17" spans="1:28" x14ac:dyDescent="0.5">
      <c r="A17" s="10">
        <v>1994</v>
      </c>
      <c r="B17" s="12">
        <f>'Minimum Deflation Total'!E17 / 'DNK to PPP'!G16</f>
        <v>11767.116025546928</v>
      </c>
      <c r="C17" s="12"/>
      <c r="D17" s="12"/>
      <c r="E17" s="39"/>
      <c r="F17" s="39"/>
      <c r="G17" s="12"/>
      <c r="H17" s="12"/>
      <c r="I17" s="12"/>
      <c r="J17" s="17"/>
      <c r="K17" s="17"/>
      <c r="L17" s="17"/>
      <c r="M17" s="18"/>
      <c r="N17" s="18"/>
      <c r="O17" s="18"/>
      <c r="P17" s="30"/>
      <c r="Q17" s="30"/>
      <c r="R17" s="30"/>
      <c r="S17" s="47"/>
      <c r="T17" s="47"/>
      <c r="U17" s="47"/>
      <c r="V17" s="47"/>
      <c r="W17" s="48"/>
      <c r="X17" s="48"/>
      <c r="Y17" s="49"/>
      <c r="Z17" s="30"/>
      <c r="AA17" s="30"/>
      <c r="AB17" s="30"/>
    </row>
    <row r="18" spans="1:28" x14ac:dyDescent="0.5">
      <c r="A18">
        <v>1995</v>
      </c>
      <c r="B18" s="12">
        <f>'Minimum Deflation Total'!E18 / 'DNK to PPP'!G17</f>
        <v>12098.968000340676</v>
      </c>
      <c r="C18" s="92">
        <f>31725.9557* 251.5 / 224.9</f>
        <v>35478.336409737662</v>
      </c>
      <c r="D18" s="92" t="s">
        <v>246</v>
      </c>
      <c r="E18" s="39">
        <f>LN(C18)-F18^2/2</f>
        <v>10.437891987324196</v>
      </c>
      <c r="F18" s="39">
        <f>(LN(D18)-LN(B18))/6</f>
        <v>0.27851592373388367</v>
      </c>
      <c r="G18" s="12">
        <f t="shared" si="0"/>
        <v>48767.749643683936</v>
      </c>
      <c r="H18" s="12">
        <f t="shared" si="0"/>
        <v>65239.273077402431</v>
      </c>
      <c r="I18" s="12">
        <f t="shared" si="0"/>
        <v>53960.626172736098</v>
      </c>
      <c r="J18" s="17">
        <f t="shared" si="1"/>
        <v>1.0030356418107162</v>
      </c>
      <c r="K18" s="17">
        <f>(LN(H18)-($E18+$F18^2))/$F18</f>
        <v>2.0478319503069544</v>
      </c>
      <c r="L18" s="17">
        <f>(LN(I18)-($E18+$F18^2))/$F18</f>
        <v>1.3663377032175845</v>
      </c>
      <c r="M18" s="18">
        <f>_xlfn.NORM.DIST(J18,0,1,TRUE)</f>
        <v>0.84207816762379684</v>
      </c>
      <c r="N18" s="18">
        <f t="shared" si="2"/>
        <v>0.97971176573035701</v>
      </c>
      <c r="O18" s="18">
        <f t="shared" si="2"/>
        <v>0.91408350390934012</v>
      </c>
      <c r="P18" s="30">
        <f>'Lissy webtabulator'!O31</f>
        <v>0.10140309059310704</v>
      </c>
      <c r="Q18" s="30">
        <f>'Lissy webtabulator'!P31</f>
        <v>7.3178375836917636E-2</v>
      </c>
      <c r="R18" s="30">
        <f>'Lissy webtabulator'!Q31</f>
        <v>0.8254185335699753</v>
      </c>
      <c r="S18" s="47">
        <f>M18</f>
        <v>0.84207816762379684</v>
      </c>
      <c r="T18" s="47">
        <f>N18-M18</f>
        <v>0.13763359810656017</v>
      </c>
      <c r="U18" s="47">
        <f>1-N18</f>
        <v>2.0288234269642991E-2</v>
      </c>
      <c r="V18" s="47">
        <f>1-O18</f>
        <v>8.5916496090659877E-2</v>
      </c>
      <c r="W18" s="48">
        <f>T18+U18</f>
        <v>0.15792183237620316</v>
      </c>
      <c r="X18" s="48">
        <f>O18-M18</f>
        <v>7.2005336285543287E-2</v>
      </c>
      <c r="Y18" s="49">
        <f>2*_xlfn.NORM.DIST(F18/SQRT(2),0,1,TRUE)-1</f>
        <v>0.1561258988463996</v>
      </c>
      <c r="Z18" s="30">
        <f>P18/V18 - 1</f>
        <v>0.18025170028006676</v>
      </c>
      <c r="AA18" s="30">
        <f>Q18/X18 - 1</f>
        <v>1.6291008581955202E-2</v>
      </c>
      <c r="AB18" s="30">
        <f>R18/S18 - 1</f>
        <v>-1.9783952006299121E-2</v>
      </c>
    </row>
    <row r="19" spans="1:28" x14ac:dyDescent="0.5">
      <c r="A19" s="10">
        <v>1996</v>
      </c>
      <c r="B19" s="12">
        <f>'Minimum Deflation Total'!E19 / 'DNK to PPP'!G18</f>
        <v>12370.864671236381</v>
      </c>
      <c r="C19" s="12"/>
      <c r="D19" s="12"/>
      <c r="E19" s="39"/>
      <c r="F19" s="39"/>
      <c r="G19" s="12"/>
      <c r="H19" s="12"/>
      <c r="I19" s="12"/>
      <c r="J19" s="17"/>
      <c r="K19" s="17"/>
      <c r="L19" s="17"/>
      <c r="M19" s="18"/>
      <c r="N19" s="18"/>
      <c r="O19" s="18"/>
      <c r="P19" s="30"/>
      <c r="Q19" s="30"/>
      <c r="R19" s="30"/>
      <c r="S19" s="47"/>
      <c r="T19" s="47"/>
      <c r="U19" s="47"/>
      <c r="V19" s="47"/>
      <c r="W19" s="48"/>
      <c r="X19" s="48"/>
      <c r="Y19" s="49"/>
      <c r="Z19" s="30"/>
      <c r="AA19" s="30"/>
      <c r="AB19" s="30"/>
    </row>
    <row r="20" spans="1:28" x14ac:dyDescent="0.5">
      <c r="A20">
        <v>1997</v>
      </c>
      <c r="B20" s="12">
        <f>'Minimum Deflation Total'!E20 / 'DNK to PPP'!G19</f>
        <v>12644.7036555667</v>
      </c>
      <c r="C20" s="12"/>
      <c r="D20" s="12"/>
      <c r="E20" s="39"/>
      <c r="F20" s="39"/>
      <c r="G20" s="12"/>
      <c r="H20" s="12"/>
      <c r="I20" s="12"/>
      <c r="J20" s="17"/>
      <c r="K20" s="17"/>
      <c r="L20" s="17"/>
      <c r="M20" s="18"/>
      <c r="N20" s="18"/>
      <c r="O20" s="18"/>
      <c r="P20" s="30"/>
      <c r="Q20" s="30"/>
      <c r="R20" s="30"/>
      <c r="S20" s="47"/>
      <c r="T20" s="47"/>
      <c r="U20" s="47"/>
      <c r="V20" s="47"/>
      <c r="W20" s="48"/>
      <c r="X20" s="48"/>
      <c r="Y20" s="49"/>
      <c r="Z20" s="30"/>
      <c r="AA20" s="30"/>
      <c r="AB20" s="30"/>
    </row>
    <row r="21" spans="1:28" x14ac:dyDescent="0.5">
      <c r="A21" s="10">
        <v>1998</v>
      </c>
      <c r="B21" s="12">
        <f>'Minimum Deflation Total'!E21 / 'DNK to PPP'!G20</f>
        <v>12955.067791218664</v>
      </c>
      <c r="C21" s="12"/>
      <c r="D21" s="12"/>
      <c r="E21" s="39"/>
      <c r="F21" s="39"/>
      <c r="G21" s="12"/>
      <c r="H21" s="12"/>
      <c r="I21" s="12"/>
      <c r="J21" s="17"/>
      <c r="K21" s="17"/>
      <c r="L21" s="17"/>
      <c r="M21" s="18"/>
      <c r="N21" s="18"/>
      <c r="O21" s="18"/>
      <c r="P21" s="30"/>
      <c r="Q21" s="30"/>
      <c r="R21" s="30"/>
      <c r="S21" s="47"/>
      <c r="T21" s="47"/>
      <c r="U21" s="47"/>
      <c r="V21" s="47"/>
      <c r="W21" s="48"/>
      <c r="X21" s="48"/>
      <c r="Y21" s="49"/>
      <c r="Z21" s="30"/>
      <c r="AA21" s="30"/>
      <c r="AB21" s="30"/>
    </row>
    <row r="22" spans="1:28" x14ac:dyDescent="0.5">
      <c r="A22">
        <v>1999</v>
      </c>
      <c r="B22" s="12">
        <f>'Minimum Deflation Total'!E22 / 'DNK to PPP'!G21</f>
        <v>13077.156683008732</v>
      </c>
      <c r="C22" s="12"/>
      <c r="D22" s="12"/>
      <c r="E22" s="39"/>
      <c r="F22" s="39"/>
      <c r="G22" s="12"/>
      <c r="H22" s="12"/>
      <c r="I22" s="12"/>
      <c r="J22" s="17"/>
      <c r="K22" s="17"/>
      <c r="L22" s="17"/>
      <c r="M22" s="18"/>
      <c r="N22" s="18"/>
      <c r="O22" s="18"/>
      <c r="P22" s="30"/>
      <c r="Q22" s="30"/>
      <c r="R22" s="30"/>
      <c r="S22" s="47"/>
      <c r="T22" s="47"/>
      <c r="U22" s="47"/>
      <c r="V22" s="47"/>
      <c r="W22" s="48"/>
      <c r="X22" s="48"/>
      <c r="Y22" s="49"/>
      <c r="Z22" s="30"/>
      <c r="AA22" s="30"/>
      <c r="AB22" s="30"/>
    </row>
    <row r="23" spans="1:28" x14ac:dyDescent="0.5">
      <c r="A23" s="10">
        <v>2000</v>
      </c>
      <c r="B23" s="12">
        <f>'Minimum Deflation Total'!E23 / 'DNK to PPP'!G22</f>
        <v>13465.592956847813</v>
      </c>
      <c r="C23" s="92">
        <f>34644.2691* 251.5 / 224.9</f>
        <v>38741.812710760336</v>
      </c>
      <c r="D23" s="92" t="s">
        <v>247</v>
      </c>
      <c r="E23" s="39">
        <f>LN(C23)-F23^2/2</f>
        <v>10.527145329954518</v>
      </c>
      <c r="F23" s="39">
        <f>(LN(D23)-LN(B23))/6</f>
        <v>0.27396860265211281</v>
      </c>
      <c r="G23" s="12">
        <f t="shared" ref="G23:I36" si="3">_xlfn.LOGNORM.INV(G$2,$E23,$F23)</f>
        <v>53010.761632559537</v>
      </c>
      <c r="H23" s="12">
        <f t="shared" si="3"/>
        <v>70579.25955326391</v>
      </c>
      <c r="I23" s="12">
        <f t="shared" si="3"/>
        <v>58558.619819283507</v>
      </c>
      <c r="J23" s="17">
        <f t="shared" ref="J23:J36" si="4">(LN(G23)-($E23+$F23^2))/$F23</f>
        <v>1.0075829628924859</v>
      </c>
      <c r="K23" s="17">
        <f>(LN(H23)-($E23+$F23^2))/$F23</f>
        <v>2.0523792713887268</v>
      </c>
      <c r="L23" s="17">
        <f>(LN(I23)-($E23+$F23^2))/$F23</f>
        <v>1.3708850242993569</v>
      </c>
      <c r="M23" s="18">
        <f>_xlfn.NORM.DIST(J23,0,1,TRUE)</f>
        <v>0.84317264434142492</v>
      </c>
      <c r="N23" s="18">
        <f t="shared" ref="N23:O36" si="5">_xlfn.NORM.DIST(K23,0,1,TRUE)</f>
        <v>0.97993359128518154</v>
      </c>
      <c r="O23" s="18">
        <f t="shared" si="5"/>
        <v>0.9147945997742799</v>
      </c>
      <c r="P23" s="30">
        <f>'Lissy webtabulator'!O32</f>
        <v>0.10056859837172899</v>
      </c>
      <c r="Q23" s="30">
        <f>'Lissy webtabulator'!P32</f>
        <v>7.1140993850552864E-2</v>
      </c>
      <c r="R23" s="30">
        <f>'Lissy webtabulator'!Q32</f>
        <v>0.82829040777771812</v>
      </c>
      <c r="S23" s="47">
        <f>M23</f>
        <v>0.84317264434142492</v>
      </c>
      <c r="T23" s="47">
        <f>N23-M23</f>
        <v>0.13676094694375662</v>
      </c>
      <c r="U23" s="47">
        <f>1-N23</f>
        <v>2.0066408714818462E-2</v>
      </c>
      <c r="V23" s="47">
        <f>1-O23</f>
        <v>8.5205400225720096E-2</v>
      </c>
      <c r="W23" s="48">
        <f>T23+U23</f>
        <v>0.15682735565857508</v>
      </c>
      <c r="X23" s="48">
        <f>O23-M23</f>
        <v>7.1621955432854989E-2</v>
      </c>
      <c r="Y23" s="49">
        <f>2*_xlfn.NORM.DIST(F23/SQRT(2),0,1,TRUE)-1</f>
        <v>0.15360882895865435</v>
      </c>
      <c r="Z23" s="30">
        <f>P23/V23 - 1</f>
        <v>0.18030779862907509</v>
      </c>
      <c r="AA23" s="30">
        <f>Q23/X23 - 1</f>
        <v>-6.7152813602391337E-3</v>
      </c>
      <c r="AB23" s="30">
        <f>R23/S23 - 1</f>
        <v>-1.7650283917039156E-2</v>
      </c>
    </row>
    <row r="24" spans="1:28" x14ac:dyDescent="0.5">
      <c r="A24">
        <v>2001</v>
      </c>
      <c r="B24" s="12">
        <f>'Minimum Deflation Total'!E24 / 'DNK to PPP'!G23</f>
        <v>13702.234758860252</v>
      </c>
      <c r="C24" s="12"/>
      <c r="D24" s="12"/>
      <c r="E24" s="39"/>
      <c r="F24" s="39"/>
      <c r="G24" s="12"/>
      <c r="H24" s="12"/>
      <c r="I24" s="12"/>
      <c r="J24" s="17"/>
      <c r="K24" s="17"/>
      <c r="L24" s="17"/>
      <c r="M24" s="18"/>
      <c r="N24" s="18"/>
      <c r="O24" s="18"/>
      <c r="P24" s="30"/>
      <c r="Q24" s="30"/>
      <c r="R24" s="30"/>
      <c r="S24" s="47"/>
      <c r="T24" s="47"/>
      <c r="U24" s="47"/>
      <c r="V24" s="47"/>
      <c r="W24" s="48"/>
      <c r="X24" s="48"/>
      <c r="Y24" s="49"/>
      <c r="Z24" s="30"/>
      <c r="AA24" s="30"/>
      <c r="AB24" s="30"/>
    </row>
    <row r="25" spans="1:28" x14ac:dyDescent="0.5">
      <c r="A25" s="10">
        <v>2002</v>
      </c>
      <c r="B25" s="12">
        <f>'Minimum Deflation Total'!E25 / 'DNK to PPP'!G24</f>
        <v>14187.131502052902</v>
      </c>
      <c r="C25" s="12"/>
      <c r="D25" s="12"/>
      <c r="E25" s="39"/>
      <c r="F25" s="39"/>
      <c r="G25" s="12"/>
      <c r="H25" s="12"/>
      <c r="I25" s="12"/>
      <c r="J25" s="17"/>
      <c r="K25" s="17"/>
      <c r="L25" s="17"/>
      <c r="M25" s="18"/>
      <c r="N25" s="18"/>
      <c r="O25" s="18"/>
      <c r="P25" s="30"/>
      <c r="Q25" s="30"/>
      <c r="R25" s="30"/>
      <c r="S25" s="47"/>
      <c r="T25" s="47"/>
      <c r="U25" s="47"/>
      <c r="V25" s="47"/>
      <c r="W25" s="48"/>
      <c r="X25" s="48"/>
      <c r="Y25" s="49"/>
      <c r="Z25" s="30"/>
      <c r="AA25" s="30"/>
      <c r="AB25" s="30"/>
    </row>
    <row r="26" spans="1:28" x14ac:dyDescent="0.5">
      <c r="A26">
        <v>2003</v>
      </c>
      <c r="B26" s="12">
        <f>'Minimum Deflation Total'!E26 / 'DNK to PPP'!G25</f>
        <v>14310.678090811127</v>
      </c>
      <c r="C26" s="12"/>
      <c r="D26" s="12"/>
      <c r="E26" s="39"/>
      <c r="F26" s="39"/>
      <c r="G26" s="12"/>
      <c r="H26" s="12"/>
      <c r="I26" s="12"/>
      <c r="J26" s="17"/>
      <c r="K26" s="17"/>
      <c r="L26" s="17"/>
      <c r="M26" s="18"/>
      <c r="N26" s="18"/>
      <c r="O26" s="18"/>
      <c r="P26" s="30"/>
      <c r="Q26" s="30"/>
      <c r="R26" s="30"/>
      <c r="S26" s="47"/>
      <c r="T26" s="47"/>
      <c r="U26" s="47"/>
      <c r="V26" s="47"/>
      <c r="W26" s="48"/>
      <c r="X26" s="48"/>
      <c r="Y26" s="49"/>
      <c r="Z26" s="30"/>
      <c r="AA26" s="30"/>
      <c r="AB26" s="30"/>
    </row>
    <row r="27" spans="1:28" x14ac:dyDescent="0.5">
      <c r="A27" s="10">
        <v>2004</v>
      </c>
      <c r="B27" s="12">
        <f>'Minimum Deflation Total'!E27 / 'DNK to PPP'!G26</f>
        <v>14924.260340305609</v>
      </c>
      <c r="C27" s="92">
        <f>35619.0509* 251.5 / 224.9</f>
        <v>39831.886622276572</v>
      </c>
      <c r="D27" s="92" t="s">
        <v>248</v>
      </c>
      <c r="E27" s="39">
        <f>LN(C27)-F27^2/2</f>
        <v>10.558300264608324</v>
      </c>
      <c r="F27" s="39">
        <f>(LN(D27)-LN(B27))/6</f>
        <v>0.26123850141847854</v>
      </c>
      <c r="G27" s="12">
        <f t="shared" si="3"/>
        <v>53803.342640368428</v>
      </c>
      <c r="H27" s="12">
        <f t="shared" si="3"/>
        <v>70688.055898747538</v>
      </c>
      <c r="I27" s="12">
        <f t="shared" si="3"/>
        <v>59159.907967293431</v>
      </c>
      <c r="J27" s="17">
        <f t="shared" si="4"/>
        <v>1.0203130641261233</v>
      </c>
      <c r="K27" s="17">
        <f>(LN(H27)-($E27+$F27^2))/$F27</f>
        <v>2.065109372622365</v>
      </c>
      <c r="L27" s="17">
        <f>(LN(I27)-($E27+$F27^2))/$F27</f>
        <v>1.3836151255329971</v>
      </c>
      <c r="M27" s="18">
        <f>_xlfn.NORM.DIST(J27,0,1,TRUE)</f>
        <v>0.84620999528168805</v>
      </c>
      <c r="N27" s="18">
        <f t="shared" si="5"/>
        <v>0.98054367359705619</v>
      </c>
      <c r="O27" s="18">
        <f t="shared" si="5"/>
        <v>0.91676183280554047</v>
      </c>
      <c r="P27" s="30">
        <f>'Lissy webtabulator'!O33</f>
        <v>0.10044009510652063</v>
      </c>
      <c r="Q27" s="30">
        <f>'Lissy webtabulator'!P33</f>
        <v>7.1987394251428527E-2</v>
      </c>
      <c r="R27" s="30">
        <f>'Lissy webtabulator'!Q33</f>
        <v>0.82757251064205084</v>
      </c>
      <c r="S27" s="47">
        <f>M27</f>
        <v>0.84620999528168805</v>
      </c>
      <c r="T27" s="47">
        <f>N27-M27</f>
        <v>0.13433367831536813</v>
      </c>
      <c r="U27" s="47">
        <f>1-N27</f>
        <v>1.9456326402943813E-2</v>
      </c>
      <c r="V27" s="47">
        <f>1-O27</f>
        <v>8.3238167194459534E-2</v>
      </c>
      <c r="W27" s="48">
        <f>T27+U27</f>
        <v>0.15379000471831195</v>
      </c>
      <c r="X27" s="48">
        <f>O27-M27</f>
        <v>7.0551837523852412E-2</v>
      </c>
      <c r="Y27" s="49">
        <f>2*_xlfn.NORM.DIST(F27/SQRT(2),0,1,TRUE)-1</f>
        <v>0.14655409939882169</v>
      </c>
      <c r="Z27" s="30">
        <f>P27/V27 - 1</f>
        <v>0.20665913837187522</v>
      </c>
      <c r="AA27" s="30">
        <f>Q27/X27 - 1</f>
        <v>2.0347545548913271E-2</v>
      </c>
      <c r="AB27" s="30">
        <f>R27/S27 - 1</f>
        <v>-2.2024656696985834E-2</v>
      </c>
    </row>
    <row r="28" spans="1:28" x14ac:dyDescent="0.5">
      <c r="A28">
        <v>2005</v>
      </c>
      <c r="B28" s="12">
        <f>'Minimum Deflation Total'!E28 / 'DNK to PPP'!G27</f>
        <v>15041.737541654596</v>
      </c>
      <c r="C28" s="12"/>
      <c r="D28" s="12"/>
      <c r="E28" s="39"/>
      <c r="F28" s="39"/>
      <c r="G28" s="12"/>
      <c r="H28" s="12"/>
      <c r="I28" s="12"/>
      <c r="J28" s="17"/>
      <c r="K28" s="17"/>
      <c r="L28" s="17"/>
      <c r="M28" s="18"/>
      <c r="N28" s="18"/>
      <c r="O28" s="18"/>
      <c r="P28" s="30"/>
      <c r="Q28" s="30"/>
      <c r="R28" s="30"/>
      <c r="S28" s="47"/>
      <c r="T28" s="47"/>
      <c r="U28" s="47"/>
      <c r="V28" s="47"/>
      <c r="W28" s="48"/>
      <c r="X28" s="48"/>
      <c r="Y28" s="49"/>
      <c r="Z28" s="30"/>
      <c r="AA28" s="30"/>
      <c r="AB28" s="30"/>
    </row>
    <row r="29" spans="1:28" x14ac:dyDescent="0.5">
      <c r="A29" s="10">
        <v>2006</v>
      </c>
      <c r="B29" s="12">
        <f>'Minimum Deflation Total'!E29 / 'DNK to PPP'!G28</f>
        <v>15848.811346700209</v>
      </c>
      <c r="C29" s="12"/>
      <c r="D29" s="12"/>
      <c r="E29" s="39"/>
      <c r="F29" s="39"/>
      <c r="G29" s="12"/>
      <c r="H29" s="12"/>
      <c r="I29" s="12"/>
      <c r="J29" s="17"/>
      <c r="K29" s="17"/>
      <c r="L29" s="17"/>
      <c r="M29" s="18"/>
      <c r="N29" s="18"/>
      <c r="O29" s="18"/>
      <c r="P29" s="30"/>
      <c r="Q29" s="30"/>
      <c r="R29" s="30"/>
      <c r="S29" s="47"/>
      <c r="T29" s="47"/>
      <c r="U29" s="47"/>
      <c r="V29" s="47"/>
      <c r="W29" s="48"/>
      <c r="X29" s="48"/>
      <c r="Y29" s="49"/>
      <c r="Z29" s="30"/>
      <c r="AA29" s="30"/>
      <c r="AB29" s="30"/>
    </row>
    <row r="30" spans="1:28" x14ac:dyDescent="0.5">
      <c r="A30">
        <v>2007</v>
      </c>
      <c r="B30" s="12">
        <f>'Minimum Deflation Total'!E30 / 'DNK to PPP'!G29</f>
        <v>16413.855834061589</v>
      </c>
      <c r="C30" s="92">
        <f>38053.3923* 251.5 / 224.9</f>
        <v>42554.149237216545</v>
      </c>
      <c r="D30" s="92" t="s">
        <v>249</v>
      </c>
      <c r="E30" s="39">
        <f>LN(C30)-F30^2/2</f>
        <v>10.626117806369091</v>
      </c>
      <c r="F30" s="39">
        <f>(LN(D30)-LN(B30))/6</f>
        <v>0.25461672084283232</v>
      </c>
      <c r="G30" s="12">
        <f t="shared" si="3"/>
        <v>57092.170295949894</v>
      </c>
      <c r="H30" s="12">
        <f t="shared" si="3"/>
        <v>74491.840404462884</v>
      </c>
      <c r="I30" s="12">
        <f t="shared" si="3"/>
        <v>62625.32594786289</v>
      </c>
      <c r="J30" s="17">
        <f t="shared" si="4"/>
        <v>1.0269348447017708</v>
      </c>
      <c r="K30" s="17">
        <f>(LN(H30)-($E30+$F30^2))/$F30</f>
        <v>2.0717311531980114</v>
      </c>
      <c r="L30" s="17">
        <f>(LN(I30)-($E30+$F30^2))/$F30</f>
        <v>1.3902369061086428</v>
      </c>
      <c r="M30" s="18">
        <f>_xlfn.NORM.DIST(J30,0,1,TRUE)</f>
        <v>0.84777442734146069</v>
      </c>
      <c r="N30" s="18">
        <f t="shared" si="5"/>
        <v>0.98085473982659566</v>
      </c>
      <c r="O30" s="18">
        <f t="shared" si="5"/>
        <v>0.91777152504435444</v>
      </c>
      <c r="P30" s="30">
        <f>'Lissy webtabulator'!O34</f>
        <v>9.9370863054435224E-2</v>
      </c>
      <c r="Q30" s="30">
        <f>'Lissy webtabulator'!P34</f>
        <v>7.0331540849250404E-2</v>
      </c>
      <c r="R30" s="30">
        <f>'Lissy webtabulator'!Q34</f>
        <v>0.83029759609631437</v>
      </c>
      <c r="S30" s="47">
        <f>M30</f>
        <v>0.84777442734146069</v>
      </c>
      <c r="T30" s="47">
        <f>N30-M30</f>
        <v>0.13308031248513497</v>
      </c>
      <c r="U30" s="47">
        <f>1-N30</f>
        <v>1.9145260173404344E-2</v>
      </c>
      <c r="V30" s="47">
        <f>1-O30</f>
        <v>8.2228474955645559E-2</v>
      </c>
      <c r="W30" s="48">
        <f>T30+U30</f>
        <v>0.15222557265853931</v>
      </c>
      <c r="X30" s="48">
        <f>O30-M30</f>
        <v>6.9997097702893751E-2</v>
      </c>
      <c r="Y30" s="49">
        <f>2*_xlfn.NORM.DIST(F30/SQRT(2),0,1,TRUE)-1</f>
        <v>0.14287978405712165</v>
      </c>
      <c r="Z30" s="30">
        <f>P30/V30 - 1</f>
        <v>0.20847265023504757</v>
      </c>
      <c r="AA30" s="30">
        <f>Q30/X30 - 1</f>
        <v>4.7779573344057802E-3</v>
      </c>
      <c r="AB30" s="30">
        <f>R30/S30 - 1</f>
        <v>-2.0614954499101779E-2</v>
      </c>
    </row>
    <row r="31" spans="1:28" x14ac:dyDescent="0.5">
      <c r="A31" s="10">
        <v>2008</v>
      </c>
      <c r="B31" s="12">
        <f>'Minimum Deflation Total'!E31 / 'DNK to PPP'!G30</f>
        <v>17218.869307070476</v>
      </c>
      <c r="C31" s="12"/>
      <c r="D31" s="12"/>
      <c r="E31" s="39"/>
      <c r="F31" s="39"/>
      <c r="G31" s="12"/>
      <c r="H31" s="12"/>
      <c r="I31" s="12"/>
      <c r="J31" s="17"/>
      <c r="K31" s="17"/>
      <c r="L31" s="17"/>
      <c r="M31" s="18"/>
      <c r="N31" s="18"/>
      <c r="O31" s="18"/>
      <c r="P31" s="30"/>
      <c r="Q31" s="30"/>
      <c r="R31" s="30"/>
      <c r="S31" s="47"/>
      <c r="T31" s="47"/>
      <c r="U31" s="47"/>
      <c r="V31" s="47"/>
      <c r="W31" s="48"/>
      <c r="X31" s="48"/>
      <c r="Y31" s="49"/>
      <c r="Z31" s="30"/>
      <c r="AA31" s="30"/>
      <c r="AB31" s="30"/>
    </row>
    <row r="32" spans="1:28" x14ac:dyDescent="0.5">
      <c r="A32">
        <v>2009</v>
      </c>
      <c r="B32" s="12">
        <f>'Minimum Deflation Total'!E32 / 'DNK to PPP'!G31</f>
        <v>18050.817690197957</v>
      </c>
      <c r="C32" s="12"/>
      <c r="D32" s="12"/>
      <c r="E32" s="39"/>
      <c r="F32" s="39"/>
      <c r="G32" s="12"/>
      <c r="H32" s="12"/>
      <c r="I32" s="12"/>
      <c r="J32" s="17"/>
      <c r="K32" s="17"/>
      <c r="L32" s="17"/>
      <c r="M32" s="18"/>
      <c r="N32" s="18"/>
      <c r="O32" s="18"/>
      <c r="P32" s="30"/>
      <c r="Q32" s="30"/>
      <c r="R32" s="30"/>
      <c r="S32" s="47"/>
      <c r="T32" s="47"/>
      <c r="U32" s="47"/>
      <c r="V32" s="47"/>
      <c r="W32" s="48"/>
      <c r="X32" s="48"/>
      <c r="Y32" s="49"/>
      <c r="Z32" s="30"/>
      <c r="AA32" s="30"/>
      <c r="AB32" s="30"/>
    </row>
    <row r="33" spans="1:34" x14ac:dyDescent="0.5">
      <c r="A33" s="10">
        <v>2010</v>
      </c>
      <c r="B33" s="12">
        <f>'Minimum Deflation Total'!E33 / 'DNK to PPP'!G32</f>
        <v>18746.785647497494</v>
      </c>
      <c r="C33" s="92">
        <f>38513.7402* 251.5 / 224.9</f>
        <v>43068.944687861273</v>
      </c>
      <c r="D33" s="92" t="s">
        <v>250</v>
      </c>
      <c r="E33" s="39">
        <f>LN(C33)-F33^2/2</f>
        <v>10.642351724610885</v>
      </c>
      <c r="F33" s="39">
        <f>(LN(D33)-LN(B33))/6</f>
        <v>0.23751105608673453</v>
      </c>
      <c r="G33" s="12">
        <f t="shared" si="3"/>
        <v>56768.359041917261</v>
      </c>
      <c r="H33" s="12">
        <f t="shared" si="3"/>
        <v>72757.339387698143</v>
      </c>
      <c r="I33" s="12">
        <f t="shared" si="3"/>
        <v>61884.352914149938</v>
      </c>
      <c r="J33" s="17">
        <f t="shared" si="4"/>
        <v>1.0440405094578595</v>
      </c>
      <c r="K33" s="17">
        <f>(LN(H33)-($E33+$F33^2))/$F33</f>
        <v>2.0888368179541006</v>
      </c>
      <c r="L33" s="17">
        <f>(LN(I33)-($E33+$F33^2))/$F33</f>
        <v>1.4073425708647336</v>
      </c>
      <c r="M33" s="18">
        <f>_xlfn.NORM.DIST(J33,0,1,TRUE)</f>
        <v>0.85176667607141132</v>
      </c>
      <c r="N33" s="18">
        <f t="shared" si="5"/>
        <v>0.98163879254791142</v>
      </c>
      <c r="O33" s="18">
        <f t="shared" si="5"/>
        <v>0.92033708418661075</v>
      </c>
      <c r="P33" s="30">
        <f>'Lissy webtabulator'!O35</f>
        <v>0.10119977986453779</v>
      </c>
      <c r="Q33" s="30">
        <f>'Lissy webtabulator'!P35</f>
        <v>6.9882872087297293E-2</v>
      </c>
      <c r="R33" s="30">
        <f>'Lissy webtabulator'!Q35</f>
        <v>0.82891734804816486</v>
      </c>
      <c r="S33" s="47">
        <f>M33</f>
        <v>0.85176667607141132</v>
      </c>
      <c r="T33" s="47">
        <f>N33-M33</f>
        <v>0.1298721164765001</v>
      </c>
      <c r="U33" s="47">
        <f>1-N33</f>
        <v>1.8361207452088579E-2</v>
      </c>
      <c r="V33" s="47">
        <f>1-O33</f>
        <v>7.9662915813389246E-2</v>
      </c>
      <c r="W33" s="48">
        <f>T33+U33</f>
        <v>0.14823332392858868</v>
      </c>
      <c r="X33" s="48">
        <f>O33-M33</f>
        <v>6.8570408115199433E-2</v>
      </c>
      <c r="Y33" s="49">
        <f>2*_xlfn.NORM.DIST(F33/SQRT(2),0,1,TRUE)-1</f>
        <v>0.13337398568516723</v>
      </c>
      <c r="Z33" s="30">
        <f>P33/V33 - 1</f>
        <v>0.27034993423538189</v>
      </c>
      <c r="AA33" s="30">
        <f>Q33/X33 - 1</f>
        <v>1.914038443365973E-2</v>
      </c>
      <c r="AB33" s="30">
        <f>R33/S33 - 1</f>
        <v>-2.6825806485684556E-2</v>
      </c>
    </row>
    <row r="34" spans="1:34" x14ac:dyDescent="0.5">
      <c r="A34">
        <v>2011</v>
      </c>
      <c r="B34" s="12">
        <f>'Minimum Deflation Total'!E34 / 'DNK to PPP'!G33</f>
        <v>19441.724024004929</v>
      </c>
      <c r="C34" s="12"/>
      <c r="D34" s="12"/>
      <c r="E34" s="39"/>
      <c r="F34" s="39"/>
      <c r="G34" s="12"/>
      <c r="H34" s="12"/>
      <c r="I34" s="12"/>
      <c r="J34" s="17"/>
      <c r="K34" s="17"/>
      <c r="L34" s="17"/>
      <c r="M34" s="18"/>
      <c r="N34" s="18"/>
      <c r="O34" s="18"/>
      <c r="P34" s="30"/>
      <c r="Q34" s="30"/>
      <c r="R34" s="30"/>
      <c r="S34" s="47"/>
      <c r="T34" s="47"/>
      <c r="U34" s="47"/>
      <c r="V34" s="47"/>
      <c r="W34" s="48"/>
      <c r="X34" s="48"/>
      <c r="Y34" s="49"/>
      <c r="Z34" s="30"/>
      <c r="AA34" s="30"/>
      <c r="AB34" s="30"/>
    </row>
    <row r="35" spans="1:34" x14ac:dyDescent="0.5">
      <c r="A35" s="10">
        <v>2012</v>
      </c>
      <c r="B35" s="12">
        <f>'Minimum Deflation Total'!E35 / 'DNK to PPP'!G34</f>
        <v>19574.569577975519</v>
      </c>
      <c r="C35" s="12"/>
      <c r="D35" s="12"/>
      <c r="E35" s="39"/>
      <c r="F35" s="39"/>
      <c r="G35" s="12"/>
      <c r="H35" s="12"/>
      <c r="I35" s="12"/>
      <c r="J35" s="17"/>
      <c r="K35" s="17"/>
      <c r="L35" s="17"/>
      <c r="M35" s="18"/>
      <c r="N35" s="18"/>
      <c r="O35" s="18"/>
      <c r="P35" s="30"/>
      <c r="Q35" s="30"/>
      <c r="R35" s="30"/>
      <c r="S35" s="47"/>
      <c r="T35" s="47"/>
      <c r="U35" s="47"/>
      <c r="V35" s="47"/>
      <c r="W35" s="48"/>
      <c r="X35" s="48"/>
      <c r="Y35" s="49"/>
      <c r="Z35" s="30"/>
      <c r="AA35" s="30"/>
      <c r="AB35" s="30"/>
    </row>
    <row r="36" spans="1:34" x14ac:dyDescent="0.5">
      <c r="A36">
        <v>2013</v>
      </c>
      <c r="B36" s="12">
        <f>'Minimum Deflation Total'!E36 / 'DNK to PPP'!G35</f>
        <v>20534.21656386209</v>
      </c>
      <c r="C36" s="92">
        <f>37860.9027* 251.5 / 224.9</f>
        <v>42338.892970431305</v>
      </c>
      <c r="D36" s="92" t="s">
        <v>251</v>
      </c>
      <c r="E36" s="39">
        <f>LN(C36)-F36^2/2</f>
        <v>10.628366069209521</v>
      </c>
      <c r="F36" s="39">
        <f>(LN(D36)-LN(B36))/6</f>
        <v>0.22403271613875178</v>
      </c>
      <c r="G36" s="12">
        <f t="shared" si="3"/>
        <v>55021.29369121373</v>
      </c>
      <c r="H36" s="12">
        <f t="shared" si="3"/>
        <v>69532.121324620239</v>
      </c>
      <c r="I36" s="12">
        <f t="shared" si="3"/>
        <v>59686.855240189514</v>
      </c>
      <c r="J36" s="17">
        <f t="shared" si="4"/>
        <v>1.0575188494058465</v>
      </c>
      <c r="K36" s="17">
        <f>(LN(H36)-($E36+$F36^2))/$F36</f>
        <v>2.1023151579020927</v>
      </c>
      <c r="L36" s="17">
        <f>(LN(I36)-($E36+$F36^2))/$F36</f>
        <v>1.4208209108127186</v>
      </c>
      <c r="M36" s="18">
        <f>_xlfn.NORM.DIST(J36,0,1,TRUE)</f>
        <v>0.85486257167783519</v>
      </c>
      <c r="N36" s="18">
        <f t="shared" si="5"/>
        <v>0.98223716117936832</v>
      </c>
      <c r="O36" s="18">
        <f t="shared" si="5"/>
        <v>0.92231558500802868</v>
      </c>
      <c r="P36" s="30">
        <f>'Lissy webtabulator'!O36</f>
        <v>0.10400020903357912</v>
      </c>
      <c r="Q36" s="30">
        <f>'Lissy webtabulator'!P36</f>
        <v>7.1140237102693266E-2</v>
      </c>
      <c r="R36" s="30">
        <f>'Lissy webtabulator'!Q36</f>
        <v>0.82485955386372756</v>
      </c>
      <c r="S36" s="47">
        <f>M36</f>
        <v>0.85486257167783519</v>
      </c>
      <c r="T36" s="47">
        <f>N36-M36</f>
        <v>0.12737458950153313</v>
      </c>
      <c r="U36" s="47">
        <f>1-N36</f>
        <v>1.7762838820631677E-2</v>
      </c>
      <c r="V36" s="47">
        <f>1-O36</f>
        <v>7.7684414991971318E-2</v>
      </c>
      <c r="W36" s="48">
        <f>T36+U36</f>
        <v>0.14513742832216481</v>
      </c>
      <c r="X36" s="48">
        <f>O36-M36</f>
        <v>6.745301333019349E-2</v>
      </c>
      <c r="Y36" s="49">
        <f>2*_xlfn.NORM.DIST(F36/SQRT(2),0,1,TRUE)-1</f>
        <v>0.12587024686304193</v>
      </c>
      <c r="Z36" s="30">
        <f>P36/V36 - 1</f>
        <v>0.33875255473478871</v>
      </c>
      <c r="AA36" s="30">
        <f>Q36/X36 - 1</f>
        <v>5.4663588629468851E-2</v>
      </c>
      <c r="AB36" s="30">
        <f>R36/S36 - 1</f>
        <v>-3.509689019981399E-2</v>
      </c>
    </row>
    <row r="37" spans="1:34" x14ac:dyDescent="0.5">
      <c r="A37" s="10">
        <v>2014</v>
      </c>
      <c r="B37" s="12">
        <f>'Minimum Deflation Total'!E37 / 'DNK to PPP'!G36</f>
        <v>21019.698866263108</v>
      </c>
      <c r="C37" s="12"/>
      <c r="D37" s="12"/>
      <c r="E37" s="39"/>
      <c r="F37" s="39"/>
      <c r="G37" s="12"/>
      <c r="H37" s="12"/>
      <c r="I37" s="12"/>
      <c r="J37" s="17"/>
      <c r="K37" s="17"/>
      <c r="L37" s="17"/>
      <c r="M37" s="18"/>
      <c r="N37" s="18"/>
      <c r="O37" s="18"/>
      <c r="P37" s="30"/>
      <c r="Q37" s="30"/>
      <c r="R37" s="30"/>
      <c r="S37" s="47"/>
      <c r="T37" s="47"/>
      <c r="U37" s="47"/>
      <c r="V37" s="47"/>
      <c r="W37" s="48"/>
      <c r="X37" s="48"/>
      <c r="Y37" s="49"/>
      <c r="Z37" s="30"/>
      <c r="AA37" s="30"/>
      <c r="AB37" s="30"/>
    </row>
    <row r="38" spans="1:34" x14ac:dyDescent="0.5">
      <c r="A38">
        <v>2015</v>
      </c>
      <c r="B38" s="12">
        <f>'Minimum Deflation Total'!E38 / 'DNK to PPP'!G37</f>
        <v>21514.296837539048</v>
      </c>
      <c r="C38" s="12"/>
      <c r="D38" s="12">
        <f>'99.9% Threshold Labor'!D55 * 251.1 / CPI!B104</f>
        <v>0</v>
      </c>
      <c r="E38" s="39"/>
      <c r="F38" s="39"/>
      <c r="G38" s="12"/>
      <c r="H38" s="12"/>
      <c r="I38" s="12"/>
      <c r="J38" s="17"/>
      <c r="K38" s="17"/>
      <c r="L38" s="17"/>
      <c r="M38" s="18"/>
      <c r="N38" s="18"/>
      <c r="O38" s="18"/>
      <c r="P38" s="30"/>
      <c r="Q38" s="30"/>
      <c r="R38" s="30"/>
      <c r="S38" s="30"/>
      <c r="T38" s="30"/>
      <c r="U38" s="30"/>
      <c r="V38" s="30"/>
      <c r="W38" s="19"/>
      <c r="X38" s="19"/>
      <c r="Y38" s="19"/>
      <c r="Z38" s="19"/>
      <c r="AA38" s="30"/>
      <c r="AB38" s="39"/>
      <c r="AC38" s="30"/>
      <c r="AD38" s="30"/>
      <c r="AE38" s="30"/>
    </row>
    <row r="39" spans="1:34" x14ac:dyDescent="0.5">
      <c r="A39" s="10">
        <v>2016</v>
      </c>
      <c r="B39" s="12">
        <f>'Minimum Deflation Total'!E39 / 'DNK to PPP'!G38</f>
        <v>22159.003396506378</v>
      </c>
      <c r="C39" s="12"/>
      <c r="D39" s="12">
        <f>'99.9% Threshold Labor'!D56 * 251.1 / CPI!B105</f>
        <v>0</v>
      </c>
      <c r="E39" s="39"/>
      <c r="F39" s="39"/>
      <c r="G39" s="12"/>
      <c r="H39" s="12"/>
      <c r="I39" s="12"/>
      <c r="J39" s="17"/>
      <c r="K39" s="17"/>
      <c r="L39" s="17"/>
      <c r="M39" s="18"/>
      <c r="N39" s="18"/>
      <c r="O39" s="18"/>
      <c r="P39" s="30"/>
      <c r="Q39" s="30"/>
      <c r="R39" s="30"/>
      <c r="S39" s="30"/>
      <c r="T39" s="30"/>
      <c r="U39" s="30"/>
      <c r="V39" s="30"/>
      <c r="W39" s="19"/>
      <c r="X39" s="19"/>
      <c r="Y39" s="19"/>
      <c r="Z39" s="19"/>
      <c r="AA39" s="30"/>
      <c r="AB39" s="39"/>
      <c r="AC39" s="30"/>
      <c r="AD39" s="30"/>
      <c r="AE39" s="30"/>
      <c r="AF39" s="30"/>
      <c r="AG39" s="30"/>
      <c r="AH39" s="30"/>
    </row>
    <row r="40" spans="1:34" x14ac:dyDescent="0.5">
      <c r="A40" s="10">
        <v>2017</v>
      </c>
      <c r="B40" s="12">
        <f>'Minimum Deflation Total'!E40 / 'DNK to PPP'!G39</f>
        <v>23519.606434033547</v>
      </c>
      <c r="C40" s="12"/>
      <c r="D40" s="12">
        <f>'99.9% Threshold Labor'!D57 * 251.1 / CPI!B106</f>
        <v>0</v>
      </c>
      <c r="E40" s="39"/>
      <c r="F40" s="39"/>
    </row>
    <row r="41" spans="1:34" x14ac:dyDescent="0.5">
      <c r="A41">
        <v>2018</v>
      </c>
      <c r="B41" s="12">
        <f>'Minimum Deflation Total'!E41 / 'DNK to PPP'!G40</f>
        <v>23961.760604426745</v>
      </c>
      <c r="C41" s="12">
        <f>'Average Labor Income'!D58 *251.1 / CPI!B107</f>
        <v>0</v>
      </c>
      <c r="D41" s="12">
        <f>'99.9% Threshold Labor'!D58 * 251.1 / CPI!B107</f>
        <v>0</v>
      </c>
      <c r="E41" s="39"/>
      <c r="F41" s="39"/>
    </row>
    <row r="42" spans="1:34" x14ac:dyDescent="0.5">
      <c r="A42" s="10">
        <v>2019</v>
      </c>
      <c r="B42" s="12"/>
      <c r="C42" s="12"/>
      <c r="D42" s="12"/>
      <c r="E42" s="39"/>
    </row>
    <row r="48" spans="1:34" x14ac:dyDescent="0.5">
      <c r="A48" t="s">
        <v>131</v>
      </c>
      <c r="B48" t="s">
        <v>175</v>
      </c>
    </row>
  </sheetData>
  <mergeCells count="8">
    <mergeCell ref="P1:U1"/>
    <mergeCell ref="W1:AB1"/>
    <mergeCell ref="A1:A2"/>
    <mergeCell ref="B1:D1"/>
    <mergeCell ref="E1:F1"/>
    <mergeCell ref="G1:H1"/>
    <mergeCell ref="J1:K1"/>
    <mergeCell ref="M1:N1"/>
  </mergeCells>
  <hyperlinks>
    <hyperlink ref="H1" location="Index" display="Back to Index" xr:uid="{EA19600C-AC2F-4D5A-8253-53F06286AE18}"/>
  </hyperlinks>
  <pageMargins left="0.7" right="0.7" top="0.75" bottom="0.75" header="0.3" footer="0.3"/>
  <pageSetup orientation="portrait" horizontalDpi="4294967293"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34CB58-4523-4DD0-A0B9-D60528B9859A}">
  <sheetPr codeName="Sheet11"/>
  <dimension ref="A1:AC42"/>
  <sheetViews>
    <sheetView zoomScale="70" zoomScaleNormal="70" workbookViewId="0">
      <pane xSplit="1" ySplit="2" topLeftCell="B24" activePane="bottomRight" state="frozen"/>
      <selection pane="topRight" activeCell="B1" sqref="B1"/>
      <selection pane="bottomLeft" activeCell="A3" sqref="A3"/>
      <selection pane="bottomRight" activeCell="D38" sqref="D38"/>
    </sheetView>
  </sheetViews>
  <sheetFormatPr defaultRowHeight="15.75" x14ac:dyDescent="0.5"/>
  <cols>
    <col min="2" max="2" width="17" customWidth="1"/>
    <col min="3" max="3" width="25.125" customWidth="1"/>
    <col min="4" max="4" width="26" customWidth="1"/>
    <col min="5" max="5" width="18.375" bestFit="1" customWidth="1"/>
    <col min="6" max="6" width="17.375" bestFit="1" customWidth="1"/>
    <col min="7" max="7" width="15.375" customWidth="1"/>
    <col min="8" max="8" width="10.875" customWidth="1"/>
    <col min="9" max="9" width="22.75" customWidth="1"/>
    <col min="10" max="10" width="18.75" customWidth="1"/>
    <col min="11" max="11" width="15.25" customWidth="1"/>
    <col min="12" max="12" width="26" customWidth="1"/>
    <col min="13" max="13" width="21.125" customWidth="1"/>
    <col min="14" max="14" width="17.375" customWidth="1"/>
    <col min="15" max="18" width="19.625" customWidth="1"/>
    <col min="19" max="19" width="23.25" customWidth="1"/>
    <col min="20" max="20" width="14.125" customWidth="1"/>
    <col min="22" max="22" width="14.875" customWidth="1"/>
    <col min="23" max="23" width="18.75" customWidth="1"/>
    <col min="24" max="24" width="18.5" customWidth="1"/>
    <col min="25" max="25" width="17.25" customWidth="1"/>
    <col min="26" max="26" width="13.625" customWidth="1"/>
    <col min="27" max="27" width="18.375" customWidth="1"/>
    <col min="28" max="28" width="24" customWidth="1"/>
    <col min="29" max="29" width="20.5" customWidth="1"/>
  </cols>
  <sheetData>
    <row r="1" spans="1:29" x14ac:dyDescent="0.5">
      <c r="A1" s="105" t="s">
        <v>5</v>
      </c>
      <c r="B1" s="106" t="s">
        <v>12</v>
      </c>
      <c r="C1" s="106"/>
      <c r="D1" s="106"/>
      <c r="E1" s="107" t="s">
        <v>13</v>
      </c>
      <c r="F1" s="107"/>
      <c r="G1" s="106" t="s">
        <v>18</v>
      </c>
      <c r="H1" s="108"/>
      <c r="I1" s="109" t="s">
        <v>19</v>
      </c>
      <c r="J1" s="109"/>
      <c r="K1" s="103" t="s">
        <v>20</v>
      </c>
      <c r="L1" s="103"/>
      <c r="M1" s="104" t="s">
        <v>116</v>
      </c>
      <c r="N1" s="104"/>
      <c r="O1" s="104"/>
      <c r="P1" s="104"/>
      <c r="Q1" s="104"/>
      <c r="R1" s="104"/>
      <c r="S1" s="103" t="s">
        <v>21</v>
      </c>
      <c r="T1" s="103"/>
      <c r="U1" s="103"/>
      <c r="V1" s="103"/>
      <c r="W1" s="103"/>
    </row>
    <row r="2" spans="1:29" x14ac:dyDescent="0.5">
      <c r="A2" s="105"/>
      <c r="B2" s="13" t="s">
        <v>9</v>
      </c>
      <c r="C2" s="13" t="s">
        <v>10</v>
      </c>
      <c r="D2" s="13" t="s">
        <v>219</v>
      </c>
      <c r="E2" s="8" t="s">
        <v>3</v>
      </c>
      <c r="F2" s="8" t="s">
        <v>4</v>
      </c>
      <c r="G2" s="14">
        <v>0.9</v>
      </c>
      <c r="H2" s="14">
        <v>0.99</v>
      </c>
      <c r="I2" s="15" t="s">
        <v>14</v>
      </c>
      <c r="J2" s="15" t="s">
        <v>15</v>
      </c>
      <c r="K2" s="16" t="s">
        <v>16</v>
      </c>
      <c r="L2" s="16" t="s">
        <v>17</v>
      </c>
      <c r="M2" s="29" t="s">
        <v>117</v>
      </c>
      <c r="N2" s="29" t="s">
        <v>120</v>
      </c>
      <c r="O2" s="29" t="s">
        <v>124</v>
      </c>
      <c r="P2" s="29" t="s">
        <v>125</v>
      </c>
      <c r="Q2" s="29" t="s">
        <v>126</v>
      </c>
      <c r="R2" s="29" t="s">
        <v>127</v>
      </c>
      <c r="S2" s="16" t="s">
        <v>0</v>
      </c>
      <c r="T2" s="16" t="s">
        <v>1</v>
      </c>
      <c r="U2" s="16" t="s">
        <v>2</v>
      </c>
      <c r="V2" s="29" t="s">
        <v>118</v>
      </c>
      <c r="W2" s="9" t="s">
        <v>25</v>
      </c>
      <c r="X2" s="29" t="s">
        <v>121</v>
      </c>
      <c r="Y2" s="29" t="s">
        <v>122</v>
      </c>
      <c r="Z2" s="29" t="s">
        <v>123</v>
      </c>
      <c r="AA2" s="29" t="s">
        <v>128</v>
      </c>
      <c r="AB2" s="29" t="s">
        <v>129</v>
      </c>
      <c r="AC2" s="29" t="s">
        <v>130</v>
      </c>
    </row>
    <row r="3" spans="1:29" x14ac:dyDescent="0.5">
      <c r="A3" s="10">
        <v>1980</v>
      </c>
      <c r="B3" s="12">
        <f>'Minimum Deflation Total'!E3</f>
        <v>78568.064306955392</v>
      </c>
      <c r="C3" s="12">
        <f>Data!AG523</f>
        <v>180707.41</v>
      </c>
      <c r="D3" s="12">
        <f>Data!AB82</f>
        <v>2156317.5</v>
      </c>
      <c r="E3" s="11">
        <f>LN(C3)-F3^2/2</f>
        <v>11.952264829987369</v>
      </c>
      <c r="F3" s="11">
        <f>(LN(D3)-LN(B3))/6</f>
        <v>0.55203197904908519</v>
      </c>
      <c r="G3" s="12">
        <f>_xlfn.LOGNORM.INV(G$2,$E3,$F3)</f>
        <v>314809.28089506988</v>
      </c>
      <c r="H3" s="12">
        <f>_xlfn.LOGNORM.INV(H$2,$E3,$F3)</f>
        <v>560443.24067834509</v>
      </c>
      <c r="I3" s="17">
        <f>(LN(G3)-($E3+$F3^2))/$F3</f>
        <v>0.72951958649551307</v>
      </c>
      <c r="J3" s="17">
        <f>(LN(H3)-($E3+$F3^2))/$F3</f>
        <v>1.7743158949917532</v>
      </c>
      <c r="K3" s="18">
        <f>_xlfn.NORM.DIST(I3,0,1,TRUE)</f>
        <v>0.7671580544202774</v>
      </c>
      <c r="L3" s="18">
        <f>_xlfn.NORM.DIST(J3,0,1,TRUE)</f>
        <v>0.96199454358602821</v>
      </c>
      <c r="M3" s="30">
        <f>Data!I199</f>
        <v>5.7100001999999997E-2</v>
      </c>
      <c r="N3" s="30">
        <f>Data!I316 - M3</f>
        <v>0.18540000800000001</v>
      </c>
      <c r="O3" s="30">
        <f t="shared" ref="O3:O39" si="0">1-N3 - M3</f>
        <v>0.75749999000000001</v>
      </c>
      <c r="P3" s="30">
        <f>Data!N199</f>
        <v>5.2400000000000002E-2</v>
      </c>
      <c r="Q3" s="30">
        <f>Data!N316 - P3</f>
        <v>0.16899998999999999</v>
      </c>
      <c r="R3" s="30">
        <f>1-Q3 - P3</f>
        <v>0.77860001000000001</v>
      </c>
      <c r="S3" s="19">
        <f t="shared" ref="S3:S39" si="1">K3</f>
        <v>0.7671580544202774</v>
      </c>
      <c r="T3" s="19">
        <f t="shared" ref="T3:T39" si="2">L3-K3</f>
        <v>0.1948364891657508</v>
      </c>
      <c r="U3" s="19">
        <f t="shared" ref="U3:U39" si="3">1-L3</f>
        <v>3.8005456413971794E-2</v>
      </c>
      <c r="V3" s="30">
        <f>T3+U3</f>
        <v>0.2328419455797226</v>
      </c>
      <c r="W3" s="11">
        <f t="shared" ref="W3:W39" si="4">2*_xlfn.NORM.DIST(F3/SQRT(2),0,1,TRUE)-1</f>
        <v>0.30371895895386736</v>
      </c>
      <c r="X3" s="30">
        <f t="shared" ref="X3:X39" si="5">M3/U3 - 1</f>
        <v>0.50241589991821667</v>
      </c>
      <c r="Y3" s="30">
        <f t="shared" ref="Y3:Y39" si="6">N3/T3 - 1</f>
        <v>-4.8432822856518509E-2</v>
      </c>
      <c r="Z3" s="30">
        <f>O3/S3 - 1</f>
        <v>-1.258940626984062E-2</v>
      </c>
      <c r="AA3" s="30">
        <f>P3/U3 - 1</f>
        <v>0.37874939401428676</v>
      </c>
      <c r="AB3" s="30">
        <f>Q3/T3 - 1</f>
        <v>-0.1326060599653448</v>
      </c>
      <c r="AC3" s="30">
        <f>R3/S3 - 1</f>
        <v>1.4914730431096146E-2</v>
      </c>
    </row>
    <row r="4" spans="1:29" x14ac:dyDescent="0.5">
      <c r="A4">
        <v>1981</v>
      </c>
      <c r="B4" s="12">
        <f>'Minimum Deflation Total'!E4</f>
        <v>80139.425593094507</v>
      </c>
      <c r="C4" s="12">
        <f>Data!AG524</f>
        <v>175851.41</v>
      </c>
      <c r="D4" s="12">
        <f>Data!AB83</f>
        <v>2067994.5</v>
      </c>
      <c r="E4" s="11">
        <f t="shared" ref="E4:E39" si="7">LN(C4)-F4^2/2</f>
        <v>11.930642107862431</v>
      </c>
      <c r="F4" s="11">
        <f t="shared" ref="F4:F39" si="8">(LN(D4)-LN(B4))/6</f>
        <v>0.54176110640185371</v>
      </c>
      <c r="G4" s="12">
        <f t="shared" ref="G4:H39" si="9">_xlfn.LOGNORM.INV(G$2,$E4,$F4)</f>
        <v>304046.79574784503</v>
      </c>
      <c r="H4" s="12">
        <f t="shared" si="9"/>
        <v>535505.74975244654</v>
      </c>
      <c r="I4" s="17">
        <f t="shared" ref="I4:J39" si="10">(LN(G4)-($E4+$F4^2))/$F4</f>
        <v>0.73979045914274733</v>
      </c>
      <c r="J4" s="17">
        <f t="shared" si="10"/>
        <v>1.7845867676389899</v>
      </c>
      <c r="K4" s="18">
        <f t="shared" ref="K4:L39" si="11">_xlfn.NORM.DIST(I4,0,1,TRUE)</f>
        <v>0.77028642545604087</v>
      </c>
      <c r="L4" s="18">
        <f t="shared" si="11"/>
        <v>0.96283581533921792</v>
      </c>
      <c r="M4" s="30">
        <f>Data!I200</f>
        <v>5.6600000999999997E-2</v>
      </c>
      <c r="N4" s="30">
        <f>Data!I317 - M4</f>
        <v>0.18599998899999998</v>
      </c>
      <c r="O4" s="30">
        <f t="shared" si="0"/>
        <v>0.75740001000000012</v>
      </c>
      <c r="P4" s="30">
        <f>Data!N200</f>
        <v>5.2999998999999999E-2</v>
      </c>
      <c r="Q4" s="30">
        <f>Data!N317 - P4</f>
        <v>0.17170000100000002</v>
      </c>
      <c r="R4" s="30">
        <f t="shared" ref="R4:R39" si="12">1-Q4 - P4</f>
        <v>0.77529999999999999</v>
      </c>
      <c r="S4" s="19">
        <f t="shared" si="1"/>
        <v>0.77028642545604087</v>
      </c>
      <c r="T4" s="19">
        <f t="shared" si="2"/>
        <v>0.19254938988317705</v>
      </c>
      <c r="U4" s="19">
        <f t="shared" si="3"/>
        <v>3.7164184660782085E-2</v>
      </c>
      <c r="V4" s="30">
        <f t="shared" ref="V4:V39" si="13">T4+U4</f>
        <v>0.22971357454395913</v>
      </c>
      <c r="W4" s="11">
        <f t="shared" si="4"/>
        <v>0.29834174051457296</v>
      </c>
      <c r="X4" s="30">
        <f t="shared" si="5"/>
        <v>0.52297168676292172</v>
      </c>
      <c r="Y4" s="30">
        <f t="shared" si="6"/>
        <v>-3.4014134696301546E-2</v>
      </c>
      <c r="Z4" s="30">
        <f t="shared" ref="Z4:Z39" si="14">O4/S4 - 1</f>
        <v>-1.6729381474445026E-2</v>
      </c>
      <c r="AA4" s="30">
        <f t="shared" ref="AA4:AA39" si="15">P4/U4 - 1</f>
        <v>0.42610417755051233</v>
      </c>
      <c r="AB4" s="30">
        <f t="shared" ref="AB4:AB39" si="16">Q4/T4 - 1</f>
        <v>-0.10828073200245769</v>
      </c>
      <c r="AC4" s="30">
        <f t="shared" ref="AC4:AC39" si="17">R4/S4 - 1</f>
        <v>6.5087146524629436E-3</v>
      </c>
    </row>
    <row r="5" spans="1:29" x14ac:dyDescent="0.5">
      <c r="A5" s="10">
        <v>1982</v>
      </c>
      <c r="B5" s="12">
        <f>'Minimum Deflation Total'!E5</f>
        <v>81742.214104956394</v>
      </c>
      <c r="C5" s="12">
        <f>Data!AG525</f>
        <v>180644.5</v>
      </c>
      <c r="D5" s="12">
        <f>Data!AB84</f>
        <v>2160632.2999999998</v>
      </c>
      <c r="E5" s="11">
        <f t="shared" si="7"/>
        <v>11.955356970895902</v>
      </c>
      <c r="F5" s="11">
        <f t="shared" si="8"/>
        <v>0.54576427073113631</v>
      </c>
      <c r="G5" s="12">
        <f t="shared" si="9"/>
        <v>313257.87949918926</v>
      </c>
      <c r="H5" s="12">
        <f t="shared" si="9"/>
        <v>554041.30562433205</v>
      </c>
      <c r="I5" s="17">
        <f t="shared" si="10"/>
        <v>0.73578729481346272</v>
      </c>
      <c r="J5" s="17">
        <f t="shared" si="10"/>
        <v>1.780583603309704</v>
      </c>
      <c r="K5" s="18">
        <f t="shared" si="11"/>
        <v>0.76906992278399722</v>
      </c>
      <c r="L5" s="18">
        <f t="shared" si="11"/>
        <v>0.96250974981399762</v>
      </c>
      <c r="M5" s="30">
        <f>Data!I201</f>
        <v>5.7700001000000001E-2</v>
      </c>
      <c r="N5" s="30">
        <f>Data!I318 - M5</f>
        <v>0.18339999900000001</v>
      </c>
      <c r="O5" s="30">
        <f t="shared" si="0"/>
        <v>0.75889999999999991</v>
      </c>
      <c r="P5" s="30">
        <f>Data!N201</f>
        <v>5.5199999E-2</v>
      </c>
      <c r="Q5" s="30">
        <f>Data!N318 - P5</f>
        <v>0.167000011</v>
      </c>
      <c r="R5" s="30">
        <f t="shared" si="12"/>
        <v>0.77779998999999989</v>
      </c>
      <c r="S5" s="19">
        <f t="shared" si="1"/>
        <v>0.76906992278399722</v>
      </c>
      <c r="T5" s="19">
        <f t="shared" si="2"/>
        <v>0.1934398270300004</v>
      </c>
      <c r="U5" s="19">
        <f t="shared" si="3"/>
        <v>3.7490250186002383E-2</v>
      </c>
      <c r="V5" s="30">
        <f t="shared" si="13"/>
        <v>0.23093007721600278</v>
      </c>
      <c r="W5" s="11">
        <f t="shared" si="4"/>
        <v>0.3004393543669075</v>
      </c>
      <c r="X5" s="30">
        <f t="shared" si="5"/>
        <v>0.53906684307866448</v>
      </c>
      <c r="Y5" s="30">
        <f t="shared" si="6"/>
        <v>-5.1901556076367483E-2</v>
      </c>
      <c r="Z5" s="30">
        <f t="shared" si="14"/>
        <v>-1.3223664692519344E-2</v>
      </c>
      <c r="AA5" s="30">
        <f t="shared" si="15"/>
        <v>0.47238278555446533</v>
      </c>
      <c r="AB5" s="30">
        <f t="shared" si="16"/>
        <v>-0.13668238043812908</v>
      </c>
      <c r="AC5" s="30">
        <f t="shared" si="17"/>
        <v>1.1351460975616234E-2</v>
      </c>
    </row>
    <row r="6" spans="1:29" x14ac:dyDescent="0.5">
      <c r="A6">
        <v>1983</v>
      </c>
      <c r="B6" s="12">
        <f>'Minimum Deflation Total'!E6</f>
        <v>83377.058387055527</v>
      </c>
      <c r="C6" s="12">
        <f>Data!AG526</f>
        <v>186802.41</v>
      </c>
      <c r="D6" s="12">
        <f>Data!AB85</f>
        <v>2645519.7999999998</v>
      </c>
      <c r="E6" s="11">
        <f t="shared" si="7"/>
        <v>11.971798717671948</v>
      </c>
      <c r="F6" s="11">
        <f t="shared" si="8"/>
        <v>0.57620827574868494</v>
      </c>
      <c r="G6" s="12">
        <f t="shared" si="9"/>
        <v>331121.062603803</v>
      </c>
      <c r="H6" s="12">
        <f t="shared" si="9"/>
        <v>604562.06473918038</v>
      </c>
      <c r="I6" s="17">
        <f t="shared" si="10"/>
        <v>0.70534328979591498</v>
      </c>
      <c r="J6" s="17">
        <f t="shared" si="10"/>
        <v>1.7501395982921555</v>
      </c>
      <c r="K6" s="18">
        <f t="shared" si="11"/>
        <v>0.75970168672346672</v>
      </c>
      <c r="L6" s="18">
        <f t="shared" si="11"/>
        <v>0.95995288583144667</v>
      </c>
      <c r="M6" s="30">
        <f>Data!I202</f>
        <v>6.7599996999999995E-2</v>
      </c>
      <c r="N6" s="30">
        <f>Data!I319 - M6</f>
        <v>0.18339999300000001</v>
      </c>
      <c r="O6" s="30">
        <f t="shared" si="0"/>
        <v>0.74900001000000005</v>
      </c>
      <c r="P6" s="30">
        <f>Data!N202</f>
        <v>6.2899998999999998E-2</v>
      </c>
      <c r="Q6" s="30">
        <f>Data!N319 - P6</f>
        <v>0.16900001100000001</v>
      </c>
      <c r="R6" s="30">
        <f t="shared" si="12"/>
        <v>0.76809998999999995</v>
      </c>
      <c r="S6" s="19">
        <f t="shared" si="1"/>
        <v>0.75970168672346672</v>
      </c>
      <c r="T6" s="19">
        <f t="shared" si="2"/>
        <v>0.20025119910797995</v>
      </c>
      <c r="U6" s="19">
        <f t="shared" si="3"/>
        <v>4.0047114168553333E-2</v>
      </c>
      <c r="V6" s="30">
        <f t="shared" si="13"/>
        <v>0.24029831327653328</v>
      </c>
      <c r="W6" s="11">
        <f t="shared" si="4"/>
        <v>0.31631571867783626</v>
      </c>
      <c r="X6" s="30">
        <f t="shared" si="5"/>
        <v>0.68801169331403011</v>
      </c>
      <c r="Y6" s="30">
        <f t="shared" si="6"/>
        <v>-8.4150338090576815E-2</v>
      </c>
      <c r="Z6" s="30">
        <f t="shared" si="14"/>
        <v>-1.4086682852610388E-2</v>
      </c>
      <c r="AA6" s="30">
        <f t="shared" si="15"/>
        <v>0.57064997830459663</v>
      </c>
      <c r="AB6" s="30">
        <f t="shared" si="16"/>
        <v>-0.15605992996390794</v>
      </c>
      <c r="AC6" s="30">
        <f t="shared" si="17"/>
        <v>1.1054738225940275E-2</v>
      </c>
    </row>
    <row r="7" spans="1:29" x14ac:dyDescent="0.5">
      <c r="A7" s="10">
        <v>1984</v>
      </c>
      <c r="B7" s="12">
        <f>'Minimum Deflation Total'!E7</f>
        <v>85044.599554796645</v>
      </c>
      <c r="C7" s="12">
        <f>Data!AG527</f>
        <v>194526</v>
      </c>
      <c r="D7" s="12">
        <f>Data!AB86</f>
        <v>2988096.8</v>
      </c>
      <c r="E7" s="11">
        <f t="shared" si="7"/>
        <v>12.002376395222642</v>
      </c>
      <c r="F7" s="11">
        <f t="shared" si="8"/>
        <v>0.59320268707531698</v>
      </c>
      <c r="G7" s="12">
        <f t="shared" si="9"/>
        <v>348919.39950295957</v>
      </c>
      <c r="H7" s="12">
        <f t="shared" si="9"/>
        <v>648470.76785924658</v>
      </c>
      <c r="I7" s="17">
        <f t="shared" si="10"/>
        <v>0.68834887846928627</v>
      </c>
      <c r="J7" s="17">
        <f t="shared" si="10"/>
        <v>1.7331451869655263</v>
      </c>
      <c r="K7" s="18">
        <f t="shared" si="11"/>
        <v>0.75438344583510064</v>
      </c>
      <c r="L7" s="18">
        <f t="shared" si="11"/>
        <v>0.95846506671529719</v>
      </c>
      <c r="M7" s="30">
        <f>Data!I203</f>
        <v>7.3600001999999998E-2</v>
      </c>
      <c r="N7" s="30">
        <f>Data!I320 - M7</f>
        <v>0.182900008</v>
      </c>
      <c r="O7" s="30">
        <f t="shared" si="0"/>
        <v>0.74349998999999989</v>
      </c>
      <c r="P7" s="30">
        <f>Data!N203</f>
        <v>7.0900001000000004E-2</v>
      </c>
      <c r="Q7" s="30">
        <f>Data!N320 - P7</f>
        <v>0.16809998900000001</v>
      </c>
      <c r="R7" s="30">
        <f t="shared" si="12"/>
        <v>0.76100000999999995</v>
      </c>
      <c r="S7" s="19">
        <f t="shared" si="1"/>
        <v>0.75438344583510064</v>
      </c>
      <c r="T7" s="19">
        <f t="shared" si="2"/>
        <v>0.20408162088019655</v>
      </c>
      <c r="U7" s="19">
        <f t="shared" si="3"/>
        <v>4.1534933284702813E-2</v>
      </c>
      <c r="V7" s="30">
        <f t="shared" si="13"/>
        <v>0.24561655416489936</v>
      </c>
      <c r="W7" s="11">
        <f t="shared" si="4"/>
        <v>0.32511829540256887</v>
      </c>
      <c r="X7" s="30">
        <f t="shared" si="5"/>
        <v>0.77200241289677596</v>
      </c>
      <c r="Y7" s="30">
        <f t="shared" si="6"/>
        <v>-0.1037899091002954</v>
      </c>
      <c r="Z7" s="30">
        <f t="shared" si="14"/>
        <v>-1.4426954747201237E-2</v>
      </c>
      <c r="AA7" s="30">
        <f t="shared" si="15"/>
        <v>0.706996867287909</v>
      </c>
      <c r="AB7" s="30">
        <f t="shared" si="16"/>
        <v>-0.17631000638376493</v>
      </c>
      <c r="AC7" s="30">
        <f t="shared" si="17"/>
        <v>8.7708236460235511E-3</v>
      </c>
    </row>
    <row r="8" spans="1:29" x14ac:dyDescent="0.5">
      <c r="A8">
        <v>1985</v>
      </c>
      <c r="B8" s="12">
        <f>'Minimum Deflation Total'!E8</f>
        <v>86745.491545892583</v>
      </c>
      <c r="C8" s="12">
        <f>Data!AG528</f>
        <v>203077</v>
      </c>
      <c r="D8" s="12">
        <f>Data!AB87</f>
        <v>3283116</v>
      </c>
      <c r="E8" s="11">
        <f t="shared" si="7"/>
        <v>12.037967864260436</v>
      </c>
      <c r="F8" s="11">
        <f t="shared" si="8"/>
        <v>0.60559496726497741</v>
      </c>
      <c r="G8" s="12">
        <f t="shared" si="9"/>
        <v>367349.51935824321</v>
      </c>
      <c r="H8" s="12">
        <f t="shared" si="9"/>
        <v>691620.33063872694</v>
      </c>
      <c r="I8" s="17">
        <f t="shared" si="10"/>
        <v>0.67595659827962351</v>
      </c>
      <c r="J8" s="17">
        <f t="shared" si="10"/>
        <v>1.7207529067758618</v>
      </c>
      <c r="K8" s="18">
        <f t="shared" si="11"/>
        <v>0.75046589927720064</v>
      </c>
      <c r="L8" s="18">
        <f t="shared" si="11"/>
        <v>0.95735216433563219</v>
      </c>
      <c r="M8" s="30">
        <f>Data!I204</f>
        <v>7.7899999999999997E-2</v>
      </c>
      <c r="N8" s="30">
        <f>Data!I321 - M8</f>
        <v>0.18369999000000001</v>
      </c>
      <c r="O8" s="30">
        <f t="shared" si="0"/>
        <v>0.73840001</v>
      </c>
      <c r="P8" s="30">
        <f>Data!N204</f>
        <v>7.6099999000000002E-2</v>
      </c>
      <c r="Q8" s="30">
        <f>Data!N321 - P8</f>
        <v>0.17050000100000001</v>
      </c>
      <c r="R8" s="30">
        <f t="shared" si="12"/>
        <v>0.75340000000000007</v>
      </c>
      <c r="S8" s="19">
        <f t="shared" si="1"/>
        <v>0.75046589927720064</v>
      </c>
      <c r="T8" s="19">
        <f t="shared" si="2"/>
        <v>0.20688626505843155</v>
      </c>
      <c r="U8" s="19">
        <f t="shared" si="3"/>
        <v>4.2647835664367806E-2</v>
      </c>
      <c r="V8" s="30">
        <f t="shared" si="13"/>
        <v>0.24953410072279936</v>
      </c>
      <c r="W8" s="11">
        <f t="shared" si="4"/>
        <v>0.33150926764444577</v>
      </c>
      <c r="X8" s="30">
        <f t="shared" si="5"/>
        <v>0.82658741730908791</v>
      </c>
      <c r="Y8" s="30">
        <f t="shared" si="6"/>
        <v>-0.11207256823880007</v>
      </c>
      <c r="Z8" s="30">
        <f t="shared" si="14"/>
        <v>-1.6077864815472243E-2</v>
      </c>
      <c r="AA8" s="30">
        <f t="shared" si="15"/>
        <v>0.78438126611853876</v>
      </c>
      <c r="AB8" s="30">
        <f t="shared" si="16"/>
        <v>-0.17587568729202419</v>
      </c>
      <c r="AC8" s="30">
        <f t="shared" si="17"/>
        <v>3.9097055917203249E-3</v>
      </c>
    </row>
    <row r="9" spans="1:29" x14ac:dyDescent="0.5">
      <c r="A9" s="10">
        <v>1986</v>
      </c>
      <c r="B9" s="12">
        <f>'Minimum Deflation Total'!E9</f>
        <v>88480.401376810434</v>
      </c>
      <c r="C9" s="12">
        <f>Data!AG529</f>
        <v>216658</v>
      </c>
      <c r="D9" s="12">
        <f>Data!AB88</f>
        <v>3097182.8</v>
      </c>
      <c r="E9" s="11">
        <f t="shared" si="7"/>
        <v>12.110501095386821</v>
      </c>
      <c r="F9" s="11">
        <f t="shared" si="8"/>
        <v>0.59257785482899694</v>
      </c>
      <c r="G9" s="12">
        <f t="shared" si="9"/>
        <v>388450.16803240322</v>
      </c>
      <c r="H9" s="12">
        <f t="shared" si="9"/>
        <v>721468.01731798134</v>
      </c>
      <c r="I9" s="17">
        <f t="shared" si="10"/>
        <v>0.68897371071560565</v>
      </c>
      <c r="J9" s="17">
        <f t="shared" si="10"/>
        <v>1.7337700192118446</v>
      </c>
      <c r="K9" s="18">
        <f t="shared" si="11"/>
        <v>0.75458009425755113</v>
      </c>
      <c r="L9" s="18">
        <f t="shared" si="11"/>
        <v>0.95852055140249703</v>
      </c>
      <c r="M9" s="30">
        <f>Data!I205</f>
        <v>6.9700002999999996E-2</v>
      </c>
      <c r="N9" s="30">
        <f>Data!I322 - M9</f>
        <v>0.18139999699999998</v>
      </c>
      <c r="O9" s="30">
        <f t="shared" si="0"/>
        <v>0.74890000000000001</v>
      </c>
      <c r="P9" s="30">
        <f>Data!N205</f>
        <v>6.7699998999999997E-2</v>
      </c>
      <c r="Q9" s="30">
        <f>Data!N322 - P9</f>
        <v>0.16800000100000001</v>
      </c>
      <c r="R9" s="30">
        <f t="shared" si="12"/>
        <v>0.76429999999999998</v>
      </c>
      <c r="S9" s="19">
        <f t="shared" si="1"/>
        <v>0.75458009425755113</v>
      </c>
      <c r="T9" s="19">
        <f t="shared" si="2"/>
        <v>0.20394045714494591</v>
      </c>
      <c r="U9" s="19">
        <f t="shared" si="3"/>
        <v>4.1479448597502966E-2</v>
      </c>
      <c r="V9" s="30">
        <f t="shared" si="13"/>
        <v>0.24541990574244887</v>
      </c>
      <c r="W9" s="11">
        <f t="shared" si="4"/>
        <v>0.32479542902695213</v>
      </c>
      <c r="X9" s="30">
        <f t="shared" si="5"/>
        <v>0.68035027843151918</v>
      </c>
      <c r="Y9" s="30">
        <f t="shared" si="6"/>
        <v>-0.11052471128338126</v>
      </c>
      <c r="Z9" s="30">
        <f t="shared" si="14"/>
        <v>-7.5274901906071667E-3</v>
      </c>
      <c r="AA9" s="30">
        <f t="shared" si="15"/>
        <v>0.63213353332945443</v>
      </c>
      <c r="AB9" s="30">
        <f t="shared" si="16"/>
        <v>-0.17623014407289506</v>
      </c>
      <c r="AC9" s="30">
        <f t="shared" si="17"/>
        <v>1.2881211439870421E-2</v>
      </c>
    </row>
    <row r="10" spans="1:29" x14ac:dyDescent="0.5">
      <c r="A10">
        <v>1987</v>
      </c>
      <c r="B10" s="12">
        <f>'Minimum Deflation Total'!E10</f>
        <v>90250.009404346638</v>
      </c>
      <c r="C10" s="12">
        <f>Data!AG530</f>
        <v>216836.5</v>
      </c>
      <c r="D10" s="12">
        <f>Data!AB89</f>
        <v>3063063.3</v>
      </c>
      <c r="E10" s="11">
        <f t="shared" si="7"/>
        <v>12.114361197552439</v>
      </c>
      <c r="F10" s="11">
        <f t="shared" si="8"/>
        <v>0.5874311785361126</v>
      </c>
      <c r="G10" s="12">
        <f t="shared" si="9"/>
        <v>387388.96471954306</v>
      </c>
      <c r="H10" s="12">
        <f t="shared" si="9"/>
        <v>715638.52913335955</v>
      </c>
      <c r="I10" s="17">
        <f t="shared" si="10"/>
        <v>0.69412038700848655</v>
      </c>
      <c r="J10" s="17">
        <f t="shared" si="10"/>
        <v>1.7389166955047282</v>
      </c>
      <c r="K10" s="18">
        <f t="shared" si="11"/>
        <v>0.75619664281578114</v>
      </c>
      <c r="L10" s="18">
        <f t="shared" si="11"/>
        <v>0.95897529146683991</v>
      </c>
      <c r="M10" s="30">
        <f>Data!I206</f>
        <v>6.9300002999999999E-2</v>
      </c>
      <c r="N10" s="30">
        <f>Data!I323 - M10</f>
        <v>0.18400000700000002</v>
      </c>
      <c r="O10" s="30">
        <f t="shared" si="0"/>
        <v>0.74669998999999998</v>
      </c>
      <c r="P10" s="30">
        <f>Data!N206</f>
        <v>7.0100001999999995E-2</v>
      </c>
      <c r="Q10" s="30">
        <f>Data!N323 - P10</f>
        <v>0.18009999799999998</v>
      </c>
      <c r="R10" s="30">
        <f t="shared" si="12"/>
        <v>0.74980000000000002</v>
      </c>
      <c r="S10" s="19">
        <f t="shared" si="1"/>
        <v>0.75619664281578114</v>
      </c>
      <c r="T10" s="19">
        <f t="shared" si="2"/>
        <v>0.20277864865105877</v>
      </c>
      <c r="U10" s="19">
        <f t="shared" si="3"/>
        <v>4.1024708533160092E-2</v>
      </c>
      <c r="V10" s="30">
        <f t="shared" si="13"/>
        <v>0.24380335718421886</v>
      </c>
      <c r="W10" s="11">
        <f t="shared" si="4"/>
        <v>0.32213374398895711</v>
      </c>
      <c r="X10" s="30">
        <f t="shared" si="5"/>
        <v>0.68922596839378181</v>
      </c>
      <c r="Y10" s="30">
        <f t="shared" si="6"/>
        <v>-9.2606602203829658E-2</v>
      </c>
      <c r="Z10" s="30">
        <f t="shared" si="14"/>
        <v>-1.2558443502763139E-2</v>
      </c>
      <c r="AA10" s="30">
        <f t="shared" si="15"/>
        <v>0.70872638725363446</v>
      </c>
      <c r="AB10" s="30">
        <f t="shared" si="16"/>
        <v>-0.11183944070011131</v>
      </c>
      <c r="AC10" s="30">
        <f t="shared" si="17"/>
        <v>-8.4589674875605869E-3</v>
      </c>
    </row>
    <row r="11" spans="1:29" x14ac:dyDescent="0.5">
      <c r="A11" s="10">
        <v>1988</v>
      </c>
      <c r="B11" s="12">
        <f>'Minimum Deflation Total'!E11</f>
        <v>92055.009592433576</v>
      </c>
      <c r="C11" s="12">
        <f>Data!AG531</f>
        <v>213912.91</v>
      </c>
      <c r="D11" s="12">
        <f>Data!AB90</f>
        <v>2829827.5</v>
      </c>
      <c r="E11" s="11">
        <f t="shared" si="7"/>
        <v>12.110343268305339</v>
      </c>
      <c r="F11" s="11">
        <f t="shared" si="8"/>
        <v>0.57093078433390898</v>
      </c>
      <c r="G11" s="12">
        <f t="shared" si="9"/>
        <v>377762.32567402994</v>
      </c>
      <c r="H11" s="12">
        <f t="shared" si="9"/>
        <v>685927.27273390058</v>
      </c>
      <c r="I11" s="17">
        <f t="shared" si="10"/>
        <v>0.71062078121069261</v>
      </c>
      <c r="J11" s="17">
        <f t="shared" si="10"/>
        <v>1.755417089706933</v>
      </c>
      <c r="K11" s="18">
        <f t="shared" si="11"/>
        <v>0.76134036908475256</v>
      </c>
      <c r="L11" s="18">
        <f t="shared" si="11"/>
        <v>0.96040600450467128</v>
      </c>
      <c r="M11" s="30">
        <f>Data!I207</f>
        <v>6.5499999000000003E-2</v>
      </c>
      <c r="N11" s="30">
        <f>Data!I324 - M11</f>
        <v>0.18470000099999997</v>
      </c>
      <c r="O11" s="30">
        <f t="shared" si="0"/>
        <v>0.74980000000000002</v>
      </c>
      <c r="P11" s="30">
        <f>Data!N207</f>
        <v>6.6699996999999997E-2</v>
      </c>
      <c r="Q11" s="30">
        <f>Data!N324 - P11</f>
        <v>0.17859999300000001</v>
      </c>
      <c r="R11" s="30">
        <f t="shared" si="12"/>
        <v>0.75470001000000009</v>
      </c>
      <c r="S11" s="19">
        <f t="shared" si="1"/>
        <v>0.76134036908475256</v>
      </c>
      <c r="T11" s="19">
        <f t="shared" si="2"/>
        <v>0.19906563541991873</v>
      </c>
      <c r="U11" s="19">
        <f t="shared" si="3"/>
        <v>3.9593995495328715E-2</v>
      </c>
      <c r="V11" s="30">
        <f t="shared" si="13"/>
        <v>0.23865963091524744</v>
      </c>
      <c r="W11" s="11">
        <f t="shared" si="4"/>
        <v>0.31357330086484048</v>
      </c>
      <c r="X11" s="30">
        <f t="shared" si="5"/>
        <v>0.65429121715507765</v>
      </c>
      <c r="Y11" s="30">
        <f t="shared" si="6"/>
        <v>-7.216531567397455E-2</v>
      </c>
      <c r="Z11" s="30">
        <f t="shared" si="14"/>
        <v>-1.5157962920875789E-2</v>
      </c>
      <c r="AA11" s="30">
        <f t="shared" si="15"/>
        <v>0.68459879245753918</v>
      </c>
      <c r="AB11" s="30">
        <f t="shared" si="16"/>
        <v>-0.10280851527561496</v>
      </c>
      <c r="AC11" s="30">
        <f t="shared" si="17"/>
        <v>-8.7219322058742499E-3</v>
      </c>
    </row>
    <row r="12" spans="1:29" x14ac:dyDescent="0.5">
      <c r="A12">
        <v>1989</v>
      </c>
      <c r="B12" s="12">
        <f>'Minimum Deflation Total'!E12</f>
        <v>93896.109784282249</v>
      </c>
      <c r="C12" s="12">
        <f>Data!AG532</f>
        <v>214216.91</v>
      </c>
      <c r="D12" s="12">
        <f>Data!AB91</f>
        <v>2952328</v>
      </c>
      <c r="E12" s="11">
        <f t="shared" si="7"/>
        <v>12.109608133048644</v>
      </c>
      <c r="F12" s="11">
        <f t="shared" si="8"/>
        <v>0.57469338910840995</v>
      </c>
      <c r="G12" s="12">
        <f t="shared" si="9"/>
        <v>379309.33768124611</v>
      </c>
      <c r="H12" s="12">
        <f t="shared" si="9"/>
        <v>691449.13992905384</v>
      </c>
      <c r="I12" s="17">
        <f t="shared" si="10"/>
        <v>0.70685817643618898</v>
      </c>
      <c r="J12" s="17">
        <f t="shared" si="10"/>
        <v>1.7516544849324314</v>
      </c>
      <c r="K12" s="18">
        <f t="shared" si="11"/>
        <v>0.76017269147702127</v>
      </c>
      <c r="L12" s="18">
        <f t="shared" si="11"/>
        <v>0.96008338114692382</v>
      </c>
      <c r="M12" s="30">
        <f>Data!I208</f>
        <v>6.8199999999999997E-2</v>
      </c>
      <c r="N12" s="30">
        <f>Data!I325 - M12</f>
        <v>0.18490001</v>
      </c>
      <c r="O12" s="30">
        <f t="shared" si="0"/>
        <v>0.74689998999999996</v>
      </c>
      <c r="P12" s="30">
        <f>Data!N208</f>
        <v>6.8999998000000007E-2</v>
      </c>
      <c r="Q12" s="30">
        <f>Data!N325 - P12</f>
        <v>0.17670000199999999</v>
      </c>
      <c r="R12" s="30">
        <f t="shared" si="12"/>
        <v>0.75429999999999997</v>
      </c>
      <c r="S12" s="19">
        <f t="shared" si="1"/>
        <v>0.76017269147702127</v>
      </c>
      <c r="T12" s="19">
        <f t="shared" si="2"/>
        <v>0.19991068966990255</v>
      </c>
      <c r="U12" s="19">
        <f t="shared" si="3"/>
        <v>3.991661885307618E-2</v>
      </c>
      <c r="V12" s="30">
        <f t="shared" si="13"/>
        <v>0.23982730852297873</v>
      </c>
      <c r="W12" s="11">
        <f t="shared" si="4"/>
        <v>0.3155289415688407</v>
      </c>
      <c r="X12" s="30">
        <f t="shared" si="5"/>
        <v>0.70856154553140849</v>
      </c>
      <c r="Y12" s="30">
        <f t="shared" si="6"/>
        <v>-7.508692854138288E-2</v>
      </c>
      <c r="Z12" s="30">
        <f t="shared" si="14"/>
        <v>-1.7460113505567199E-2</v>
      </c>
      <c r="AA12" s="30">
        <f t="shared" si="15"/>
        <v>0.728603273087157</v>
      </c>
      <c r="AB12" s="30">
        <f t="shared" si="16"/>
        <v>-0.11610528535631892</v>
      </c>
      <c r="AC12" s="30">
        <f t="shared" si="17"/>
        <v>-7.7254702028437539E-3</v>
      </c>
    </row>
    <row r="13" spans="1:29" x14ac:dyDescent="0.5">
      <c r="A13" s="10">
        <v>1990</v>
      </c>
      <c r="B13" s="12">
        <f>'Minimum Deflation Total'!E13</f>
        <v>95774.031979967898</v>
      </c>
      <c r="C13" s="12">
        <f>Data!AG533</f>
        <v>216337.91</v>
      </c>
      <c r="D13" s="12">
        <f>Data!AB92</f>
        <v>2992268.5</v>
      </c>
      <c r="E13" s="11">
        <f t="shared" si="7"/>
        <v>12.120069692941485</v>
      </c>
      <c r="F13" s="11">
        <f t="shared" si="8"/>
        <v>0.57363258184467314</v>
      </c>
      <c r="G13" s="12">
        <f t="shared" si="9"/>
        <v>382777.60214338923</v>
      </c>
      <c r="H13" s="12">
        <f t="shared" si="9"/>
        <v>696998.56449773395</v>
      </c>
      <c r="I13" s="17">
        <f t="shared" si="10"/>
        <v>0.70791898369992978</v>
      </c>
      <c r="J13" s="17">
        <f t="shared" si="10"/>
        <v>1.7527152921961697</v>
      </c>
      <c r="K13" s="18">
        <f t="shared" si="11"/>
        <v>0.76050221495626424</v>
      </c>
      <c r="L13" s="18">
        <f t="shared" si="11"/>
        <v>0.96017455526728379</v>
      </c>
      <c r="M13" s="30">
        <f>Data!I209</f>
        <v>6.8599998999999995E-2</v>
      </c>
      <c r="N13" s="30">
        <f>Data!I326 - M13</f>
        <v>0.18590000100000001</v>
      </c>
      <c r="O13" s="30">
        <f t="shared" si="0"/>
        <v>0.74549999999999994</v>
      </c>
      <c r="P13" s="30">
        <f>Data!N209</f>
        <v>6.9499999000000007E-2</v>
      </c>
      <c r="Q13" s="30">
        <f>Data!N326 - P13</f>
        <v>0.175400001</v>
      </c>
      <c r="R13" s="30">
        <f t="shared" si="12"/>
        <v>0.75509999999999999</v>
      </c>
      <c r="S13" s="19">
        <f t="shared" si="1"/>
        <v>0.76050221495626424</v>
      </c>
      <c r="T13" s="19">
        <f t="shared" si="2"/>
        <v>0.19967234031101955</v>
      </c>
      <c r="U13" s="19">
        <f t="shared" si="3"/>
        <v>3.9825444732716209E-2</v>
      </c>
      <c r="V13" s="30">
        <f t="shared" si="13"/>
        <v>0.23949778504373576</v>
      </c>
      <c r="W13" s="11">
        <f t="shared" si="4"/>
        <v>0.31497779282742577</v>
      </c>
      <c r="X13" s="30">
        <f t="shared" si="5"/>
        <v>0.72251683466188066</v>
      </c>
      <c r="Y13" s="30">
        <f t="shared" si="6"/>
        <v>-6.8974697695069143E-2</v>
      </c>
      <c r="Z13" s="30">
        <f t="shared" si="14"/>
        <v>-1.9726720923655794E-2</v>
      </c>
      <c r="AA13" s="30">
        <f t="shared" si="15"/>
        <v>0.74511545235567556</v>
      </c>
      <c r="AB13" s="30">
        <f t="shared" si="16"/>
        <v>-0.12156084950580415</v>
      </c>
      <c r="AC13" s="30">
        <f t="shared" si="17"/>
        <v>-7.1034835270992192E-3</v>
      </c>
    </row>
    <row r="14" spans="1:29" x14ac:dyDescent="0.5">
      <c r="A14">
        <v>1991</v>
      </c>
      <c r="B14" s="12">
        <f>'Minimum Deflation Total'!E14</f>
        <v>97689.512619567264</v>
      </c>
      <c r="C14" s="12">
        <f>Data!AG534</f>
        <v>217185.5</v>
      </c>
      <c r="D14" s="12">
        <f>Data!AB93</f>
        <v>2985828.5</v>
      </c>
      <c r="E14" s="11">
        <f t="shared" si="7"/>
        <v>12.126072464243164</v>
      </c>
      <c r="F14" s="11">
        <f t="shared" si="8"/>
        <v>0.56997305519224406</v>
      </c>
      <c r="G14" s="12">
        <f t="shared" si="9"/>
        <v>383280.48058973503</v>
      </c>
      <c r="H14" s="12">
        <f t="shared" si="9"/>
        <v>695250.90198594867</v>
      </c>
      <c r="I14" s="17">
        <f t="shared" si="10"/>
        <v>0.7115785103523562</v>
      </c>
      <c r="J14" s="17">
        <f t="shared" si="10"/>
        <v>1.7563748188485966</v>
      </c>
      <c r="K14" s="18">
        <f t="shared" si="11"/>
        <v>0.76163709091447385</v>
      </c>
      <c r="L14" s="18">
        <f t="shared" si="11"/>
        <v>0.9604877852026843</v>
      </c>
      <c r="M14" s="30">
        <f>Data!I210</f>
        <v>6.8300000999999999E-2</v>
      </c>
      <c r="N14" s="30">
        <f>Data!I327 - M14</f>
        <v>0.18509999900000002</v>
      </c>
      <c r="O14" s="30">
        <f t="shared" si="0"/>
        <v>0.74660000000000004</v>
      </c>
      <c r="P14" s="30">
        <f>Data!N210</f>
        <v>6.8899997000000004E-2</v>
      </c>
      <c r="Q14" s="30">
        <f>Data!N327 - P14</f>
        <v>0.17250000300000001</v>
      </c>
      <c r="R14" s="30">
        <f t="shared" si="12"/>
        <v>0.75859999999999994</v>
      </c>
      <c r="S14" s="19">
        <f t="shared" si="1"/>
        <v>0.76163709091447385</v>
      </c>
      <c r="T14" s="19">
        <f t="shared" si="2"/>
        <v>0.19885069428821045</v>
      </c>
      <c r="U14" s="19">
        <f t="shared" si="3"/>
        <v>3.9512214797315703E-2</v>
      </c>
      <c r="V14" s="30">
        <f t="shared" si="13"/>
        <v>0.23836290908552615</v>
      </c>
      <c r="W14" s="11">
        <f t="shared" si="4"/>
        <v>0.31307517828163345</v>
      </c>
      <c r="X14" s="30">
        <f t="shared" si="5"/>
        <v>0.72857941146442684</v>
      </c>
      <c r="Y14" s="30">
        <f t="shared" si="6"/>
        <v>-6.9150853797273815E-2</v>
      </c>
      <c r="Z14" s="30">
        <f t="shared" si="14"/>
        <v>-1.974311794140593E-2</v>
      </c>
      <c r="AA14" s="30">
        <f t="shared" si="15"/>
        <v>0.743764487853533</v>
      </c>
      <c r="AB14" s="30">
        <f t="shared" si="16"/>
        <v>-0.13251495742840225</v>
      </c>
      <c r="AC14" s="30">
        <f t="shared" si="17"/>
        <v>-3.9875827355353444E-3</v>
      </c>
    </row>
    <row r="15" spans="1:29" x14ac:dyDescent="0.5">
      <c r="A15" s="10">
        <v>1992</v>
      </c>
      <c r="B15" s="12">
        <f>'Minimum Deflation Total'!E15</f>
        <v>99643.302871958615</v>
      </c>
      <c r="C15" s="12">
        <f>Data!AG535</f>
        <v>223734.8</v>
      </c>
      <c r="D15" s="12">
        <f>Data!AB94</f>
        <v>3078936</v>
      </c>
      <c r="E15" s="11">
        <f t="shared" si="7"/>
        <v>12.154744558300653</v>
      </c>
      <c r="F15" s="11">
        <f t="shared" si="8"/>
        <v>0.5717904206403045</v>
      </c>
      <c r="G15" s="12">
        <f t="shared" si="9"/>
        <v>395348.71097788319</v>
      </c>
      <c r="H15" s="12">
        <f t="shared" si="9"/>
        <v>718505.03185484803</v>
      </c>
      <c r="I15" s="17">
        <f t="shared" si="10"/>
        <v>0.70976114490429376</v>
      </c>
      <c r="J15" s="17">
        <f t="shared" si="10"/>
        <v>1.7545574534005364</v>
      </c>
      <c r="K15" s="18">
        <f t="shared" si="11"/>
        <v>0.76107386615158723</v>
      </c>
      <c r="L15" s="18">
        <f t="shared" si="11"/>
        <v>0.96033248279226791</v>
      </c>
      <c r="M15" s="30">
        <f>Data!I211</f>
        <v>6.8499997000000007E-2</v>
      </c>
      <c r="N15" s="30">
        <f>Data!I328 - M15</f>
        <v>0.18559999299999999</v>
      </c>
      <c r="O15" s="30">
        <f t="shared" si="0"/>
        <v>0.74590001000000006</v>
      </c>
      <c r="P15" s="30">
        <f>Data!N211</f>
        <v>6.8800001999999999E-2</v>
      </c>
      <c r="Q15" s="30">
        <f>Data!N328 - P15</f>
        <v>0.17049999800000001</v>
      </c>
      <c r="R15" s="30">
        <f t="shared" si="12"/>
        <v>0.76069999999999993</v>
      </c>
      <c r="S15" s="19">
        <f t="shared" si="1"/>
        <v>0.76107386615158723</v>
      </c>
      <c r="T15" s="19">
        <f t="shared" si="2"/>
        <v>0.19925861664068067</v>
      </c>
      <c r="U15" s="19">
        <f t="shared" si="3"/>
        <v>3.9667517207732095E-2</v>
      </c>
      <c r="V15" s="30">
        <f t="shared" si="13"/>
        <v>0.23892613384841277</v>
      </c>
      <c r="W15" s="11">
        <f t="shared" si="4"/>
        <v>0.31402028862405662</v>
      </c>
      <c r="X15" s="30">
        <f t="shared" si="5"/>
        <v>0.72685365311060646</v>
      </c>
      <c r="Y15" s="30">
        <f t="shared" si="6"/>
        <v>-6.8547217033585128E-2</v>
      </c>
      <c r="Z15" s="30">
        <f t="shared" si="14"/>
        <v>-1.993742897560602E-2</v>
      </c>
      <c r="AA15" s="30">
        <f t="shared" si="15"/>
        <v>0.73441664220389691</v>
      </c>
      <c r="AB15" s="30">
        <f t="shared" si="16"/>
        <v>-0.14432810548183483</v>
      </c>
      <c r="AC15" s="30">
        <f t="shared" si="17"/>
        <v>-4.9123504066406198E-4</v>
      </c>
    </row>
    <row r="16" spans="1:29" x14ac:dyDescent="0.5">
      <c r="A16">
        <v>1993</v>
      </c>
      <c r="B16" s="12">
        <f>'Minimum Deflation Total'!E16</f>
        <v>101636.16892939778</v>
      </c>
      <c r="C16" s="12">
        <f>Data!AG536</f>
        <v>222908.3</v>
      </c>
      <c r="D16" s="12">
        <f>Data!AB95</f>
        <v>3077771.8</v>
      </c>
      <c r="E16" s="11">
        <f t="shared" si="7"/>
        <v>12.15296115566484</v>
      </c>
      <c r="F16" s="11">
        <f t="shared" si="8"/>
        <v>0.56842695123428444</v>
      </c>
      <c r="G16" s="12">
        <f t="shared" si="9"/>
        <v>392946.83622397162</v>
      </c>
      <c r="H16" s="12">
        <f t="shared" si="9"/>
        <v>711634.69166043436</v>
      </c>
      <c r="I16" s="17">
        <f t="shared" si="10"/>
        <v>0.71312461431031704</v>
      </c>
      <c r="J16" s="17">
        <f t="shared" si="10"/>
        <v>1.7579209228065575</v>
      </c>
      <c r="K16" s="18">
        <f t="shared" si="11"/>
        <v>0.76211567528276947</v>
      </c>
      <c r="L16" s="18">
        <f t="shared" si="11"/>
        <v>0.96061951736986761</v>
      </c>
      <c r="M16" s="30">
        <f>Data!I212</f>
        <v>6.8899997000000004E-2</v>
      </c>
      <c r="N16" s="30">
        <f>Data!I329 - M16</f>
        <v>0.18510001300000001</v>
      </c>
      <c r="O16" s="30">
        <f t="shared" si="0"/>
        <v>0.74599998999999995</v>
      </c>
      <c r="P16" s="30">
        <f>Data!N212</f>
        <v>6.6900000000000001E-2</v>
      </c>
      <c r="Q16" s="30">
        <f>Data!N329 - P16</f>
        <v>0.16850000999999998</v>
      </c>
      <c r="R16" s="30">
        <f t="shared" si="12"/>
        <v>0.76459999000000001</v>
      </c>
      <c r="S16" s="19">
        <f t="shared" si="1"/>
        <v>0.76211567528276947</v>
      </c>
      <c r="T16" s="19">
        <f t="shared" si="2"/>
        <v>0.19850384208709815</v>
      </c>
      <c r="U16" s="19">
        <f t="shared" si="3"/>
        <v>3.9380482630132385E-2</v>
      </c>
      <c r="V16" s="30">
        <f t="shared" si="13"/>
        <v>0.23788432471723053</v>
      </c>
      <c r="W16" s="11">
        <f t="shared" si="4"/>
        <v>0.31227075039533858</v>
      </c>
      <c r="X16" s="30">
        <f t="shared" si="5"/>
        <v>0.74959757723437481</v>
      </c>
      <c r="Y16" s="30">
        <f t="shared" si="6"/>
        <v>-6.7524280367414202E-2</v>
      </c>
      <c r="Z16" s="30">
        <f t="shared" si="14"/>
        <v>-2.1145983222022102E-2</v>
      </c>
      <c r="AA16" s="30">
        <f t="shared" si="15"/>
        <v>0.69881107421499133</v>
      </c>
      <c r="AB16" s="30">
        <f t="shared" si="16"/>
        <v>-0.1511498808871079</v>
      </c>
      <c r="AC16" s="30">
        <f t="shared" si="17"/>
        <v>3.2597606869964046E-3</v>
      </c>
    </row>
    <row r="17" spans="1:29" x14ac:dyDescent="0.5">
      <c r="A17" s="10">
        <v>1994</v>
      </c>
      <c r="B17" s="12">
        <f>'Minimum Deflation Total'!E17</f>
        <v>103668.89230798573</v>
      </c>
      <c r="C17" s="12">
        <f>Data!AG537</f>
        <v>233760.41</v>
      </c>
      <c r="D17" s="12">
        <f>Data!AB96</f>
        <v>3520173.5</v>
      </c>
      <c r="E17" s="11">
        <f t="shared" si="7"/>
        <v>12.189467641614687</v>
      </c>
      <c r="F17" s="11">
        <f t="shared" si="8"/>
        <v>0.58751057744343971</v>
      </c>
      <c r="G17" s="12">
        <f t="shared" si="9"/>
        <v>417647.36953468516</v>
      </c>
      <c r="H17" s="12">
        <f t="shared" si="9"/>
        <v>771600.04970109498</v>
      </c>
      <c r="I17" s="17">
        <f t="shared" si="10"/>
        <v>0.69404098810115922</v>
      </c>
      <c r="J17" s="17">
        <f t="shared" si="10"/>
        <v>1.7388372965974006</v>
      </c>
      <c r="K17" s="18">
        <f t="shared" si="11"/>
        <v>0.75617174768899831</v>
      </c>
      <c r="L17" s="18">
        <f t="shared" si="11"/>
        <v>0.95896830692449975</v>
      </c>
      <c r="M17" s="30">
        <f>Data!I213</f>
        <v>7.4800000000000005E-2</v>
      </c>
      <c r="N17" s="30">
        <f>Data!I330 - M17</f>
        <v>0.18530000999999999</v>
      </c>
      <c r="O17" s="30">
        <f t="shared" si="0"/>
        <v>0.73989999000000006</v>
      </c>
      <c r="P17" s="30">
        <f>Data!N213</f>
        <v>7.1699999E-2</v>
      </c>
      <c r="Q17" s="30">
        <f>Data!N330 - P17</f>
        <v>0.16750000100000001</v>
      </c>
      <c r="R17" s="30">
        <f t="shared" si="12"/>
        <v>0.76079999999999992</v>
      </c>
      <c r="S17" s="19">
        <f t="shared" si="1"/>
        <v>0.75617174768899831</v>
      </c>
      <c r="T17" s="19">
        <f t="shared" si="2"/>
        <v>0.20279655923550144</v>
      </c>
      <c r="U17" s="19">
        <f t="shared" si="3"/>
        <v>4.1031693075500253E-2</v>
      </c>
      <c r="V17" s="30">
        <f t="shared" si="13"/>
        <v>0.24382825231100169</v>
      </c>
      <c r="W17" s="11">
        <f t="shared" si="4"/>
        <v>0.32217483704503636</v>
      </c>
      <c r="X17" s="30">
        <f t="shared" si="5"/>
        <v>0.82298107617359273</v>
      </c>
      <c r="Y17" s="30">
        <f t="shared" si="6"/>
        <v>-8.6276361401098733E-2</v>
      </c>
      <c r="Z17" s="30">
        <f t="shared" si="14"/>
        <v>-2.1518600422096967E-2</v>
      </c>
      <c r="AA17" s="30">
        <f t="shared" si="15"/>
        <v>0.74742969704098283</v>
      </c>
      <c r="AB17" s="30">
        <f t="shared" si="16"/>
        <v>-0.17404909811370428</v>
      </c>
      <c r="AC17" s="30">
        <f t="shared" si="17"/>
        <v>6.1206363833963273E-3</v>
      </c>
    </row>
    <row r="18" spans="1:29" x14ac:dyDescent="0.5">
      <c r="A18">
        <v>1995</v>
      </c>
      <c r="B18" s="12">
        <f>'Minimum Deflation Total'!E18</f>
        <v>105742.27015414544</v>
      </c>
      <c r="C18" s="12">
        <f>Data!AG538</f>
        <v>238332.2</v>
      </c>
      <c r="D18" s="12">
        <f>Data!AB97</f>
        <v>3686539.8</v>
      </c>
      <c r="E18" s="11">
        <f t="shared" si="7"/>
        <v>12.206244139810165</v>
      </c>
      <c r="F18" s="11">
        <f t="shared" si="8"/>
        <v>0.59190647562230436</v>
      </c>
      <c r="G18" s="12">
        <f t="shared" si="9"/>
        <v>427112.53705119231</v>
      </c>
      <c r="H18" s="12">
        <f t="shared" si="9"/>
        <v>792719.33591680706</v>
      </c>
      <c r="I18" s="17">
        <f t="shared" si="10"/>
        <v>0.68964508992229578</v>
      </c>
      <c r="J18" s="17">
        <f t="shared" si="10"/>
        <v>1.7344413984185365</v>
      </c>
      <c r="K18" s="18">
        <f t="shared" si="11"/>
        <v>0.75479129769895881</v>
      </c>
      <c r="L18" s="18">
        <f t="shared" si="11"/>
        <v>0.9585801024754792</v>
      </c>
      <c r="M18" s="30">
        <f>Data!I214</f>
        <v>7.6800004000000005E-2</v>
      </c>
      <c r="N18" s="30">
        <f>Data!I331 - M18</f>
        <v>0.18539999599999998</v>
      </c>
      <c r="O18" s="30">
        <f t="shared" si="0"/>
        <v>0.73780000000000001</v>
      </c>
      <c r="P18" s="30">
        <f>Data!N214</f>
        <v>7.22E-2</v>
      </c>
      <c r="Q18" s="30">
        <f>Data!N331 - P18</f>
        <v>0.16620000000000001</v>
      </c>
      <c r="R18" s="30">
        <f t="shared" si="12"/>
        <v>0.76159999999999994</v>
      </c>
      <c r="S18" s="19">
        <f t="shared" si="1"/>
        <v>0.75479129769895881</v>
      </c>
      <c r="T18" s="19">
        <f t="shared" si="2"/>
        <v>0.20378880477652039</v>
      </c>
      <c r="U18" s="19">
        <f t="shared" si="3"/>
        <v>4.1419897524520799E-2</v>
      </c>
      <c r="V18" s="30">
        <f t="shared" si="13"/>
        <v>0.24520870230104119</v>
      </c>
      <c r="W18" s="11">
        <f t="shared" si="4"/>
        <v>0.32444844405595674</v>
      </c>
      <c r="X18" s="30">
        <f t="shared" si="5"/>
        <v>0.8541814101431322</v>
      </c>
      <c r="Y18" s="30">
        <f t="shared" si="6"/>
        <v>-9.0234636768619425E-2</v>
      </c>
      <c r="Z18" s="30">
        <f t="shared" si="14"/>
        <v>-2.2511252780415103E-2</v>
      </c>
      <c r="AA18" s="30">
        <f t="shared" si="15"/>
        <v>0.74312357864374756</v>
      </c>
      <c r="AB18" s="30">
        <f t="shared" si="16"/>
        <v>-0.18444980242040843</v>
      </c>
      <c r="AC18" s="30">
        <f t="shared" si="17"/>
        <v>9.0206422911842665E-3</v>
      </c>
    </row>
    <row r="19" spans="1:29" x14ac:dyDescent="0.5">
      <c r="A19" s="10">
        <v>1996</v>
      </c>
      <c r="B19" s="12">
        <f>'Minimum Deflation Total'!E19</f>
        <v>107857.11555722836</v>
      </c>
      <c r="C19" s="12">
        <f>Data!AG539</f>
        <v>245266.91</v>
      </c>
      <c r="D19" s="12">
        <f>Data!AB98</f>
        <v>3893881.8</v>
      </c>
      <c r="E19" s="11">
        <f t="shared" si="7"/>
        <v>12.231464290589217</v>
      </c>
      <c r="F19" s="11">
        <f t="shared" si="8"/>
        <v>0.59772574733303008</v>
      </c>
      <c r="G19" s="12">
        <f t="shared" si="9"/>
        <v>441300.20414213539</v>
      </c>
      <c r="H19" s="12">
        <f t="shared" si="9"/>
        <v>824046.56000597088</v>
      </c>
      <c r="I19" s="17">
        <f t="shared" si="10"/>
        <v>0.68382581821157185</v>
      </c>
      <c r="J19" s="17">
        <f t="shared" si="10"/>
        <v>1.7286221267078103</v>
      </c>
      <c r="K19" s="18">
        <f t="shared" si="11"/>
        <v>0.75295741933724769</v>
      </c>
      <c r="L19" s="18">
        <f t="shared" si="11"/>
        <v>0.95806162656781324</v>
      </c>
      <c r="M19" s="30">
        <f>Data!I215</f>
        <v>7.8799999999999995E-2</v>
      </c>
      <c r="N19" s="30">
        <f>Data!I332 - M19</f>
        <v>0.18580001000000002</v>
      </c>
      <c r="O19" s="30">
        <f t="shared" si="0"/>
        <v>0.73539999</v>
      </c>
      <c r="P19" s="30">
        <f>Data!N215</f>
        <v>7.3899998999999994E-2</v>
      </c>
      <c r="Q19" s="30">
        <f>Data!N332 - P19</f>
        <v>0.166600001</v>
      </c>
      <c r="R19" s="30">
        <f t="shared" si="12"/>
        <v>0.75950000000000006</v>
      </c>
      <c r="S19" s="19">
        <f t="shared" si="1"/>
        <v>0.75295741933724769</v>
      </c>
      <c r="T19" s="19">
        <f t="shared" si="2"/>
        <v>0.20510420723056555</v>
      </c>
      <c r="U19" s="19">
        <f t="shared" si="3"/>
        <v>4.193837343218676E-2</v>
      </c>
      <c r="V19" s="30">
        <f t="shared" si="13"/>
        <v>0.24704258066275231</v>
      </c>
      <c r="W19" s="11">
        <f t="shared" si="4"/>
        <v>0.32745368589328927</v>
      </c>
      <c r="X19" s="30">
        <f t="shared" si="5"/>
        <v>0.87894745435031019</v>
      </c>
      <c r="Y19" s="30">
        <f t="shared" si="6"/>
        <v>-9.4118972454158123E-2</v>
      </c>
      <c r="Z19" s="30">
        <f t="shared" si="14"/>
        <v>-2.3317957810551571E-2</v>
      </c>
      <c r="AA19" s="30">
        <f t="shared" si="15"/>
        <v>0.76210932737995529</v>
      </c>
      <c r="AB19" s="30">
        <f t="shared" si="16"/>
        <v>-0.18772996785620044</v>
      </c>
      <c r="AC19" s="30">
        <f t="shared" si="17"/>
        <v>8.6891774949386935E-3</v>
      </c>
    </row>
    <row r="20" spans="1:29" x14ac:dyDescent="0.5">
      <c r="A20">
        <v>1997</v>
      </c>
      <c r="B20" s="12">
        <f>'Minimum Deflation Total'!E20</f>
        <v>110014.25786837294</v>
      </c>
      <c r="C20" s="12">
        <f>Data!AG540</f>
        <v>252192.7</v>
      </c>
      <c r="D20" s="12">
        <f>Data!AB99</f>
        <v>4306371</v>
      </c>
      <c r="E20" s="11">
        <f t="shared" si="7"/>
        <v>12.251161874651494</v>
      </c>
      <c r="F20" s="11">
        <f t="shared" si="8"/>
        <v>0.61120680978048281</v>
      </c>
      <c r="G20" s="12">
        <f t="shared" si="9"/>
        <v>457922.3552017092</v>
      </c>
      <c r="H20" s="12">
        <f t="shared" si="9"/>
        <v>867214.41950183036</v>
      </c>
      <c r="I20" s="17">
        <f t="shared" si="10"/>
        <v>0.67034475576411845</v>
      </c>
      <c r="J20" s="17">
        <f t="shared" si="10"/>
        <v>1.7151410642603591</v>
      </c>
      <c r="K20" s="18">
        <f t="shared" si="11"/>
        <v>0.74868097867808114</v>
      </c>
      <c r="L20" s="18">
        <f t="shared" si="11"/>
        <v>0.95684031644947787</v>
      </c>
      <c r="M20" s="30">
        <f>Data!I216</f>
        <v>8.4500000000000006E-2</v>
      </c>
      <c r="N20" s="30">
        <f>Data!I333 - M20</f>
        <v>0.18829999999999997</v>
      </c>
      <c r="O20" s="30">
        <f t="shared" si="0"/>
        <v>0.72720000000000007</v>
      </c>
      <c r="P20" s="30">
        <f>Data!N216</f>
        <v>7.9499997000000003E-2</v>
      </c>
      <c r="Q20" s="30">
        <f>Data!N333 - P20</f>
        <v>0.16890000300000002</v>
      </c>
      <c r="R20" s="30">
        <f t="shared" si="12"/>
        <v>0.75159999999999993</v>
      </c>
      <c r="S20" s="19">
        <f t="shared" si="1"/>
        <v>0.74868097867808114</v>
      </c>
      <c r="T20" s="19">
        <f t="shared" si="2"/>
        <v>0.20815933777139672</v>
      </c>
      <c r="U20" s="19">
        <f t="shared" si="3"/>
        <v>4.3159683550522132E-2</v>
      </c>
      <c r="V20" s="30">
        <f t="shared" si="13"/>
        <v>0.25131902132191886</v>
      </c>
      <c r="W20" s="11">
        <f t="shared" si="4"/>
        <v>0.33439556852999264</v>
      </c>
      <c r="X20" s="30">
        <f t="shared" si="5"/>
        <v>0.95784568024196637</v>
      </c>
      <c r="Y20" s="30">
        <f t="shared" si="6"/>
        <v>-9.5404501109657369E-2</v>
      </c>
      <c r="Z20" s="30">
        <f t="shared" si="14"/>
        <v>-2.8691764970454114E-2</v>
      </c>
      <c r="AA20" s="30">
        <f t="shared" si="15"/>
        <v>0.84199675391360085</v>
      </c>
      <c r="AB20" s="30">
        <f t="shared" si="16"/>
        <v>-0.18860232354558992</v>
      </c>
      <c r="AC20" s="30">
        <f t="shared" si="17"/>
        <v>3.8988853798220813E-3</v>
      </c>
    </row>
    <row r="21" spans="1:29" x14ac:dyDescent="0.5">
      <c r="A21" s="10">
        <v>1998</v>
      </c>
      <c r="B21" s="12">
        <f>'Minimum Deflation Total'!E21</f>
        <v>112214.54302574039</v>
      </c>
      <c r="C21" s="12">
        <f>Data!AG541</f>
        <v>256949.09</v>
      </c>
      <c r="D21" s="12">
        <f>Data!AB100</f>
        <v>4236327.5</v>
      </c>
      <c r="E21" s="11">
        <f t="shared" si="7"/>
        <v>12.273515928127898</v>
      </c>
      <c r="F21" s="11">
        <f t="shared" si="8"/>
        <v>0.60517323592696959</v>
      </c>
      <c r="G21" s="12">
        <f t="shared" si="9"/>
        <v>464667.15662135626</v>
      </c>
      <c r="H21" s="12">
        <f t="shared" si="9"/>
        <v>874457.8724251875</v>
      </c>
      <c r="I21" s="17">
        <f t="shared" si="10"/>
        <v>0.67637832961762978</v>
      </c>
      <c r="J21" s="17">
        <f t="shared" si="10"/>
        <v>1.7211746381138711</v>
      </c>
      <c r="K21" s="18">
        <f t="shared" si="11"/>
        <v>0.75059976386023708</v>
      </c>
      <c r="L21" s="18">
        <f t="shared" si="11"/>
        <v>0.95739043071930219</v>
      </c>
      <c r="M21" s="30">
        <f>Data!I217</f>
        <v>8.1500001000000002E-2</v>
      </c>
      <c r="N21" s="30">
        <f>Data!I334 - M21</f>
        <v>0.18769999900000001</v>
      </c>
      <c r="O21" s="30">
        <f t="shared" si="0"/>
        <v>0.73080000000000001</v>
      </c>
      <c r="P21" s="30">
        <f>Data!N217</f>
        <v>7.5800002000000005E-2</v>
      </c>
      <c r="Q21" s="30">
        <f>Data!N334 - P21</f>
        <v>0.16789999799999999</v>
      </c>
      <c r="R21" s="30">
        <f t="shared" si="12"/>
        <v>0.75629999999999997</v>
      </c>
      <c r="S21" s="19">
        <f t="shared" si="1"/>
        <v>0.75059976386023708</v>
      </c>
      <c r="T21" s="19">
        <f t="shared" si="2"/>
        <v>0.20679066685906511</v>
      </c>
      <c r="U21" s="19">
        <f t="shared" si="3"/>
        <v>4.2609569280697812E-2</v>
      </c>
      <c r="V21" s="30">
        <f t="shared" si="13"/>
        <v>0.24940023613976292</v>
      </c>
      <c r="W21" s="11">
        <f t="shared" si="4"/>
        <v>0.33129216265737327</v>
      </c>
      <c r="X21" s="30">
        <f t="shared" si="5"/>
        <v>0.91271590808874015</v>
      </c>
      <c r="Y21" s="30">
        <f t="shared" si="6"/>
        <v>-9.2318807947343373E-2</v>
      </c>
      <c r="Z21" s="30">
        <f t="shared" si="14"/>
        <v>-2.6378590579897665E-2</v>
      </c>
      <c r="AA21" s="30">
        <f t="shared" si="15"/>
        <v>0.77894316416705722</v>
      </c>
      <c r="AB21" s="30">
        <f t="shared" si="16"/>
        <v>-0.18806781490564284</v>
      </c>
      <c r="AC21" s="30">
        <f t="shared" si="17"/>
        <v>7.5942418506067533E-3</v>
      </c>
    </row>
    <row r="22" spans="1:29" x14ac:dyDescent="0.5">
      <c r="A22">
        <v>1999</v>
      </c>
      <c r="B22" s="12">
        <f>'Minimum Deflation Total'!E22</f>
        <v>114458.8338862552</v>
      </c>
      <c r="C22" s="12">
        <f>Data!AG542</f>
        <v>264144.69</v>
      </c>
      <c r="D22" s="12">
        <f>Data!AB101</f>
        <v>4681788.5</v>
      </c>
      <c r="E22" s="11">
        <f t="shared" si="7"/>
        <v>12.292958470907402</v>
      </c>
      <c r="F22" s="11">
        <f t="shared" si="8"/>
        <v>0.61853670750951772</v>
      </c>
      <c r="G22" s="12">
        <f t="shared" si="9"/>
        <v>481973.85882690584</v>
      </c>
      <c r="H22" s="12">
        <f t="shared" si="9"/>
        <v>919780.21655688423</v>
      </c>
      <c r="I22" s="17">
        <f t="shared" si="10"/>
        <v>0.66301485803508287</v>
      </c>
      <c r="J22" s="17">
        <f t="shared" si="10"/>
        <v>1.7078111665313249</v>
      </c>
      <c r="K22" s="18">
        <f t="shared" si="11"/>
        <v>0.74633948089206659</v>
      </c>
      <c r="L22" s="18">
        <f t="shared" si="11"/>
        <v>0.95616430677921105</v>
      </c>
      <c r="M22" s="30">
        <f>Data!I218</f>
        <v>8.7399996999999993E-2</v>
      </c>
      <c r="N22" s="30">
        <f>Data!I335 - M22</f>
        <v>0.19060000300000002</v>
      </c>
      <c r="O22" s="30">
        <f t="shared" si="0"/>
        <v>0.72199999999999998</v>
      </c>
      <c r="P22" s="30">
        <f>Data!N218</f>
        <v>8.1600003000000004E-2</v>
      </c>
      <c r="Q22" s="30">
        <f>Data!N335 - P22</f>
        <v>0.17019999700000002</v>
      </c>
      <c r="R22" s="30">
        <f t="shared" si="12"/>
        <v>0.74819999999999998</v>
      </c>
      <c r="S22" s="19">
        <f t="shared" si="1"/>
        <v>0.74633948089206659</v>
      </c>
      <c r="T22" s="19">
        <f t="shared" si="2"/>
        <v>0.20982482588714446</v>
      </c>
      <c r="U22" s="19">
        <f t="shared" si="3"/>
        <v>4.3835693220788952E-2</v>
      </c>
      <c r="V22" s="30">
        <f t="shared" si="13"/>
        <v>0.25366051910793341</v>
      </c>
      <c r="W22" s="11">
        <f t="shared" si="4"/>
        <v>0.3381580507062929</v>
      </c>
      <c r="X22" s="30">
        <f t="shared" si="5"/>
        <v>0.99380893920826141</v>
      </c>
      <c r="Y22" s="30">
        <f t="shared" si="6"/>
        <v>-9.1623204288917792E-2</v>
      </c>
      <c r="Z22" s="30">
        <f t="shared" si="14"/>
        <v>-3.2611809391317026E-2</v>
      </c>
      <c r="AA22" s="30">
        <f t="shared" si="15"/>
        <v>0.86149680784109139</v>
      </c>
      <c r="AB22" s="30">
        <f t="shared" si="16"/>
        <v>-0.18884719060106303</v>
      </c>
      <c r="AC22" s="30">
        <f t="shared" si="17"/>
        <v>2.4928590213526558E-3</v>
      </c>
    </row>
    <row r="23" spans="1:29" x14ac:dyDescent="0.5">
      <c r="A23" s="10">
        <v>2000</v>
      </c>
      <c r="B23" s="12">
        <f>'Minimum Deflation Total'!E23</f>
        <v>116748.01056398031</v>
      </c>
      <c r="C23" s="12">
        <f>Data!AG543</f>
        <v>270858.31</v>
      </c>
      <c r="D23" s="12">
        <f>Data!AB102</f>
        <v>4806932</v>
      </c>
      <c r="E23" s="11">
        <f t="shared" si="7"/>
        <v>12.317378752931848</v>
      </c>
      <c r="F23" s="11">
        <f t="shared" si="8"/>
        <v>0.61963274424837778</v>
      </c>
      <c r="G23" s="12">
        <f t="shared" si="9"/>
        <v>494582.90311929269</v>
      </c>
      <c r="H23" s="12">
        <f t="shared" si="9"/>
        <v>944924.27425366885</v>
      </c>
      <c r="I23" s="17">
        <f t="shared" si="10"/>
        <v>0.66191882129622481</v>
      </c>
      <c r="J23" s="17">
        <f t="shared" si="10"/>
        <v>1.7067151297924634</v>
      </c>
      <c r="K23" s="18">
        <f t="shared" si="11"/>
        <v>0.74598837556004327</v>
      </c>
      <c r="L23" s="18">
        <f t="shared" si="11"/>
        <v>0.95606249316583003</v>
      </c>
      <c r="M23" s="30">
        <f>Data!I219</f>
        <v>8.7399996999999993E-2</v>
      </c>
      <c r="N23" s="30">
        <f>Data!I336 - M23</f>
        <v>0.190800003</v>
      </c>
      <c r="O23" s="30">
        <f t="shared" si="0"/>
        <v>0.7218</v>
      </c>
      <c r="P23" s="30">
        <f>Data!N219</f>
        <v>8.0799996999999998E-2</v>
      </c>
      <c r="Q23" s="30">
        <f>Data!N336 - P23</f>
        <v>0.17080000299999998</v>
      </c>
      <c r="R23" s="30">
        <f t="shared" si="12"/>
        <v>0.74840000000000007</v>
      </c>
      <c r="S23" s="19">
        <f t="shared" si="1"/>
        <v>0.74598837556004327</v>
      </c>
      <c r="T23" s="19">
        <f t="shared" si="2"/>
        <v>0.21007411760578676</v>
      </c>
      <c r="U23" s="19">
        <f t="shared" si="3"/>
        <v>4.393750683416997E-2</v>
      </c>
      <c r="V23" s="30">
        <f t="shared" si="13"/>
        <v>0.25401162443995673</v>
      </c>
      <c r="W23" s="11">
        <f t="shared" si="4"/>
        <v>0.33871992297837838</v>
      </c>
      <c r="X23" s="30">
        <f t="shared" si="5"/>
        <v>0.98918881150601545</v>
      </c>
      <c r="Y23" s="30">
        <f t="shared" si="6"/>
        <v>-9.1749116099849481E-2</v>
      </c>
      <c r="Z23" s="30">
        <f t="shared" si="14"/>
        <v>-3.2424601176773149E-2</v>
      </c>
      <c r="AA23" s="30">
        <f t="shared" si="15"/>
        <v>0.83897546360464537</v>
      </c>
      <c r="AB23" s="30">
        <f t="shared" si="16"/>
        <v>-0.18695360977065423</v>
      </c>
      <c r="AC23" s="30">
        <f t="shared" si="17"/>
        <v>3.2327909106442121E-3</v>
      </c>
    </row>
    <row r="24" spans="1:29" x14ac:dyDescent="0.5">
      <c r="A24">
        <v>2001</v>
      </c>
      <c r="B24" s="12">
        <f>'Minimum Deflation Total'!E24</f>
        <v>119082.97077525992</v>
      </c>
      <c r="C24" s="12">
        <f>Data!AG544</f>
        <v>272996.59000000003</v>
      </c>
      <c r="D24" s="12">
        <f>Data!AB103</f>
        <v>4252587</v>
      </c>
      <c r="E24" s="11">
        <f t="shared" si="7"/>
        <v>12.339659990858534</v>
      </c>
      <c r="F24" s="11">
        <f t="shared" si="8"/>
        <v>0.5959103831752911</v>
      </c>
      <c r="G24" s="12">
        <f t="shared" si="9"/>
        <v>490583.05719323311</v>
      </c>
      <c r="H24" s="12">
        <f t="shared" si="9"/>
        <v>914337.32223604654</v>
      </c>
      <c r="I24" s="17">
        <f t="shared" si="10"/>
        <v>0.68564118236931004</v>
      </c>
      <c r="J24" s="17">
        <f t="shared" si="10"/>
        <v>1.7304374908655515</v>
      </c>
      <c r="K24" s="18">
        <f t="shared" si="11"/>
        <v>0.75353029733469168</v>
      </c>
      <c r="L24" s="18">
        <f t="shared" si="11"/>
        <v>0.9582239298057974</v>
      </c>
      <c r="M24" s="30">
        <f>Data!I220</f>
        <v>7.6899997999999997E-2</v>
      </c>
      <c r="N24" s="30">
        <f>Data!I337 - M24</f>
        <v>0.18849999199999998</v>
      </c>
      <c r="O24" s="30">
        <f t="shared" si="0"/>
        <v>0.73460000999999997</v>
      </c>
      <c r="P24" s="30">
        <f>Data!N220</f>
        <v>7.0100001999999995E-2</v>
      </c>
      <c r="Q24" s="30">
        <f>Data!N337 - P24</f>
        <v>0.16800000800000001</v>
      </c>
      <c r="R24" s="30">
        <f t="shared" si="12"/>
        <v>0.76189998999999997</v>
      </c>
      <c r="S24" s="19">
        <f t="shared" si="1"/>
        <v>0.75353029733469168</v>
      </c>
      <c r="T24" s="19">
        <f t="shared" si="2"/>
        <v>0.20469363247110572</v>
      </c>
      <c r="U24" s="19">
        <f t="shared" si="3"/>
        <v>4.1776070194202597E-2</v>
      </c>
      <c r="V24" s="30">
        <f t="shared" si="13"/>
        <v>0.24646970266530832</v>
      </c>
      <c r="W24" s="11">
        <f t="shared" si="4"/>
        <v>0.32651673730310082</v>
      </c>
      <c r="X24" s="30">
        <f t="shared" si="5"/>
        <v>0.84076667916628645</v>
      </c>
      <c r="Y24" s="30">
        <f t="shared" si="6"/>
        <v>-7.911159851731886E-2</v>
      </c>
      <c r="Z24" s="30">
        <f t="shared" si="14"/>
        <v>-2.5122131653697144E-2</v>
      </c>
      <c r="AA24" s="30">
        <f t="shared" si="15"/>
        <v>0.67799416446135718</v>
      </c>
      <c r="AB24" s="30">
        <f t="shared" si="16"/>
        <v>-0.17926119160685339</v>
      </c>
      <c r="AC24" s="30">
        <f t="shared" si="17"/>
        <v>1.1107307423354751E-2</v>
      </c>
    </row>
    <row r="25" spans="1:29" x14ac:dyDescent="0.5">
      <c r="A25" s="10">
        <v>2002</v>
      </c>
      <c r="B25" s="12">
        <f>'Minimum Deflation Total'!E25</f>
        <v>121464.63019076512</v>
      </c>
      <c r="C25" s="12">
        <f>Data!AG545</f>
        <v>274306.59000000003</v>
      </c>
      <c r="D25" s="12">
        <f>Data!AB104</f>
        <v>4151646.3</v>
      </c>
      <c r="E25" s="11">
        <f t="shared" si="7"/>
        <v>12.348773079691403</v>
      </c>
      <c r="F25" s="11">
        <f t="shared" si="8"/>
        <v>0.58860618708279888</v>
      </c>
      <c r="G25" s="12">
        <f t="shared" si="9"/>
        <v>490461.59645663272</v>
      </c>
      <c r="H25" s="12">
        <f t="shared" si="9"/>
        <v>907161.55340937781</v>
      </c>
      <c r="I25" s="17">
        <f t="shared" si="10"/>
        <v>0.69294537846180249</v>
      </c>
      <c r="J25" s="17">
        <f t="shared" si="10"/>
        <v>1.7377416869580444</v>
      </c>
      <c r="K25" s="18">
        <f t="shared" si="11"/>
        <v>0.75582808477396524</v>
      </c>
      <c r="L25" s="18">
        <f t="shared" si="11"/>
        <v>0.95887183011871535</v>
      </c>
      <c r="M25" s="30">
        <f>Data!I221</f>
        <v>7.4699998000000004E-2</v>
      </c>
      <c r="N25" s="30">
        <f>Data!I338 - M25</f>
        <v>0.18790000200000001</v>
      </c>
      <c r="O25" s="30">
        <f t="shared" si="0"/>
        <v>0.73739999999999994</v>
      </c>
      <c r="P25" s="30">
        <f>Data!N221</f>
        <v>6.8099997999999995E-2</v>
      </c>
      <c r="Q25" s="30">
        <f>Data!N338 - P25</f>
        <v>0.167399992</v>
      </c>
      <c r="R25" s="30">
        <f t="shared" si="12"/>
        <v>0.76450001000000001</v>
      </c>
      <c r="S25" s="19">
        <f t="shared" si="1"/>
        <v>0.75582808477396524</v>
      </c>
      <c r="T25" s="19">
        <f t="shared" si="2"/>
        <v>0.20304374534475012</v>
      </c>
      <c r="U25" s="19">
        <f t="shared" si="3"/>
        <v>4.1128169881284649E-2</v>
      </c>
      <c r="V25" s="30">
        <f t="shared" si="13"/>
        <v>0.24417191522603476</v>
      </c>
      <c r="W25" s="11">
        <f t="shared" si="4"/>
        <v>0.32274177399985593</v>
      </c>
      <c r="X25" s="30">
        <f t="shared" si="5"/>
        <v>0.81627332836884126</v>
      </c>
      <c r="Y25" s="30">
        <f t="shared" si="6"/>
        <v>-7.4583648558281812E-2</v>
      </c>
      <c r="Z25" s="30">
        <f t="shared" si="14"/>
        <v>-2.4381317848854889E-2</v>
      </c>
      <c r="AA25" s="30">
        <f t="shared" si="15"/>
        <v>0.65579937538112687</v>
      </c>
      <c r="AB25" s="30">
        <f t="shared" si="16"/>
        <v>-0.17554716243157464</v>
      </c>
      <c r="AC25" s="30">
        <f t="shared" si="17"/>
        <v>1.1473409629424003E-2</v>
      </c>
    </row>
    <row r="26" spans="1:29" x14ac:dyDescent="0.5">
      <c r="A26">
        <v>2003</v>
      </c>
      <c r="B26" s="12">
        <f>'Minimum Deflation Total'!E26</f>
        <v>123893.92279458043</v>
      </c>
      <c r="C26" s="12">
        <f>Data!AG546</f>
        <v>275432.40999999997</v>
      </c>
      <c r="D26" s="12">
        <f>Data!AB105</f>
        <v>3893977.8</v>
      </c>
      <c r="E26" s="11">
        <f t="shared" si="7"/>
        <v>12.36099956718938</v>
      </c>
      <c r="F26" s="11">
        <f t="shared" si="8"/>
        <v>0.57462679111369397</v>
      </c>
      <c r="G26" s="12">
        <f t="shared" si="9"/>
        <v>487679.36548222753</v>
      </c>
      <c r="H26" s="12">
        <f t="shared" si="9"/>
        <v>888936.76462768845</v>
      </c>
      <c r="I26" s="17">
        <f t="shared" si="10"/>
        <v>0.70692477443090618</v>
      </c>
      <c r="J26" s="17">
        <f t="shared" si="10"/>
        <v>1.7517210829271466</v>
      </c>
      <c r="K26" s="18">
        <f t="shared" si="11"/>
        <v>0.76019338639486689</v>
      </c>
      <c r="L26" s="18">
        <f t="shared" si="11"/>
        <v>0.96008911008902276</v>
      </c>
      <c r="M26" s="30">
        <f>Data!I222</f>
        <v>6.9899999000000004E-2</v>
      </c>
      <c r="N26" s="30">
        <f>Data!I339 - M26</f>
        <v>0.186200001</v>
      </c>
      <c r="O26" s="30">
        <f t="shared" si="0"/>
        <v>0.74390000000000001</v>
      </c>
      <c r="P26" s="30">
        <f>Data!N222</f>
        <v>6.3199996999999994E-2</v>
      </c>
      <c r="Q26" s="30">
        <f>Data!N339 - P26</f>
        <v>0.165600003</v>
      </c>
      <c r="R26" s="30">
        <f t="shared" si="12"/>
        <v>0.7712</v>
      </c>
      <c r="S26" s="19">
        <f t="shared" si="1"/>
        <v>0.76019338639486689</v>
      </c>
      <c r="T26" s="19">
        <f t="shared" si="2"/>
        <v>0.19989572369415587</v>
      </c>
      <c r="U26" s="19">
        <f t="shared" si="3"/>
        <v>3.9910889910977243E-2</v>
      </c>
      <c r="V26" s="30">
        <f t="shared" si="13"/>
        <v>0.23980661360513311</v>
      </c>
      <c r="W26" s="11">
        <f t="shared" si="4"/>
        <v>0.31549434512249785</v>
      </c>
      <c r="X26" s="30">
        <f t="shared" si="5"/>
        <v>0.75140166395474051</v>
      </c>
      <c r="Y26" s="30">
        <f t="shared" si="6"/>
        <v>-6.8514335579837438E-2</v>
      </c>
      <c r="Z26" s="30">
        <f t="shared" si="14"/>
        <v>-2.1433212504171406E-2</v>
      </c>
      <c r="AA26" s="30">
        <f t="shared" si="15"/>
        <v>0.58352763220689874</v>
      </c>
      <c r="AB26" s="30">
        <f t="shared" si="16"/>
        <v>-0.17156805588612267</v>
      </c>
      <c r="AC26" s="30">
        <f t="shared" si="17"/>
        <v>1.4478702133059462E-2</v>
      </c>
    </row>
    <row r="27" spans="1:29" x14ac:dyDescent="0.5">
      <c r="A27" s="10">
        <v>2004</v>
      </c>
      <c r="B27" s="12">
        <f>'Minimum Deflation Total'!E27</f>
        <v>126371.80125047204</v>
      </c>
      <c r="C27" s="12">
        <f>Data!AG547</f>
        <v>286704.59000000003</v>
      </c>
      <c r="D27" s="12">
        <f>Data!AB106</f>
        <v>4188526</v>
      </c>
      <c r="E27" s="11">
        <f t="shared" si="7"/>
        <v>12.39598361517363</v>
      </c>
      <c r="F27" s="11">
        <f t="shared" si="8"/>
        <v>0.58347929926601871</v>
      </c>
      <c r="G27" s="12">
        <f t="shared" si="9"/>
        <v>510804.60818783706</v>
      </c>
      <c r="H27" s="12">
        <f t="shared" si="9"/>
        <v>939740.86674715276</v>
      </c>
      <c r="I27" s="17">
        <f t="shared" si="10"/>
        <v>0.69807226627858143</v>
      </c>
      <c r="J27" s="17">
        <f t="shared" si="10"/>
        <v>1.742868574774822</v>
      </c>
      <c r="K27" s="18">
        <f t="shared" si="11"/>
        <v>0.75743399939572664</v>
      </c>
      <c r="L27" s="18">
        <f t="shared" si="11"/>
        <v>0.95932171278402578</v>
      </c>
      <c r="M27" s="30">
        <f>Data!I223</f>
        <v>7.1999996999999996E-2</v>
      </c>
      <c r="N27" s="30">
        <f>Data!I340 - M27</f>
        <v>0.18610000300000001</v>
      </c>
      <c r="O27" s="30">
        <f t="shared" si="0"/>
        <v>0.7419</v>
      </c>
      <c r="P27" s="30">
        <f>Data!N223</f>
        <v>6.6799997999999999E-2</v>
      </c>
      <c r="Q27" s="30">
        <f>Data!N340 - P27</f>
        <v>0.166300002</v>
      </c>
      <c r="R27" s="30">
        <f t="shared" si="12"/>
        <v>0.76689999999999992</v>
      </c>
      <c r="S27" s="19">
        <f t="shared" si="1"/>
        <v>0.75743399939572664</v>
      </c>
      <c r="T27" s="19">
        <f t="shared" si="2"/>
        <v>0.20188771338829914</v>
      </c>
      <c r="U27" s="19">
        <f t="shared" si="3"/>
        <v>4.0678287215974218E-2</v>
      </c>
      <c r="V27" s="30">
        <f t="shared" si="13"/>
        <v>0.24256600060427336</v>
      </c>
      <c r="W27" s="11">
        <f t="shared" si="4"/>
        <v>0.32008723264786099</v>
      </c>
      <c r="X27" s="30">
        <f t="shared" si="5"/>
        <v>0.76998595387580271</v>
      </c>
      <c r="Y27" s="30">
        <f t="shared" si="6"/>
        <v>-7.8200451742865384E-2</v>
      </c>
      <c r="Z27" s="30">
        <f t="shared" si="14"/>
        <v>-2.0508716809807259E-2</v>
      </c>
      <c r="AA27" s="30">
        <f t="shared" si="15"/>
        <v>0.6421536542415649</v>
      </c>
      <c r="AB27" s="30">
        <f t="shared" si="16"/>
        <v>-0.17627477567122574</v>
      </c>
      <c r="AC27" s="30">
        <f t="shared" si="17"/>
        <v>1.2497459332199368E-2</v>
      </c>
    </row>
    <row r="28" spans="1:29" x14ac:dyDescent="0.5">
      <c r="A28">
        <v>2005</v>
      </c>
      <c r="B28" s="12">
        <f>'Minimum Deflation Total'!E28</f>
        <v>128899.23727548149</v>
      </c>
      <c r="C28" s="12">
        <f>Data!AG548</f>
        <v>298830.69</v>
      </c>
      <c r="D28" s="12">
        <f>Data!AB107</f>
        <v>4919057.5</v>
      </c>
      <c r="E28" s="11">
        <f t="shared" si="7"/>
        <v>12.423423999352714</v>
      </c>
      <c r="F28" s="11">
        <f t="shared" si="8"/>
        <v>0.60697353889121164</v>
      </c>
      <c r="G28" s="12">
        <f t="shared" si="9"/>
        <v>541063.4795430135</v>
      </c>
      <c r="H28" s="12">
        <f t="shared" si="9"/>
        <v>1020145.2745531498</v>
      </c>
      <c r="I28" s="17">
        <f t="shared" si="10"/>
        <v>0.67457802665338695</v>
      </c>
      <c r="J28" s="17">
        <f t="shared" si="10"/>
        <v>1.7193743351496276</v>
      </c>
      <c r="K28" s="18">
        <f t="shared" si="11"/>
        <v>0.7500280513548957</v>
      </c>
      <c r="L28" s="18">
        <f t="shared" si="11"/>
        <v>0.95722688381594112</v>
      </c>
      <c r="M28" s="30">
        <f>Data!I224</f>
        <v>8.0499999000000003E-2</v>
      </c>
      <c r="N28" s="30">
        <f>Data!I341 - M28</f>
        <v>0.18840001100000003</v>
      </c>
      <c r="O28" s="30">
        <f t="shared" si="0"/>
        <v>0.73109998999999992</v>
      </c>
      <c r="P28" s="30">
        <f>Data!N224</f>
        <v>7.9899997E-2</v>
      </c>
      <c r="Q28" s="30">
        <f>Data!N341 - P28</f>
        <v>0.16870001300000001</v>
      </c>
      <c r="R28" s="30">
        <f t="shared" si="12"/>
        <v>0.75139998999999991</v>
      </c>
      <c r="S28" s="19">
        <f t="shared" si="1"/>
        <v>0.7500280513548957</v>
      </c>
      <c r="T28" s="19">
        <f t="shared" si="2"/>
        <v>0.20719883246104542</v>
      </c>
      <c r="U28" s="19">
        <f t="shared" si="3"/>
        <v>4.2773116184058879E-2</v>
      </c>
      <c r="V28" s="30">
        <f t="shared" si="13"/>
        <v>0.2499719486451043</v>
      </c>
      <c r="W28" s="11">
        <f t="shared" si="4"/>
        <v>0.33221875527650457</v>
      </c>
      <c r="X28" s="30">
        <f t="shared" si="5"/>
        <v>0.88202324688238543</v>
      </c>
      <c r="Y28" s="30">
        <f t="shared" si="6"/>
        <v>-9.0728414044416339E-2</v>
      </c>
      <c r="Z28" s="30">
        <f t="shared" si="14"/>
        <v>-2.5236471250245862E-2</v>
      </c>
      <c r="AA28" s="30">
        <f t="shared" si="15"/>
        <v>0.86799569748855343</v>
      </c>
      <c r="AB28" s="30">
        <f t="shared" si="16"/>
        <v>-0.18580616021706309</v>
      </c>
      <c r="AC28" s="30">
        <f t="shared" si="17"/>
        <v>1.8291831120527124E-3</v>
      </c>
    </row>
    <row r="29" spans="1:29" x14ac:dyDescent="0.5">
      <c r="A29" s="10">
        <v>2006</v>
      </c>
      <c r="B29" s="12">
        <f>'Minimum Deflation Total'!E29</f>
        <v>131477.22202099112</v>
      </c>
      <c r="C29" s="12">
        <f>Data!AG549</f>
        <v>311330</v>
      </c>
      <c r="D29" s="12">
        <f>Data!AB108</f>
        <v>5360312.5</v>
      </c>
      <c r="E29" s="11">
        <f t="shared" si="7"/>
        <v>12.457652496544053</v>
      </c>
      <c r="F29" s="11">
        <f t="shared" si="8"/>
        <v>0.61799065576007595</v>
      </c>
      <c r="G29" s="12">
        <f t="shared" si="9"/>
        <v>567865.2246064347</v>
      </c>
      <c r="H29" s="12">
        <f t="shared" si="9"/>
        <v>1083073.8834431085</v>
      </c>
      <c r="I29" s="17">
        <f t="shared" si="10"/>
        <v>0.66356090978452398</v>
      </c>
      <c r="J29" s="17">
        <f t="shared" si="10"/>
        <v>1.7083572182807634</v>
      </c>
      <c r="K29" s="18">
        <f t="shared" si="11"/>
        <v>0.74651430839701671</v>
      </c>
      <c r="L29" s="18">
        <f t="shared" si="11"/>
        <v>0.95621495982874671</v>
      </c>
      <c r="M29" s="30">
        <f>Data!I225</f>
        <v>8.3899997000000004E-2</v>
      </c>
      <c r="N29" s="30">
        <f>Data!I342 - M29</f>
        <v>0.18960000300000002</v>
      </c>
      <c r="O29" s="30">
        <f t="shared" si="0"/>
        <v>0.72649999999999992</v>
      </c>
      <c r="P29" s="30">
        <f>Data!N225</f>
        <v>8.5699997999999999E-2</v>
      </c>
      <c r="Q29" s="30">
        <f>Data!N342 - P29</f>
        <v>0.17040000199999999</v>
      </c>
      <c r="R29" s="30">
        <f t="shared" si="12"/>
        <v>0.74390000000000001</v>
      </c>
      <c r="S29" s="19">
        <f t="shared" si="1"/>
        <v>0.74651430839701671</v>
      </c>
      <c r="T29" s="19">
        <f t="shared" si="2"/>
        <v>0.20970065143173</v>
      </c>
      <c r="U29" s="19">
        <f t="shared" si="3"/>
        <v>4.3785040171253287E-2</v>
      </c>
      <c r="V29" s="30">
        <f t="shared" si="13"/>
        <v>0.25348569160298329</v>
      </c>
      <c r="W29" s="11">
        <f t="shared" si="4"/>
        <v>0.33787805162908024</v>
      </c>
      <c r="X29" s="30">
        <f t="shared" si="5"/>
        <v>0.91617951409540721</v>
      </c>
      <c r="Y29" s="30">
        <f t="shared" si="6"/>
        <v>-9.5854010440563298E-2</v>
      </c>
      <c r="Z29" s="30">
        <f t="shared" si="14"/>
        <v>-2.6810348002563211E-2</v>
      </c>
      <c r="AA29" s="30">
        <f t="shared" si="15"/>
        <v>0.95728946838481233</v>
      </c>
      <c r="AB29" s="30">
        <f t="shared" si="16"/>
        <v>-0.18741310131086886</v>
      </c>
      <c r="AC29" s="30">
        <f t="shared" si="17"/>
        <v>-3.5020204805322752E-3</v>
      </c>
    </row>
    <row r="30" spans="1:29" x14ac:dyDescent="0.5">
      <c r="A30">
        <v>2007</v>
      </c>
      <c r="B30" s="12">
        <f>'Minimum Deflation Total'!E30</f>
        <v>134106.76646141094</v>
      </c>
      <c r="C30" s="12">
        <f>Data!AG550</f>
        <v>307906.69</v>
      </c>
      <c r="D30" s="12">
        <f>Data!AB109</f>
        <v>5046312.5</v>
      </c>
      <c r="E30" s="11">
        <f t="shared" si="7"/>
        <v>12.454763664503059</v>
      </c>
      <c r="F30" s="11">
        <f t="shared" si="8"/>
        <v>0.60462946836421894</v>
      </c>
      <c r="G30" s="12">
        <f t="shared" si="9"/>
        <v>556614.12567739957</v>
      </c>
      <c r="H30" s="12">
        <f t="shared" si="9"/>
        <v>1046898.0826118985</v>
      </c>
      <c r="I30" s="17">
        <f t="shared" si="10"/>
        <v>0.67692209718038221</v>
      </c>
      <c r="J30" s="17">
        <f t="shared" si="10"/>
        <v>1.7217184056766219</v>
      </c>
      <c r="K30" s="18">
        <f t="shared" si="11"/>
        <v>0.75077230843123011</v>
      </c>
      <c r="L30" s="18">
        <f t="shared" si="11"/>
        <v>0.95743972925152776</v>
      </c>
      <c r="M30" s="30">
        <f>Data!I226</f>
        <v>8.0100000000000005E-2</v>
      </c>
      <c r="N30" s="30">
        <f>Data!I343 - M30</f>
        <v>0.18740001000000001</v>
      </c>
      <c r="O30" s="30">
        <f t="shared" si="0"/>
        <v>0.73249998999999999</v>
      </c>
      <c r="P30" s="30">
        <f>Data!N226</f>
        <v>7.3700003E-2</v>
      </c>
      <c r="Q30" s="30">
        <f>Data!N343 - P30</f>
        <v>0.16999999700000001</v>
      </c>
      <c r="R30" s="30">
        <f t="shared" si="12"/>
        <v>0.75629999999999997</v>
      </c>
      <c r="S30" s="19">
        <f t="shared" si="1"/>
        <v>0.75077230843123011</v>
      </c>
      <c r="T30" s="19">
        <f t="shared" si="2"/>
        <v>0.20666742082029765</v>
      </c>
      <c r="U30" s="19">
        <f t="shared" si="3"/>
        <v>4.256027074847224E-2</v>
      </c>
      <c r="V30" s="30">
        <f t="shared" si="13"/>
        <v>0.24922769156876989</v>
      </c>
      <c r="W30" s="11">
        <f t="shared" si="4"/>
        <v>0.33101219319849706</v>
      </c>
      <c r="X30" s="30">
        <f t="shared" si="5"/>
        <v>0.88203689946862718</v>
      </c>
      <c r="Y30" s="30">
        <f t="shared" si="6"/>
        <v>-9.3229066989959364E-2</v>
      </c>
      <c r="Z30" s="30">
        <f t="shared" si="14"/>
        <v>-2.4338029288015317E-2</v>
      </c>
      <c r="AA30" s="30">
        <f t="shared" si="15"/>
        <v>0.73166198672844596</v>
      </c>
      <c r="AB30" s="30">
        <f t="shared" si="16"/>
        <v>-0.17742237104793046</v>
      </c>
      <c r="AC30" s="30">
        <f t="shared" si="17"/>
        <v>7.362673751673432E-3</v>
      </c>
    </row>
    <row r="31" spans="1:29" x14ac:dyDescent="0.5">
      <c r="A31" s="10">
        <v>2008</v>
      </c>
      <c r="B31" s="12">
        <f>'Minimum Deflation Total'!E31</f>
        <v>136788.90179063915</v>
      </c>
      <c r="C31" s="12">
        <f>Data!AG551</f>
        <v>306802.40999999997</v>
      </c>
      <c r="D31" s="12">
        <f>Data!AB110</f>
        <v>4823615.5</v>
      </c>
      <c r="E31" s="11">
        <f t="shared" si="7"/>
        <v>12.457656009700175</v>
      </c>
      <c r="F31" s="11">
        <f t="shared" si="8"/>
        <v>0.5938066924926394</v>
      </c>
      <c r="G31" s="12">
        <f t="shared" si="9"/>
        <v>550537.25411852996</v>
      </c>
      <c r="H31" s="12">
        <f t="shared" si="9"/>
        <v>1023825.7932930508</v>
      </c>
      <c r="I31" s="17">
        <f t="shared" si="10"/>
        <v>0.68774487305195942</v>
      </c>
      <c r="J31" s="17">
        <f t="shared" si="10"/>
        <v>1.7325411815482015</v>
      </c>
      <c r="K31" s="18">
        <f t="shared" si="11"/>
        <v>0.75419327165793582</v>
      </c>
      <c r="L31" s="18">
        <f t="shared" si="11"/>
        <v>0.95841137429118373</v>
      </c>
      <c r="M31" s="30">
        <f>Data!I227</f>
        <v>7.6899997999999997E-2</v>
      </c>
      <c r="N31" s="30">
        <f>Data!I344 - M31</f>
        <v>0.18759999200000002</v>
      </c>
      <c r="O31" s="30">
        <f t="shared" si="0"/>
        <v>0.73550000999999998</v>
      </c>
      <c r="P31" s="30">
        <f>Data!N227</f>
        <v>6.9799997000000003E-2</v>
      </c>
      <c r="Q31" s="30">
        <f>Data!N344 - P31</f>
        <v>0.16919999299999999</v>
      </c>
      <c r="R31" s="30">
        <f t="shared" si="12"/>
        <v>0.76100001000000006</v>
      </c>
      <c r="S31" s="19">
        <f t="shared" si="1"/>
        <v>0.75419327165793582</v>
      </c>
      <c r="T31" s="19">
        <f t="shared" si="2"/>
        <v>0.20421810263324791</v>
      </c>
      <c r="U31" s="19">
        <f t="shared" si="3"/>
        <v>4.1588625708816274E-2</v>
      </c>
      <c r="V31" s="30">
        <f t="shared" si="13"/>
        <v>0.24580672834206418</v>
      </c>
      <c r="W31" s="11">
        <f t="shared" si="4"/>
        <v>0.32543034316586672</v>
      </c>
      <c r="X31" s="30">
        <f t="shared" si="5"/>
        <v>0.84906321594796408</v>
      </c>
      <c r="Y31" s="30">
        <f t="shared" si="6"/>
        <v>-8.1374326854324441E-2</v>
      </c>
      <c r="Z31" s="30">
        <f t="shared" si="14"/>
        <v>-2.4785770916309846E-2</v>
      </c>
      <c r="AA31" s="30">
        <f t="shared" si="15"/>
        <v>0.67834343670565844</v>
      </c>
      <c r="AB31" s="30">
        <f t="shared" si="16"/>
        <v>-0.17147407199319831</v>
      </c>
      <c r="AC31" s="30">
        <f t="shared" si="17"/>
        <v>9.0251910191416762E-3</v>
      </c>
    </row>
    <row r="32" spans="1:29" x14ac:dyDescent="0.5">
      <c r="A32">
        <v>2009</v>
      </c>
      <c r="B32" s="12">
        <f>'Minimum Deflation Total'!E32</f>
        <v>139524.67982645193</v>
      </c>
      <c r="C32" s="12">
        <f>Data!AG552</f>
        <v>288456.31</v>
      </c>
      <c r="D32" s="12">
        <f>Data!AB111</f>
        <v>4196770</v>
      </c>
      <c r="E32" s="11">
        <f t="shared" si="7"/>
        <v>12.411381531916414</v>
      </c>
      <c r="F32" s="11">
        <f t="shared" si="8"/>
        <v>0.56730482647522751</v>
      </c>
      <c r="G32" s="12">
        <f t="shared" si="9"/>
        <v>508089.00628044386</v>
      </c>
      <c r="H32" s="12">
        <f t="shared" si="9"/>
        <v>919081.34206781478</v>
      </c>
      <c r="I32" s="17">
        <f t="shared" si="10"/>
        <v>0.7142467390693743</v>
      </c>
      <c r="J32" s="17">
        <f t="shared" si="10"/>
        <v>1.7590430475656136</v>
      </c>
      <c r="K32" s="18">
        <f t="shared" si="11"/>
        <v>0.76246268996531175</v>
      </c>
      <c r="L32" s="18">
        <f t="shared" si="11"/>
        <v>0.96071490142273952</v>
      </c>
      <c r="M32" s="30">
        <f>Data!I228</f>
        <v>7.1599997999999998E-2</v>
      </c>
      <c r="N32" s="30">
        <f>Data!I345 - M32</f>
        <v>0.186900012</v>
      </c>
      <c r="O32" s="30">
        <f t="shared" si="0"/>
        <v>0.74149999000000011</v>
      </c>
      <c r="P32" s="30">
        <f>Data!N228</f>
        <v>6.7799999999999999E-2</v>
      </c>
      <c r="Q32" s="30">
        <f>Data!N345 - P32</f>
        <v>0.16900000000000001</v>
      </c>
      <c r="R32" s="30">
        <f t="shared" si="12"/>
        <v>0.76319999999999999</v>
      </c>
      <c r="S32" s="19">
        <f t="shared" si="1"/>
        <v>0.76246268996531175</v>
      </c>
      <c r="T32" s="19">
        <f t="shared" si="2"/>
        <v>0.19825221145742777</v>
      </c>
      <c r="U32" s="19">
        <f t="shared" si="3"/>
        <v>3.928509857726048E-2</v>
      </c>
      <c r="V32" s="30">
        <f t="shared" si="13"/>
        <v>0.23753731003468825</v>
      </c>
      <c r="W32" s="11">
        <f t="shared" si="4"/>
        <v>0.31168669467401777</v>
      </c>
      <c r="X32" s="30">
        <f t="shared" si="5"/>
        <v>0.82257396807054106</v>
      </c>
      <c r="Y32" s="30">
        <f t="shared" si="6"/>
        <v>-5.7261401393575495E-2</v>
      </c>
      <c r="Z32" s="30">
        <f t="shared" si="14"/>
        <v>-2.7493410813669183E-2</v>
      </c>
      <c r="AA32" s="30">
        <f t="shared" si="15"/>
        <v>0.72584523026359138</v>
      </c>
      <c r="AB32" s="30">
        <f t="shared" si="16"/>
        <v>-0.14755049258912967</v>
      </c>
      <c r="AC32" s="30">
        <f t="shared" si="17"/>
        <v>9.6701129693554932E-4</v>
      </c>
    </row>
    <row r="33" spans="1:29" x14ac:dyDescent="0.5">
      <c r="A33" s="10">
        <v>2010</v>
      </c>
      <c r="B33" s="12">
        <f>'Minimum Deflation Total'!E33</f>
        <v>142315.17342298097</v>
      </c>
      <c r="C33" s="12">
        <f>Data!AG553</f>
        <v>298867.40999999997</v>
      </c>
      <c r="D33" s="12">
        <f>Data!AB112</f>
        <v>5235240</v>
      </c>
      <c r="E33" s="11">
        <f t="shared" si="7"/>
        <v>12.427242560741298</v>
      </c>
      <c r="F33" s="11">
        <f t="shared" si="8"/>
        <v>0.60085397304959598</v>
      </c>
      <c r="G33" s="12">
        <f t="shared" si="9"/>
        <v>538890.62680256739</v>
      </c>
      <c r="H33" s="12">
        <f t="shared" si="9"/>
        <v>1009572.8954157125</v>
      </c>
      <c r="I33" s="17">
        <f t="shared" si="10"/>
        <v>0.6806975924950055</v>
      </c>
      <c r="J33" s="17">
        <f t="shared" si="10"/>
        <v>1.7254939009912449</v>
      </c>
      <c r="K33" s="18">
        <f t="shared" si="11"/>
        <v>0.75196856999100059</v>
      </c>
      <c r="L33" s="18">
        <f t="shared" si="11"/>
        <v>0.95778074900840715</v>
      </c>
      <c r="M33" s="30">
        <f>Data!I229</f>
        <v>8.5500002000000005E-2</v>
      </c>
      <c r="N33" s="30">
        <f>Data!I346 - M33</f>
        <v>0.19440000799999996</v>
      </c>
      <c r="O33" s="30">
        <f t="shared" si="0"/>
        <v>0.72009999000000013</v>
      </c>
      <c r="P33" s="30">
        <f>Data!N229</f>
        <v>8.9599997000000001E-2</v>
      </c>
      <c r="Q33" s="30">
        <f>Data!N346 - P33</f>
        <v>0.17579999299999999</v>
      </c>
      <c r="R33" s="30">
        <f t="shared" si="12"/>
        <v>0.73460000999999997</v>
      </c>
      <c r="S33" s="19">
        <f t="shared" si="1"/>
        <v>0.75196856999100059</v>
      </c>
      <c r="T33" s="19">
        <f t="shared" si="2"/>
        <v>0.20581217901740656</v>
      </c>
      <c r="U33" s="19">
        <f t="shared" si="3"/>
        <v>4.2219250991592849E-2</v>
      </c>
      <c r="V33" s="30">
        <f t="shared" si="13"/>
        <v>0.24803143000899941</v>
      </c>
      <c r="W33" s="11">
        <f t="shared" si="4"/>
        <v>0.32906703754407629</v>
      </c>
      <c r="X33" s="30">
        <f t="shared" si="5"/>
        <v>1.0251425591852796</v>
      </c>
      <c r="Y33" s="30">
        <f t="shared" si="6"/>
        <v>-5.5449444595022768E-2</v>
      </c>
      <c r="Z33" s="30">
        <f t="shared" si="14"/>
        <v>-4.2380202129168598E-2</v>
      </c>
      <c r="AA33" s="30">
        <f t="shared" si="15"/>
        <v>1.1222545378136175</v>
      </c>
      <c r="AB33" s="30">
        <f t="shared" si="16"/>
        <v>-0.14582317800963707</v>
      </c>
      <c r="AC33" s="30">
        <f t="shared" si="17"/>
        <v>-2.3097454713045362E-2</v>
      </c>
    </row>
    <row r="34" spans="1:29" x14ac:dyDescent="0.5">
      <c r="A34">
        <v>2011</v>
      </c>
      <c r="B34" s="12">
        <f>'Minimum Deflation Total'!E34</f>
        <v>145161.4768914406</v>
      </c>
      <c r="C34" s="12">
        <f>Data!AG554</f>
        <v>299961.19</v>
      </c>
      <c r="D34" s="12">
        <f>Data!AB113</f>
        <v>5871820</v>
      </c>
      <c r="E34" s="11">
        <f t="shared" si="7"/>
        <v>12.421261970484546</v>
      </c>
      <c r="F34" s="11">
        <f t="shared" si="8"/>
        <v>0.61667885989149518</v>
      </c>
      <c r="G34" s="12">
        <f t="shared" si="9"/>
        <v>546652.02586357296</v>
      </c>
      <c r="H34" s="12">
        <f t="shared" si="9"/>
        <v>1041186.5405534302</v>
      </c>
      <c r="I34" s="17">
        <f t="shared" si="10"/>
        <v>0.66487270565310275</v>
      </c>
      <c r="J34" s="17">
        <f t="shared" si="10"/>
        <v>1.7096690141493438</v>
      </c>
      <c r="K34" s="18">
        <f t="shared" si="11"/>
        <v>0.7469340426635569</v>
      </c>
      <c r="L34" s="18">
        <f t="shared" si="11"/>
        <v>0.95633645214963781</v>
      </c>
      <c r="M34" s="30">
        <f>Data!I230</f>
        <v>9.5399998E-2</v>
      </c>
      <c r="N34" s="30">
        <f>Data!I347 - M34</f>
        <v>0.19689999200000002</v>
      </c>
      <c r="O34" s="30">
        <f t="shared" si="0"/>
        <v>0.70770000999999993</v>
      </c>
      <c r="P34" s="30">
        <f>Data!N230</f>
        <v>9.2200004000000002E-2</v>
      </c>
      <c r="Q34" s="30">
        <f>Data!N347 - P34</f>
        <v>0.179499986</v>
      </c>
      <c r="R34" s="30">
        <f t="shared" si="12"/>
        <v>0.72830001000000011</v>
      </c>
      <c r="S34" s="19">
        <f t="shared" si="1"/>
        <v>0.7469340426635569</v>
      </c>
      <c r="T34" s="19">
        <f t="shared" si="2"/>
        <v>0.20940240948608091</v>
      </c>
      <c r="U34" s="19">
        <f t="shared" si="3"/>
        <v>4.3663547850362194E-2</v>
      </c>
      <c r="V34" s="30">
        <f t="shared" si="13"/>
        <v>0.2530659573364431</v>
      </c>
      <c r="W34" s="11">
        <f t="shared" si="4"/>
        <v>0.33720520874477389</v>
      </c>
      <c r="X34" s="30">
        <f t="shared" si="5"/>
        <v>1.1848888305398813</v>
      </c>
      <c r="Y34" s="30">
        <f t="shared" si="6"/>
        <v>-5.9705222670381586E-2</v>
      </c>
      <c r="Z34" s="30">
        <f t="shared" si="14"/>
        <v>-5.2526769999194145E-2</v>
      </c>
      <c r="AA34" s="30">
        <f t="shared" si="15"/>
        <v>1.1116012907603245</v>
      </c>
      <c r="AB34" s="30">
        <f t="shared" si="16"/>
        <v>-0.14279885107085422</v>
      </c>
      <c r="AC34" s="30">
        <f t="shared" si="17"/>
        <v>-2.4947360274420016E-2</v>
      </c>
    </row>
    <row r="35" spans="1:29" x14ac:dyDescent="0.5">
      <c r="A35" s="10">
        <v>2012</v>
      </c>
      <c r="B35" s="12">
        <f>'Minimum Deflation Total'!E35</f>
        <v>148064.70642926943</v>
      </c>
      <c r="C35" s="12">
        <f>Data!AG555</f>
        <v>300038.31</v>
      </c>
      <c r="D35" s="12">
        <f>Data!AB114</f>
        <v>5801294</v>
      </c>
      <c r="E35" s="11">
        <f t="shared" si="7"/>
        <v>12.424782180633375</v>
      </c>
      <c r="F35" s="11">
        <f t="shared" si="8"/>
        <v>0.61136448187969139</v>
      </c>
      <c r="G35" s="12">
        <f t="shared" si="9"/>
        <v>544856.2566027533</v>
      </c>
      <c r="H35" s="12">
        <f t="shared" si="9"/>
        <v>1032020.0398746275</v>
      </c>
      <c r="I35" s="17">
        <f t="shared" si="10"/>
        <v>0.67018708366491042</v>
      </c>
      <c r="J35" s="17">
        <f t="shared" si="10"/>
        <v>1.7149833921611497</v>
      </c>
      <c r="K35" s="18">
        <f t="shared" si="11"/>
        <v>0.74863073167928262</v>
      </c>
      <c r="L35" s="18">
        <f t="shared" si="11"/>
        <v>0.95682586405945214</v>
      </c>
      <c r="M35" s="30">
        <f>Data!I231</f>
        <v>9.4099998000000004E-2</v>
      </c>
      <c r="N35" s="30">
        <f>Data!I348 - M35</f>
        <v>0.19839999199999997</v>
      </c>
      <c r="O35" s="30">
        <f t="shared" si="0"/>
        <v>0.70750001000000007</v>
      </c>
      <c r="P35" s="30">
        <f>Data!N231</f>
        <v>9.11E-2</v>
      </c>
      <c r="Q35" s="30">
        <f>Data!N348 - P35</f>
        <v>0.18119999999999997</v>
      </c>
      <c r="R35" s="30">
        <f t="shared" si="12"/>
        <v>0.72770000000000001</v>
      </c>
      <c r="S35" s="19">
        <f t="shared" si="1"/>
        <v>0.74863073167928262</v>
      </c>
      <c r="T35" s="19">
        <f t="shared" si="2"/>
        <v>0.20819513238016951</v>
      </c>
      <c r="U35" s="19">
        <f t="shared" si="3"/>
        <v>4.3174135940547864E-2</v>
      </c>
      <c r="V35" s="30">
        <f t="shared" si="13"/>
        <v>0.25136926832071738</v>
      </c>
      <c r="W35" s="11">
        <f t="shared" si="4"/>
        <v>0.33447659169297639</v>
      </c>
      <c r="X35" s="30">
        <f t="shared" si="5"/>
        <v>1.1795455994667421</v>
      </c>
      <c r="Y35" s="30">
        <f t="shared" si="6"/>
        <v>-4.7047883724213979E-2</v>
      </c>
      <c r="Z35" s="30">
        <f t="shared" si="14"/>
        <v>-5.4941268022781542E-2</v>
      </c>
      <c r="AA35" s="30">
        <f t="shared" si="15"/>
        <v>1.1100595996975491</v>
      </c>
      <c r="AB35" s="30">
        <f t="shared" si="16"/>
        <v>-0.12966264903290703</v>
      </c>
      <c r="AC35" s="30">
        <f t="shared" si="17"/>
        <v>-2.7958686163380042E-2</v>
      </c>
    </row>
    <row r="36" spans="1:29" x14ac:dyDescent="0.5">
      <c r="A36">
        <v>2013</v>
      </c>
      <c r="B36" s="12">
        <f>'Minimum Deflation Total'!E36</f>
        <v>151026.00055785483</v>
      </c>
      <c r="C36" s="12">
        <f>Data!AG556</f>
        <v>306448.5</v>
      </c>
      <c r="D36" s="12">
        <f>Data!AB115</f>
        <v>6493996</v>
      </c>
      <c r="E36" s="11">
        <f t="shared" si="7"/>
        <v>12.436326036306161</v>
      </c>
      <c r="F36" s="11">
        <f t="shared" si="8"/>
        <v>0.62686355426541152</v>
      </c>
      <c r="G36" s="12">
        <f t="shared" si="9"/>
        <v>562239.95596366818</v>
      </c>
      <c r="H36" s="12">
        <f t="shared" si="9"/>
        <v>1082332.2192539107</v>
      </c>
      <c r="I36" s="17">
        <f t="shared" si="10"/>
        <v>0.65468801127918996</v>
      </c>
      <c r="J36" s="17">
        <f t="shared" si="10"/>
        <v>1.6994843197754306</v>
      </c>
      <c r="K36" s="18">
        <f t="shared" si="11"/>
        <v>0.74366567718184029</v>
      </c>
      <c r="L36" s="18">
        <f t="shared" si="11"/>
        <v>0.95538601672946388</v>
      </c>
      <c r="M36" s="30">
        <f>Data!I232</f>
        <v>0.1047</v>
      </c>
      <c r="N36" s="30">
        <f>Data!I349 - M36</f>
        <v>0.19639998999999997</v>
      </c>
      <c r="O36" s="30">
        <f t="shared" si="0"/>
        <v>0.69890001000000002</v>
      </c>
      <c r="P36" s="30">
        <f>Data!N232</f>
        <v>9.8899998000000003E-2</v>
      </c>
      <c r="Q36" s="30">
        <f>Data!N349 - P36</f>
        <v>0.18010001200000003</v>
      </c>
      <c r="R36" s="30">
        <f t="shared" si="12"/>
        <v>0.72099998999999992</v>
      </c>
      <c r="S36" s="19">
        <f t="shared" si="1"/>
        <v>0.74366567718184029</v>
      </c>
      <c r="T36" s="19">
        <f t="shared" si="2"/>
        <v>0.21172033954762359</v>
      </c>
      <c r="U36" s="19">
        <f t="shared" si="3"/>
        <v>4.4613983270536117E-2</v>
      </c>
      <c r="V36" s="30">
        <f t="shared" si="13"/>
        <v>0.25633432281815971</v>
      </c>
      <c r="W36" s="11">
        <f t="shared" si="4"/>
        <v>0.34242193211039185</v>
      </c>
      <c r="X36" s="30">
        <f t="shared" si="5"/>
        <v>1.3467978495689663</v>
      </c>
      <c r="Y36" s="30">
        <f t="shared" si="6"/>
        <v>-7.23612553255778E-2</v>
      </c>
      <c r="Z36" s="30">
        <f t="shared" si="14"/>
        <v>-6.0195957075069084E-2</v>
      </c>
      <c r="AA36" s="30">
        <f t="shared" si="15"/>
        <v>1.2167937213827611</v>
      </c>
      <c r="AB36" s="30">
        <f t="shared" si="16"/>
        <v>-0.14934950328903573</v>
      </c>
      <c r="AC36" s="30">
        <f t="shared" si="17"/>
        <v>-3.0478329008988503E-2</v>
      </c>
    </row>
    <row r="37" spans="1:29" x14ac:dyDescent="0.5">
      <c r="A37" s="10">
        <v>2014</v>
      </c>
      <c r="B37" s="12">
        <f>'Minimum Deflation Total'!E37</f>
        <v>154046.52056901192</v>
      </c>
      <c r="C37" s="12">
        <f>Data!AG557</f>
        <v>314698.40999999997</v>
      </c>
      <c r="D37" s="12">
        <f>Data!AB116</f>
        <v>7177900.5</v>
      </c>
      <c r="E37" s="11">
        <f t="shared" si="7"/>
        <v>12.454409191426747</v>
      </c>
      <c r="F37" s="11">
        <f t="shared" si="8"/>
        <v>0.64025126189973491</v>
      </c>
      <c r="G37" s="12">
        <f t="shared" si="9"/>
        <v>582406.65255536861</v>
      </c>
      <c r="H37" s="12">
        <f t="shared" si="9"/>
        <v>1136946.0854961015</v>
      </c>
      <c r="I37" s="17">
        <f t="shared" si="10"/>
        <v>0.64130030364486612</v>
      </c>
      <c r="J37" s="17">
        <f t="shared" si="10"/>
        <v>1.6860966121411067</v>
      </c>
      <c r="K37" s="18">
        <f t="shared" si="11"/>
        <v>0.73933620400787348</v>
      </c>
      <c r="L37" s="18">
        <f t="shared" si="11"/>
        <v>0.9541114037809274</v>
      </c>
      <c r="M37" s="30">
        <f>Data!I233</f>
        <v>0.11260000000000001</v>
      </c>
      <c r="N37" s="30">
        <f>Data!I350 - M37</f>
        <v>0.20210000999999997</v>
      </c>
      <c r="O37" s="30">
        <f t="shared" si="0"/>
        <v>0.68529998999999997</v>
      </c>
      <c r="P37" s="30">
        <f>Data!N233</f>
        <v>0.10730000000000001</v>
      </c>
      <c r="Q37" s="30">
        <f>Data!N350 - P37</f>
        <v>0.18620000999999997</v>
      </c>
      <c r="R37" s="30">
        <f t="shared" si="12"/>
        <v>0.70649998999999997</v>
      </c>
      <c r="S37" s="19">
        <f t="shared" si="1"/>
        <v>0.73933620400787348</v>
      </c>
      <c r="T37" s="19">
        <f t="shared" si="2"/>
        <v>0.21477519977305393</v>
      </c>
      <c r="U37" s="19">
        <f t="shared" si="3"/>
        <v>4.5888596219072597E-2</v>
      </c>
      <c r="V37" s="30">
        <f t="shared" si="13"/>
        <v>0.26066379599212652</v>
      </c>
      <c r="W37" s="11">
        <f t="shared" si="4"/>
        <v>0.3492539513350128</v>
      </c>
      <c r="X37" s="30">
        <f t="shared" si="5"/>
        <v>1.4537686762621052</v>
      </c>
      <c r="Y37" s="30">
        <f t="shared" si="6"/>
        <v>-5.9016077212114881E-2</v>
      </c>
      <c r="Z37" s="30">
        <f t="shared" si="14"/>
        <v>-7.3087471863203968E-2</v>
      </c>
      <c r="AA37" s="30">
        <f t="shared" si="15"/>
        <v>1.3382715716067839</v>
      </c>
      <c r="AB37" s="30">
        <f t="shared" si="16"/>
        <v>-0.13304697098756491</v>
      </c>
      <c r="AC37" s="30">
        <f t="shared" si="17"/>
        <v>-4.4413101684824041E-2</v>
      </c>
    </row>
    <row r="38" spans="1:29" x14ac:dyDescent="0.5">
      <c r="A38">
        <v>2015</v>
      </c>
      <c r="B38" s="12">
        <f>'Minimum Deflation Total'!E38</f>
        <v>157127.45098039217</v>
      </c>
      <c r="C38" s="12">
        <f>Data!AG558</f>
        <v>319726.90999999997</v>
      </c>
      <c r="D38" s="12">
        <f>Data!AB117</f>
        <v>6669965.5</v>
      </c>
      <c r="E38" s="11">
        <f t="shared" si="7"/>
        <v>12.480085724962237</v>
      </c>
      <c r="F38" s="11">
        <f t="shared" si="8"/>
        <v>0.62471878346219933</v>
      </c>
      <c r="G38" s="12">
        <f t="shared" si="9"/>
        <v>585777.35725103517</v>
      </c>
      <c r="H38" s="12">
        <f t="shared" si="9"/>
        <v>1125118.5195051439</v>
      </c>
      <c r="I38" s="17">
        <f t="shared" si="10"/>
        <v>0.65683278208240103</v>
      </c>
      <c r="J38" s="17">
        <f t="shared" si="10"/>
        <v>1.7016290905786415</v>
      </c>
      <c r="K38" s="18">
        <f t="shared" si="11"/>
        <v>0.74435577853995694</v>
      </c>
      <c r="L38" s="18">
        <f t="shared" si="11"/>
        <v>0.95558753967522603</v>
      </c>
      <c r="M38" s="30">
        <f>Data!I234</f>
        <v>0.1031</v>
      </c>
      <c r="N38" s="30">
        <f>Data!I351 - M38</f>
        <v>0.20019999000000002</v>
      </c>
      <c r="O38" s="30">
        <f t="shared" si="0"/>
        <v>0.69670001000000004</v>
      </c>
      <c r="P38" s="30">
        <f>Data!N234</f>
        <v>9.9900000000000003E-2</v>
      </c>
      <c r="Q38" s="30">
        <f>Data!N351 - P38</f>
        <v>0.18530000000000002</v>
      </c>
      <c r="R38" s="30">
        <f t="shared" si="12"/>
        <v>0.71479999999999999</v>
      </c>
      <c r="S38" s="19">
        <f t="shared" si="1"/>
        <v>0.74435577853995694</v>
      </c>
      <c r="T38" s="19">
        <f t="shared" si="2"/>
        <v>0.21123176113526909</v>
      </c>
      <c r="U38" s="19">
        <f t="shared" si="3"/>
        <v>4.4412460324773972E-2</v>
      </c>
      <c r="V38" s="30">
        <f t="shared" si="13"/>
        <v>0.25564422146004306</v>
      </c>
      <c r="W38" s="11">
        <f t="shared" si="4"/>
        <v>0.34132472931451474</v>
      </c>
      <c r="X38" s="30">
        <f t="shared" si="5"/>
        <v>1.321420593366434</v>
      </c>
      <c r="Y38" s="30">
        <f t="shared" si="6"/>
        <v>-5.2225910895116412E-2</v>
      </c>
      <c r="Z38" s="30">
        <f t="shared" si="14"/>
        <v>-6.4022836812569706E-2</v>
      </c>
      <c r="AA38" s="30">
        <f t="shared" si="15"/>
        <v>1.2493687417779511</v>
      </c>
      <c r="AB38" s="30">
        <f t="shared" si="16"/>
        <v>-0.12276449808446577</v>
      </c>
      <c r="AC38" s="30">
        <f t="shared" si="17"/>
        <v>-3.9706521252418026E-2</v>
      </c>
    </row>
    <row r="39" spans="1:29" x14ac:dyDescent="0.5">
      <c r="A39" s="10">
        <v>2016</v>
      </c>
      <c r="B39" s="12">
        <f>'Minimum Deflation Total'!E39</f>
        <v>160270</v>
      </c>
      <c r="C39" s="12">
        <f>Data!AG559</f>
        <v>323867.5</v>
      </c>
      <c r="D39" s="12">
        <f>Data!AB118</f>
        <v>7853720</v>
      </c>
      <c r="E39" s="39">
        <f t="shared" si="7"/>
        <v>12.477718220520776</v>
      </c>
      <c r="F39" s="39">
        <f t="shared" si="8"/>
        <v>0.64864711514551454</v>
      </c>
      <c r="G39" s="12">
        <f t="shared" si="9"/>
        <v>602590.38302856917</v>
      </c>
      <c r="H39" s="12">
        <f t="shared" si="9"/>
        <v>1186712.0500373114</v>
      </c>
      <c r="I39" s="17">
        <f t="shared" si="10"/>
        <v>0.63290445039908616</v>
      </c>
      <c r="J39" s="17">
        <f t="shared" si="10"/>
        <v>1.6777007588953272</v>
      </c>
      <c r="K39" s="18">
        <f t="shared" si="11"/>
        <v>0.73660197929965332</v>
      </c>
      <c r="L39" s="18">
        <f t="shared" si="11"/>
        <v>0.95329723438648684</v>
      </c>
      <c r="M39" s="30">
        <f>Data!I235</f>
        <v>0.1283</v>
      </c>
      <c r="N39" s="30">
        <f>Data!I352 - M39</f>
        <v>0.19049999999999997</v>
      </c>
      <c r="O39" s="30">
        <f t="shared" si="0"/>
        <v>0.68120000000000003</v>
      </c>
      <c r="P39" s="30">
        <f>Data!N235</f>
        <v>0.11650000000000001</v>
      </c>
      <c r="Q39" s="30">
        <f>Data!N352 - P39</f>
        <v>0.17689999000000001</v>
      </c>
      <c r="R39" s="30">
        <f t="shared" si="12"/>
        <v>0.70660000999999995</v>
      </c>
      <c r="S39" s="19">
        <f t="shared" si="1"/>
        <v>0.73660197929965332</v>
      </c>
      <c r="T39" s="19">
        <f t="shared" si="2"/>
        <v>0.21669525508683352</v>
      </c>
      <c r="U39" s="19">
        <f t="shared" si="3"/>
        <v>4.6702765613513164E-2</v>
      </c>
      <c r="V39" s="30">
        <f t="shared" si="13"/>
        <v>0.26339802070034668</v>
      </c>
      <c r="W39" s="11">
        <f t="shared" si="4"/>
        <v>0.35352364945598458</v>
      </c>
      <c r="X39" s="30">
        <f t="shared" si="5"/>
        <v>1.7471606512929325</v>
      </c>
      <c r="Y39" s="30">
        <f t="shared" si="6"/>
        <v>-0.12088522693464909</v>
      </c>
      <c r="Z39" s="30">
        <f t="shared" si="14"/>
        <v>-7.5212911255449488E-2</v>
      </c>
      <c r="AA39" s="30">
        <f t="shared" si="15"/>
        <v>1.4944989546034813</v>
      </c>
      <c r="AB39" s="30">
        <f t="shared" si="16"/>
        <v>-0.18364622276056231</v>
      </c>
      <c r="AC39" s="30">
        <f t="shared" si="17"/>
        <v>-4.0730231716426646E-2</v>
      </c>
    </row>
    <row r="40" spans="1:29" x14ac:dyDescent="0.5">
      <c r="A40" s="10">
        <v>2017</v>
      </c>
      <c r="B40" s="12">
        <f>'Minimum Deflation Total'!E40</f>
        <v>163475.4</v>
      </c>
      <c r="C40" s="12">
        <f>Data!AG560</f>
        <v>329903</v>
      </c>
      <c r="D40" s="12">
        <f>Data!AB119</f>
        <v>0</v>
      </c>
      <c r="E40" s="11"/>
      <c r="F40" s="11"/>
    </row>
    <row r="41" spans="1:29" x14ac:dyDescent="0.5">
      <c r="A41">
        <v>2018</v>
      </c>
      <c r="B41" s="12">
        <f>'Minimum Deflation Total'!E41</f>
        <v>166744.908</v>
      </c>
      <c r="C41" s="12">
        <f>Data!AG561</f>
        <v>333087.81</v>
      </c>
      <c r="D41" s="12">
        <f>Data!AB120</f>
        <v>0</v>
      </c>
      <c r="E41" s="11"/>
      <c r="F41" s="11"/>
    </row>
    <row r="42" spans="1:29" x14ac:dyDescent="0.5">
      <c r="A42" s="10">
        <v>2019</v>
      </c>
      <c r="B42" s="12">
        <f>'Minimum Deflation Total'!E42</f>
        <v>170079.80616000001</v>
      </c>
      <c r="C42" s="12">
        <f>Data!AG562</f>
        <v>0</v>
      </c>
      <c r="D42" s="12">
        <f>Data!D121</f>
        <v>0</v>
      </c>
      <c r="E42" s="11"/>
    </row>
  </sheetData>
  <mergeCells count="8">
    <mergeCell ref="M1:R1"/>
    <mergeCell ref="S1:W1"/>
    <mergeCell ref="A1:A2"/>
    <mergeCell ref="B1:D1"/>
    <mergeCell ref="E1:F1"/>
    <mergeCell ref="G1:H1"/>
    <mergeCell ref="I1:J1"/>
    <mergeCell ref="K1:L1"/>
  </mergeCells>
  <hyperlinks>
    <hyperlink ref="H1" location="Index" display="Back to Index" xr:uid="{278B32E1-FC3D-4D6A-97BE-6652D1A19E9E}"/>
  </hyperlinks>
  <pageMargins left="0.7" right="0.7" top="0.75" bottom="0.75" header="0.3" footer="0.3"/>
  <pageSetup orientation="portrait" horizontalDpi="4294967293"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204C5-C9C7-4EE7-B89F-F02ED9A2486A}">
  <sheetPr codeName="Sheet12"/>
  <dimension ref="A1:I37"/>
  <sheetViews>
    <sheetView topLeftCell="A10" workbookViewId="0">
      <selection activeCell="B3" sqref="B3"/>
    </sheetView>
  </sheetViews>
  <sheetFormatPr defaultRowHeight="15.75" x14ac:dyDescent="0.5"/>
  <cols>
    <col min="1" max="1" width="14.25" customWidth="1"/>
    <col min="3" max="3" width="10.75" customWidth="1"/>
    <col min="4" max="4" width="17.5" customWidth="1"/>
    <col min="5" max="5" width="16.875" style="32" customWidth="1"/>
    <col min="6" max="6" width="13.625" customWidth="1"/>
    <col min="7" max="7" width="16.25" customWidth="1"/>
    <col min="8" max="8" width="18.625" customWidth="1"/>
    <col min="9" max="9" width="17.875" customWidth="1"/>
  </cols>
  <sheetData>
    <row r="1" spans="1:9" x14ac:dyDescent="0.5">
      <c r="B1" t="s">
        <v>2</v>
      </c>
      <c r="C1" t="s">
        <v>139</v>
      </c>
      <c r="D1" t="s">
        <v>141</v>
      </c>
      <c r="E1" s="32" t="s">
        <v>142</v>
      </c>
      <c r="F1" t="s">
        <v>152</v>
      </c>
      <c r="G1" t="s">
        <v>153</v>
      </c>
      <c r="H1" s="5" t="s">
        <v>543</v>
      </c>
      <c r="I1" t="s">
        <v>154</v>
      </c>
    </row>
    <row r="2" spans="1:9" x14ac:dyDescent="0.5">
      <c r="A2" t="s">
        <v>143</v>
      </c>
      <c r="B2">
        <v>6.98</v>
      </c>
      <c r="C2">
        <v>26.29</v>
      </c>
      <c r="D2">
        <v>41.35</v>
      </c>
      <c r="E2" s="32">
        <v>25.38</v>
      </c>
      <c r="F2">
        <f>B2/(B2+C2+D2+E2)</f>
        <v>6.9800000000000001E-2</v>
      </c>
      <c r="G2">
        <f>C2/(B2+C2+D2+E2)</f>
        <v>0.26289999999999997</v>
      </c>
      <c r="H2">
        <f>D2/(B2+C2+D2+E2)</f>
        <v>0.41350000000000003</v>
      </c>
      <c r="I2">
        <f>E2/(B2+C2+D2+E2)</f>
        <v>0.25379999999999997</v>
      </c>
    </row>
    <row r="3" spans="1:9" x14ac:dyDescent="0.5">
      <c r="A3">
        <v>2017</v>
      </c>
      <c r="B3">
        <f>B2+B2*(1-0.3516)*(0.4)*(1.09)*(1-0.42)+B2*(1-0.3516)</f>
        <v>12.650324396160002</v>
      </c>
      <c r="C3">
        <f>C2+C2*(1-0.3516)*(0.2)*(1.09)*(1-0.42)</f>
        <v>28.445351367840001</v>
      </c>
      <c r="D3">
        <f>D2+D2*(1-0.2016)*(0.1)*(1.09)*(1-0.22)</f>
        <v>44.156836676800005</v>
      </c>
      <c r="E3" s="32">
        <f>E2</f>
        <v>25.38</v>
      </c>
      <c r="F3">
        <f>B3/(B3+C3+D3+E3)</f>
        <v>0.11434544978745964</v>
      </c>
      <c r="G3">
        <f t="shared" ref="G3:G21" si="0">C3/(B3+C3+D3+E3)</f>
        <v>0.25711565922414753</v>
      </c>
      <c r="H3">
        <f t="shared" ref="H3:H21" si="1">D3/(B3+C3+D3+E3)</f>
        <v>0.39913074106880236</v>
      </c>
      <c r="I3">
        <f t="shared" ref="I3:I21" si="2">E3/(B3+C3+D3+E3)</f>
        <v>0.22940814991959038</v>
      </c>
    </row>
    <row r="4" spans="1:9" x14ac:dyDescent="0.5">
      <c r="A4">
        <v>2018</v>
      </c>
      <c r="B4">
        <f t="shared" ref="B4:B21" si="3">B3+B3*(1-0.3516)*(0.4)*(1.09)*(1-0.42)</f>
        <v>14.724565095352332</v>
      </c>
      <c r="C4">
        <f t="shared" ref="C4:C21" si="4">C3+C3*(1-0.3516)*(0.2)*(1.09)*(1-0.42)</f>
        <v>30.777406406994182</v>
      </c>
      <c r="D4">
        <f t="shared" ref="D4:D21" si="5">D3+D3*(1-0.2016)*(0.1)*(1.09)*(1-0.22)</f>
        <v>47.154201337402412</v>
      </c>
      <c r="E4" s="32">
        <f t="shared" ref="E4:E21" si="6">E3</f>
        <v>25.38</v>
      </c>
      <c r="F4">
        <f t="shared" ref="F4:F21" si="7">B4/(B4+C4+D4+E4)</f>
        <v>0.12474620907391708</v>
      </c>
      <c r="G4">
        <f t="shared" si="0"/>
        <v>0.26074554661119803</v>
      </c>
      <c r="H4">
        <f t="shared" si="1"/>
        <v>0.39948941246528741</v>
      </c>
      <c r="I4">
        <f t="shared" si="2"/>
        <v>0.21501883184959747</v>
      </c>
    </row>
    <row r="5" spans="1:9" x14ac:dyDescent="0.5">
      <c r="A5">
        <v>2019</v>
      </c>
      <c r="B5">
        <f t="shared" si="3"/>
        <v>17.138913632371487</v>
      </c>
      <c r="C5">
        <f t="shared" si="4"/>
        <v>33.300651937533644</v>
      </c>
      <c r="D5">
        <f t="shared" si="5"/>
        <v>50.355027015250847</v>
      </c>
      <c r="E5" s="32">
        <f t="shared" si="6"/>
        <v>25.38</v>
      </c>
      <c r="F5">
        <f t="shared" si="7"/>
        <v>0.13583490369350179</v>
      </c>
      <c r="G5">
        <f t="shared" si="0"/>
        <v>0.26392517903363816</v>
      </c>
      <c r="H5">
        <f t="shared" si="1"/>
        <v>0.39909007022365411</v>
      </c>
      <c r="I5">
        <f t="shared" si="2"/>
        <v>0.20114984704920594</v>
      </c>
    </row>
    <row r="6" spans="1:9" x14ac:dyDescent="0.5">
      <c r="A6">
        <v>2020</v>
      </c>
      <c r="B6">
        <f t="shared" si="3"/>
        <v>19.949136602384687</v>
      </c>
      <c r="C6">
        <f t="shared" si="4"/>
        <v>36.03076246258221</v>
      </c>
      <c r="D6">
        <f t="shared" si="5"/>
        <v>53.773124637685214</v>
      </c>
      <c r="E6" s="32">
        <f t="shared" si="6"/>
        <v>25.38</v>
      </c>
      <c r="F6">
        <f t="shared" si="7"/>
        <v>0.14762591745361181</v>
      </c>
      <c r="G6">
        <f t="shared" si="0"/>
        <v>0.2666318082385592</v>
      </c>
      <c r="H6">
        <f t="shared" si="1"/>
        <v>0.3979273397745326</v>
      </c>
      <c r="I6">
        <f t="shared" si="2"/>
        <v>0.18781493453329642</v>
      </c>
    </row>
    <row r="7" spans="1:9" x14ac:dyDescent="0.5">
      <c r="A7">
        <v>2021</v>
      </c>
      <c r="B7">
        <f t="shared" si="3"/>
        <v>23.220144503729447</v>
      </c>
      <c r="C7">
        <f t="shared" si="4"/>
        <v>38.984697538962763</v>
      </c>
      <c r="D7">
        <f t="shared" si="5"/>
        <v>57.423242617351299</v>
      </c>
      <c r="E7" s="32">
        <f t="shared" si="6"/>
        <v>25.38</v>
      </c>
      <c r="F7">
        <f t="shared" si="7"/>
        <v>0.16012999935946112</v>
      </c>
      <c r="G7">
        <f t="shared" si="0"/>
        <v>0.26884499323164202</v>
      </c>
      <c r="H7">
        <f t="shared" si="1"/>
        <v>0.39600028337712462</v>
      </c>
      <c r="I7">
        <f t="shared" si="2"/>
        <v>0.17502472403177238</v>
      </c>
    </row>
    <row r="8" spans="1:9" x14ac:dyDescent="0.5">
      <c r="A8">
        <v>2022</v>
      </c>
      <c r="B8">
        <f t="shared" si="3"/>
        <v>27.027491039869098</v>
      </c>
      <c r="C8">
        <f t="shared" si="4"/>
        <v>42.180807130649036</v>
      </c>
      <c r="D8">
        <f t="shared" si="5"/>
        <v>61.32113048867334</v>
      </c>
      <c r="E8" s="32">
        <f t="shared" si="6"/>
        <v>25.38</v>
      </c>
      <c r="F8">
        <f t="shared" si="7"/>
        <v>0.17335379439398466</v>
      </c>
      <c r="G8">
        <f t="shared" si="0"/>
        <v>0.2705468648907291</v>
      </c>
      <c r="H8">
        <f t="shared" si="1"/>
        <v>0.3933125213531351</v>
      </c>
      <c r="I8">
        <f t="shared" si="2"/>
        <v>0.1627868193621512</v>
      </c>
    </row>
    <row r="9" spans="1:9" x14ac:dyDescent="0.5">
      <c r="A9">
        <v>2023</v>
      </c>
      <c r="B9">
        <f t="shared" si="3"/>
        <v>31.459118257979803</v>
      </c>
      <c r="C9">
        <f t="shared" si="4"/>
        <v>45.638945599482803</v>
      </c>
      <c r="D9">
        <f t="shared" si="5"/>
        <v>65.483606863968305</v>
      </c>
      <c r="E9" s="32">
        <f t="shared" si="6"/>
        <v>25.38</v>
      </c>
      <c r="F9">
        <f t="shared" si="7"/>
        <v>0.18729938874063493</v>
      </c>
      <c r="G9">
        <f t="shared" si="0"/>
        <v>0.27172238406211296</v>
      </c>
      <c r="H9">
        <f t="shared" si="1"/>
        <v>0.3898723237432824</v>
      </c>
      <c r="I9">
        <f t="shared" si="2"/>
        <v>0.15110590345396979</v>
      </c>
    </row>
    <row r="10" spans="1:9" x14ac:dyDescent="0.5">
      <c r="A10">
        <v>2024</v>
      </c>
      <c r="B10">
        <f t="shared" si="3"/>
        <v>36.617387833360333</v>
      </c>
      <c r="C10">
        <f t="shared" si="4"/>
        <v>49.380595041271341</v>
      </c>
      <c r="D10">
        <f t="shared" si="5"/>
        <v>69.92863200241905</v>
      </c>
      <c r="E10" s="32">
        <f t="shared" si="6"/>
        <v>25.38</v>
      </c>
      <c r="F10">
        <f t="shared" si="7"/>
        <v>0.20196388233375626</v>
      </c>
      <c r="G10">
        <f t="shared" si="0"/>
        <v>0.27235958861599041</v>
      </c>
      <c r="H10">
        <f t="shared" si="1"/>
        <v>0.38569266791418333</v>
      </c>
      <c r="I10">
        <f t="shared" si="2"/>
        <v>0.13998386113607003</v>
      </c>
    </row>
    <row r="11" spans="1:9" x14ac:dyDescent="0.5">
      <c r="A11">
        <v>2025</v>
      </c>
      <c r="B11">
        <f t="shared" si="3"/>
        <v>42.62144541824896</v>
      </c>
      <c r="C11">
        <f t="shared" si="4"/>
        <v>53.428998733434042</v>
      </c>
      <c r="D11">
        <f t="shared" si="5"/>
        <v>74.675385305027035</v>
      </c>
      <c r="E11" s="32">
        <f t="shared" si="6"/>
        <v>25.38</v>
      </c>
      <c r="F11">
        <f t="shared" si="7"/>
        <v>0.21733900280438917</v>
      </c>
      <c r="G11">
        <f t="shared" si="0"/>
        <v>0.27244982406414592</v>
      </c>
      <c r="H11">
        <f t="shared" si="1"/>
        <v>0.38079125700601107</v>
      </c>
      <c r="I11">
        <f t="shared" si="2"/>
        <v>0.129419916125454</v>
      </c>
    </row>
    <row r="12" spans="1:9" x14ac:dyDescent="0.5">
      <c r="A12">
        <v>2026</v>
      </c>
      <c r="B12">
        <f t="shared" si="3"/>
        <v>49.609972666749591</v>
      </c>
      <c r="C12">
        <f t="shared" si="4"/>
        <v>57.809305523180285</v>
      </c>
      <c r="D12">
        <f t="shared" si="5"/>
        <v>79.744348069919937</v>
      </c>
      <c r="E12" s="32">
        <f t="shared" si="6"/>
        <v>25.38</v>
      </c>
      <c r="F12">
        <f t="shared" si="7"/>
        <v>0.23341077565928908</v>
      </c>
      <c r="G12">
        <f t="shared" si="0"/>
        <v>0.27198795155825689</v>
      </c>
      <c r="H12">
        <f t="shared" si="1"/>
        <v>0.37519049370328683</v>
      </c>
      <c r="I12">
        <f t="shared" si="2"/>
        <v>0.11941077907916717</v>
      </c>
    </row>
    <row r="13" spans="1:9" x14ac:dyDescent="0.5">
      <c r="A13">
        <v>2027</v>
      </c>
      <c r="B13">
        <f t="shared" si="3"/>
        <v>57.744390502107805</v>
      </c>
      <c r="C13">
        <f t="shared" si="4"/>
        <v>62.548726053163819</v>
      </c>
      <c r="D13">
        <f t="shared" si="5"/>
        <v>85.157391865086964</v>
      </c>
      <c r="E13" s="32">
        <f t="shared" si="6"/>
        <v>25.38</v>
      </c>
      <c r="F13">
        <f t="shared" si="7"/>
        <v>0.25015926576287401</v>
      </c>
      <c r="G13">
        <f t="shared" si="0"/>
        <v>0.27097252647062664</v>
      </c>
      <c r="H13">
        <f t="shared" si="1"/>
        <v>0.36891740371688381</v>
      </c>
      <c r="I13">
        <f t="shared" si="2"/>
        <v>0.10995080404961564</v>
      </c>
    </row>
    <row r="14" spans="1:9" x14ac:dyDescent="0.5">
      <c r="A14">
        <v>2028</v>
      </c>
      <c r="B14">
        <f t="shared" si="3"/>
        <v>67.212587615367994</v>
      </c>
      <c r="C14">
        <f t="shared" si="4"/>
        <v>67.676701795093678</v>
      </c>
      <c r="D14">
        <f t="shared" si="5"/>
        <v>90.937872899852522</v>
      </c>
      <c r="E14" s="32">
        <f t="shared" si="6"/>
        <v>25.38</v>
      </c>
      <c r="F14">
        <f t="shared" si="7"/>
        <v>0.26755840477327164</v>
      </c>
      <c r="G14">
        <f t="shared" si="0"/>
        <v>0.26940594039071697</v>
      </c>
      <c r="H14">
        <f t="shared" si="1"/>
        <v>0.36200350365614853</v>
      </c>
      <c r="I14">
        <f t="shared" si="2"/>
        <v>0.10103215117986281</v>
      </c>
    </row>
    <row r="15" spans="1:9" x14ac:dyDescent="0.5">
      <c r="A15">
        <v>2029</v>
      </c>
      <c r="B15">
        <f t="shared" si="3"/>
        <v>78.23326031623138</v>
      </c>
      <c r="C15">
        <f t="shared" si="4"/>
        <v>73.225087941345294</v>
      </c>
      <c r="D15">
        <f t="shared" si="5"/>
        <v>97.110732802282584</v>
      </c>
      <c r="E15" s="32">
        <f t="shared" si="6"/>
        <v>25.38</v>
      </c>
      <c r="F15">
        <f t="shared" si="7"/>
        <v>0.28557591802666793</v>
      </c>
      <c r="G15">
        <f t="shared" si="0"/>
        <v>0.26729451932472531</v>
      </c>
      <c r="H15">
        <f t="shared" si="1"/>
        <v>0.35448460869654602</v>
      </c>
      <c r="I15">
        <f t="shared" si="2"/>
        <v>9.2644953952060669E-2</v>
      </c>
    </row>
    <row r="16" spans="1:9" x14ac:dyDescent="0.5">
      <c r="A16">
        <v>2030</v>
      </c>
      <c r="B16">
        <f t="shared" si="3"/>
        <v>91.060963977940943</v>
      </c>
      <c r="C16">
        <f t="shared" si="4"/>
        <v>79.228351290701809</v>
      </c>
      <c r="D16">
        <f t="shared" si="5"/>
        <v>103.70260623735808</v>
      </c>
      <c r="E16" s="32">
        <f t="shared" si="6"/>
        <v>25.38</v>
      </c>
      <c r="F16">
        <f t="shared" si="7"/>
        <v>0.30417336241774312</v>
      </c>
      <c r="G16">
        <f t="shared" si="0"/>
        <v>0.26464857122251428</v>
      </c>
      <c r="H16">
        <f t="shared" si="1"/>
        <v>0.34640057663283358</v>
      </c>
      <c r="I16">
        <f t="shared" si="2"/>
        <v>8.4777489726909017E-2</v>
      </c>
    </row>
    <row r="17" spans="1:9" x14ac:dyDescent="0.5">
      <c r="A17">
        <v>2031</v>
      </c>
      <c r="B17">
        <f t="shared" si="3"/>
        <v>105.99199275440986</v>
      </c>
      <c r="C17">
        <f t="shared" si="4"/>
        <v>85.723784357499909</v>
      </c>
      <c r="D17">
        <f t="shared" si="5"/>
        <v>110.74193583026656</v>
      </c>
      <c r="E17" s="32">
        <f t="shared" si="6"/>
        <v>25.38</v>
      </c>
      <c r="F17">
        <f t="shared" si="7"/>
        <v>0.32330628408545731</v>
      </c>
      <c r="G17">
        <f t="shared" si="0"/>
        <v>0.26148237671673785</v>
      </c>
      <c r="H17">
        <f t="shared" si="1"/>
        <v>0.33779498653896206</v>
      </c>
      <c r="I17">
        <f t="shared" si="2"/>
        <v>7.7416352658842807E-2</v>
      </c>
    </row>
    <row r="18" spans="1:9" x14ac:dyDescent="0.5">
      <c r="A18">
        <v>2032</v>
      </c>
      <c r="B18">
        <f t="shared" si="3"/>
        <v>123.37122337923336</v>
      </c>
      <c r="C18">
        <f t="shared" si="4"/>
        <v>92.751737034234736</v>
      </c>
      <c r="D18">
        <f t="shared" si="5"/>
        <v>118.2590948906831</v>
      </c>
      <c r="E18" s="32">
        <f t="shared" si="6"/>
        <v>25.38</v>
      </c>
      <c r="F18">
        <f t="shared" si="7"/>
        <v>0.34292450123716484</v>
      </c>
      <c r="G18">
        <f t="shared" si="0"/>
        <v>0.25781411815601357</v>
      </c>
      <c r="H18">
        <f t="shared" si="1"/>
        <v>0.32871475228454572</v>
      </c>
      <c r="I18">
        <f t="shared" si="2"/>
        <v>7.0546628322275831E-2</v>
      </c>
    </row>
    <row r="19" spans="1:9" x14ac:dyDescent="0.5">
      <c r="A19">
        <v>2033</v>
      </c>
      <c r="B19">
        <f t="shared" si="3"/>
        <v>143.60008112457569</v>
      </c>
      <c r="C19">
        <f t="shared" si="4"/>
        <v>100.35586724672137</v>
      </c>
      <c r="D19">
        <f t="shared" si="5"/>
        <v>126.28651846757164</v>
      </c>
      <c r="E19" s="32">
        <f t="shared" si="6"/>
        <v>25.38</v>
      </c>
      <c r="F19">
        <f t="shared" si="7"/>
        <v>0.36297251334581543</v>
      </c>
      <c r="G19">
        <f t="shared" si="0"/>
        <v>0.25366574362824257</v>
      </c>
      <c r="H19">
        <f t="shared" si="1"/>
        <v>0.3192096734966427</v>
      </c>
      <c r="I19">
        <f t="shared" si="2"/>
        <v>6.4152069529299263E-2</v>
      </c>
    </row>
    <row r="20" spans="1:9" x14ac:dyDescent="0.5">
      <c r="A20">
        <v>2034</v>
      </c>
      <c r="B20">
        <f t="shared" si="3"/>
        <v>167.14581191756082</v>
      </c>
      <c r="C20">
        <f t="shared" si="4"/>
        <v>108.58341215889294</v>
      </c>
      <c r="D20">
        <f t="shared" si="5"/>
        <v>134.8588432999818</v>
      </c>
      <c r="E20" s="32">
        <f t="shared" si="6"/>
        <v>25.38</v>
      </c>
      <c r="F20">
        <f t="shared" si="7"/>
        <v>0.38339003341095435</v>
      </c>
      <c r="G20">
        <f t="shared" si="0"/>
        <v>0.24906276464770724</v>
      </c>
      <c r="H20">
        <f t="shared" si="1"/>
        <v>0.30933192908263685</v>
      </c>
      <c r="I20">
        <f t="shared" si="2"/>
        <v>5.8215272858701601E-2</v>
      </c>
    </row>
    <row r="21" spans="1:9" x14ac:dyDescent="0.5">
      <c r="A21">
        <v>2035</v>
      </c>
      <c r="B21">
        <f t="shared" si="3"/>
        <v>194.5522747814058</v>
      </c>
      <c r="C21">
        <f t="shared" si="4"/>
        <v>117.48548161197033</v>
      </c>
      <c r="D21">
        <f t="shared" si="5"/>
        <v>144.01305726770158</v>
      </c>
      <c r="E21" s="32">
        <f t="shared" si="6"/>
        <v>25.38</v>
      </c>
      <c r="F21">
        <f t="shared" si="7"/>
        <v>0.40411263521318469</v>
      </c>
      <c r="G21">
        <f t="shared" si="0"/>
        <v>0.24403398843240409</v>
      </c>
      <c r="H21">
        <f t="shared" si="1"/>
        <v>0.2991355209953081</v>
      </c>
      <c r="I21">
        <f t="shared" si="2"/>
        <v>5.2717855359103075E-2</v>
      </c>
    </row>
    <row r="23" spans="1:9" x14ac:dyDescent="0.5">
      <c r="A23" t="s">
        <v>131</v>
      </c>
      <c r="B23" t="s">
        <v>140</v>
      </c>
    </row>
    <row r="24" spans="1:9" x14ac:dyDescent="0.5">
      <c r="B24" t="s">
        <v>138</v>
      </c>
    </row>
    <row r="27" spans="1:9" x14ac:dyDescent="0.5">
      <c r="B27" t="s">
        <v>155</v>
      </c>
    </row>
    <row r="28" spans="1:9" x14ac:dyDescent="0.5">
      <c r="B28" t="s">
        <v>156</v>
      </c>
    </row>
    <row r="29" spans="1:9" x14ac:dyDescent="0.5">
      <c r="B29" t="s">
        <v>157</v>
      </c>
    </row>
    <row r="30" spans="1:9" x14ac:dyDescent="0.5">
      <c r="B30" t="s">
        <v>158</v>
      </c>
    </row>
    <row r="31" spans="1:9" x14ac:dyDescent="0.5">
      <c r="B31">
        <f>50000/0.09</f>
        <v>555555.55555555562</v>
      </c>
    </row>
    <row r="32" spans="1:9" x14ac:dyDescent="0.5">
      <c r="D32" t="s">
        <v>2</v>
      </c>
      <c r="E32" t="s">
        <v>144</v>
      </c>
      <c r="F32" t="s">
        <v>147</v>
      </c>
      <c r="G32" s="32" t="s">
        <v>148</v>
      </c>
    </row>
    <row r="33" spans="3:7" x14ac:dyDescent="0.5">
      <c r="C33" t="s">
        <v>146</v>
      </c>
      <c r="D33">
        <v>6.98</v>
      </c>
      <c r="E33">
        <v>26.29</v>
      </c>
      <c r="F33">
        <v>41.35</v>
      </c>
      <c r="G33" s="32">
        <v>25.38</v>
      </c>
    </row>
    <row r="34" spans="3:7" x14ac:dyDescent="0.5">
      <c r="C34" t="s">
        <v>145</v>
      </c>
      <c r="D34">
        <v>0.35160000000000002</v>
      </c>
      <c r="E34">
        <v>0.35160000000000002</v>
      </c>
      <c r="F34" t="s">
        <v>159</v>
      </c>
      <c r="G34" s="32">
        <v>0.08</v>
      </c>
    </row>
    <row r="35" spans="3:7" x14ac:dyDescent="0.5">
      <c r="C35" t="s">
        <v>149</v>
      </c>
      <c r="D35">
        <v>0.4</v>
      </c>
      <c r="E35">
        <v>0.2</v>
      </c>
      <c r="F35">
        <v>0.1</v>
      </c>
      <c r="G35" s="32">
        <v>0</v>
      </c>
    </row>
    <row r="36" spans="3:7" x14ac:dyDescent="0.5">
      <c r="C36" t="s">
        <v>150</v>
      </c>
      <c r="D36" s="31">
        <v>0.09</v>
      </c>
      <c r="E36" s="31">
        <v>0.09</v>
      </c>
      <c r="F36" s="31">
        <v>0.09</v>
      </c>
      <c r="G36" s="33">
        <v>0.09</v>
      </c>
    </row>
    <row r="37" spans="3:7" x14ac:dyDescent="0.5">
      <c r="C37" t="s">
        <v>151</v>
      </c>
      <c r="D37">
        <v>0.42</v>
      </c>
      <c r="E37">
        <v>0.42</v>
      </c>
      <c r="F37">
        <v>0.22</v>
      </c>
      <c r="G37" s="32">
        <v>0.22</v>
      </c>
    </row>
  </sheetData>
  <hyperlinks>
    <hyperlink ref="H1" location="Index" display="Back to Index" xr:uid="{6EDAF194-5981-4C1F-92D7-9E1C0C5BAA56}"/>
  </hyperlink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2C596-7A7F-44B6-9AB3-568D52A02AAA}">
  <sheetPr codeName="Sheet13"/>
  <dimension ref="A1:AC48"/>
  <sheetViews>
    <sheetView zoomScale="85" zoomScaleNormal="85" workbookViewId="0">
      <pane xSplit="1" ySplit="2" topLeftCell="B3" activePane="bottomRight" state="frozen"/>
      <selection pane="topRight" activeCell="B1" sqref="B1"/>
      <selection pane="bottomLeft" activeCell="A3" sqref="A3"/>
      <selection pane="bottomRight" activeCell="D12" sqref="D12"/>
    </sheetView>
  </sheetViews>
  <sheetFormatPr defaultRowHeight="15.75" x14ac:dyDescent="0.5"/>
  <cols>
    <col min="2" max="2" width="17" customWidth="1"/>
    <col min="3" max="3" width="25.125" customWidth="1"/>
    <col min="4" max="4" width="60.375" customWidth="1"/>
    <col min="5" max="5" width="27.625" customWidth="1"/>
    <col min="6" max="6" width="59.5" customWidth="1"/>
    <col min="7" max="7" width="15.375" customWidth="1"/>
    <col min="8" max="8" width="10.875" customWidth="1"/>
    <col min="9" max="9" width="22.75" customWidth="1"/>
    <col min="10" max="10" width="18.75" customWidth="1"/>
    <col min="11" max="11" width="15.25" customWidth="1"/>
    <col min="12" max="12" width="26" customWidth="1"/>
    <col min="13" max="13" width="21.125" customWidth="1"/>
    <col min="14" max="14" width="17.375" customWidth="1"/>
    <col min="15" max="18" width="19.625" customWidth="1"/>
    <col min="19" max="19" width="23.25" customWidth="1"/>
    <col min="20" max="20" width="14.125" customWidth="1"/>
    <col min="21" max="21" width="30.125" customWidth="1"/>
    <col min="22" max="22" width="14.875" customWidth="1"/>
    <col min="23" max="23" width="18.75" customWidth="1"/>
    <col min="24" max="24" width="18.5" customWidth="1"/>
    <col min="25" max="25" width="17.25" customWidth="1"/>
    <col min="26" max="26" width="13.625" customWidth="1"/>
    <col min="27" max="27" width="18.375" customWidth="1"/>
    <col min="28" max="28" width="24" customWidth="1"/>
    <col min="29" max="29" width="20.5" customWidth="1"/>
  </cols>
  <sheetData>
    <row r="1" spans="1:26" x14ac:dyDescent="0.5">
      <c r="A1" s="105" t="s">
        <v>5</v>
      </c>
      <c r="B1" s="106" t="s">
        <v>12</v>
      </c>
      <c r="C1" s="106"/>
      <c r="D1" s="106"/>
      <c r="E1" s="107" t="s">
        <v>13</v>
      </c>
      <c r="F1" s="107"/>
      <c r="G1" s="106" t="s">
        <v>18</v>
      </c>
      <c r="H1" s="108"/>
      <c r="I1" s="109" t="s">
        <v>19</v>
      </c>
      <c r="J1" s="109"/>
      <c r="K1" s="103" t="s">
        <v>20</v>
      </c>
      <c r="L1" s="103"/>
      <c r="M1" s="104" t="s">
        <v>116</v>
      </c>
      <c r="N1" s="104"/>
      <c r="O1" s="104"/>
      <c r="P1" s="104"/>
      <c r="Q1" s="104"/>
      <c r="R1" s="104"/>
      <c r="S1" s="103" t="s">
        <v>21</v>
      </c>
      <c r="T1" s="103"/>
      <c r="U1" s="103"/>
      <c r="V1" s="103"/>
      <c r="W1" s="103"/>
    </row>
    <row r="2" spans="1:26" x14ac:dyDescent="0.5">
      <c r="A2" s="105"/>
      <c r="B2" s="13" t="s">
        <v>9</v>
      </c>
      <c r="C2" s="13" t="s">
        <v>10</v>
      </c>
      <c r="D2" s="13" t="s">
        <v>219</v>
      </c>
      <c r="E2" s="8" t="s">
        <v>3</v>
      </c>
      <c r="F2" s="8" t="s">
        <v>4</v>
      </c>
      <c r="G2" s="14">
        <v>0.9</v>
      </c>
      <c r="H2" s="14">
        <v>0.99</v>
      </c>
      <c r="I2" s="15" t="s">
        <v>14</v>
      </c>
      <c r="J2" s="15" t="s">
        <v>15</v>
      </c>
      <c r="K2" s="16" t="s">
        <v>16</v>
      </c>
      <c r="L2" s="16" t="s">
        <v>17</v>
      </c>
      <c r="M2" s="29" t="s">
        <v>117</v>
      </c>
      <c r="N2" s="29" t="s">
        <v>120</v>
      </c>
      <c r="O2" s="29" t="s">
        <v>124</v>
      </c>
      <c r="P2" s="45" t="s">
        <v>0</v>
      </c>
      <c r="Q2" s="45" t="s">
        <v>1</v>
      </c>
      <c r="R2" s="45" t="s">
        <v>2</v>
      </c>
      <c r="S2" s="45" t="s">
        <v>118</v>
      </c>
      <c r="T2" s="46" t="s">
        <v>25</v>
      </c>
      <c r="U2" s="29" t="s">
        <v>121</v>
      </c>
      <c r="V2" s="29" t="s">
        <v>122</v>
      </c>
      <c r="W2" s="29" t="s">
        <v>123</v>
      </c>
      <c r="X2" s="29"/>
      <c r="Y2" s="29"/>
      <c r="Z2" s="29"/>
    </row>
    <row r="3" spans="1:26" x14ac:dyDescent="0.5">
      <c r="A3" s="10">
        <v>1980</v>
      </c>
      <c r="B3" s="12">
        <f>'Minimum Deflation Total'!D3</f>
        <v>8437.0223538020127</v>
      </c>
      <c r="C3" s="12">
        <f>'Average Labor Income'!D20 *251.1 / CPI!B69</f>
        <v>68876.973786407776</v>
      </c>
      <c r="D3" s="12">
        <f>'99.9% Threshold Labor'!D20 * 251.1 / CPI!B69</f>
        <v>581840.17416262126</v>
      </c>
      <c r="E3" s="39">
        <f t="shared" ref="E3:E37" si="0">LN(C3)-F3^2/2</f>
        <v>10.89114548072591</v>
      </c>
      <c r="F3" s="39">
        <f t="shared" ref="F3:F37" si="1">(LN(D3)-LN(B3))/6</f>
        <v>0.7055943917500892</v>
      </c>
      <c r="G3" s="12">
        <f t="shared" ref="G3:H18" si="2">_xlfn.LOGNORM.INV(G$2,$E3,$F3)</f>
        <v>132640.94277446228</v>
      </c>
      <c r="H3" s="12">
        <f t="shared" si="2"/>
        <v>277230.20192294905</v>
      </c>
      <c r="I3" s="17">
        <f t="shared" ref="I3:J18" si="3">(LN(G3)-($E3+$F3^2))/$F3</f>
        <v>0.57595717379451028</v>
      </c>
      <c r="J3" s="17">
        <f t="shared" si="3"/>
        <v>1.6207534822907517</v>
      </c>
      <c r="K3" s="18">
        <f t="shared" ref="K3:L18" si="4">_xlfn.NORM.DIST(I3,0,1,TRUE)</f>
        <v>0.71767793546315861</v>
      </c>
      <c r="L3" s="18">
        <f>_xlfn.NORM.DIST(J3,0,1,TRUE)</f>
        <v>0.94746474074132381</v>
      </c>
      <c r="M3" s="30">
        <f>'Top 1% Labor Share'!D20</f>
        <v>5.8800000999999998E-2</v>
      </c>
      <c r="N3" s="30">
        <f>'Top 10% Labor Share'!D20 - M3</f>
        <v>0.21660000899999998</v>
      </c>
      <c r="O3" s="30">
        <f t="shared" ref="O3:O37" si="5">1-N3 - M3</f>
        <v>0.72459998999999997</v>
      </c>
      <c r="P3" s="47">
        <f t="shared" ref="P3:P37" si="6">K3</f>
        <v>0.71767793546315861</v>
      </c>
      <c r="Q3" s="47">
        <f t="shared" ref="Q3:Q37" si="7">L3-K3</f>
        <v>0.2297868052781652</v>
      </c>
      <c r="R3" s="47">
        <f t="shared" ref="R3:R37" si="8">1-L3</f>
        <v>5.2535259258676192E-2</v>
      </c>
      <c r="S3" s="48">
        <f>Q3+R3</f>
        <v>0.28232206453684139</v>
      </c>
      <c r="T3" s="49">
        <f t="shared" ref="T3:T37" si="9">2*_xlfn.NORM.DIST(F3/SQRT(2),0,1,TRUE)-1</f>
        <v>0.38217170934872291</v>
      </c>
      <c r="U3" s="30">
        <f t="shared" ref="U3:U37" si="10">M3/R3 - 1</f>
        <v>0.11924832635691596</v>
      </c>
      <c r="V3" s="30">
        <f t="shared" ref="V3:V37" si="11">N3/Q3 - 1</f>
        <v>-5.7387090882795144E-2</v>
      </c>
      <c r="W3" s="30">
        <f t="shared" ref="W3:W37" si="12">O3/P3 - 1</f>
        <v>9.6450708525324114E-3</v>
      </c>
    </row>
    <row r="4" spans="1:26" x14ac:dyDescent="0.5">
      <c r="A4">
        <v>1981</v>
      </c>
      <c r="B4" s="12">
        <f>'Minimum Deflation Total'!D4</f>
        <v>8605.7628008780539</v>
      </c>
      <c r="C4" s="12">
        <f>'Average Labor Income'!D21 *251.1 / CPI!B70</f>
        <v>61825.292287128716</v>
      </c>
      <c r="D4" s="12">
        <f>'99.9% Threshold Labor'!D21 * 251.1 / CPI!B70</f>
        <v>504440.53574257425</v>
      </c>
      <c r="E4" s="39">
        <f t="shared" si="0"/>
        <v>10.80188467160756</v>
      </c>
      <c r="F4" s="39">
        <f t="shared" si="1"/>
        <v>0.67850298219475869</v>
      </c>
      <c r="G4" s="12">
        <f t="shared" si="2"/>
        <v>117174.69626814986</v>
      </c>
      <c r="H4" s="12">
        <f t="shared" si="2"/>
        <v>238069.6702042743</v>
      </c>
      <c r="I4" s="17">
        <f t="shared" si="3"/>
        <v>0.60304858334984268</v>
      </c>
      <c r="J4" s="17">
        <f t="shared" si="3"/>
        <v>1.6478448918460817</v>
      </c>
      <c r="K4" s="18">
        <f t="shared" si="4"/>
        <v>0.72676181513800342</v>
      </c>
      <c r="L4" s="18">
        <f t="shared" si="4"/>
        <v>0.95030774785070204</v>
      </c>
      <c r="M4" s="30">
        <f>'Top 1% Labor Share'!D21</f>
        <v>5.7399999E-2</v>
      </c>
      <c r="N4" s="30">
        <f>'Top 10% Labor Share'!D21 - M4</f>
        <v>0.21769999100000001</v>
      </c>
      <c r="O4" s="30">
        <f t="shared" si="5"/>
        <v>0.72490000999999993</v>
      </c>
      <c r="P4" s="47">
        <f t="shared" si="6"/>
        <v>0.72676181513800342</v>
      </c>
      <c r="Q4" s="47">
        <f t="shared" si="7"/>
        <v>0.22354593271269863</v>
      </c>
      <c r="R4" s="47">
        <f t="shared" si="8"/>
        <v>4.9692252149297955E-2</v>
      </c>
      <c r="S4" s="48">
        <f t="shared" ref="S4:S37" si="13">Q4+R4</f>
        <v>0.27323818486199658</v>
      </c>
      <c r="T4" s="49">
        <f t="shared" si="9"/>
        <v>0.36861194005087738</v>
      </c>
      <c r="U4" s="30">
        <f t="shared" si="10"/>
        <v>0.15510963011989265</v>
      </c>
      <c r="V4" s="30">
        <f t="shared" si="11"/>
        <v>-2.6150964330949433E-2</v>
      </c>
      <c r="W4" s="30">
        <f t="shared" si="12"/>
        <v>-2.5617817271398335E-3</v>
      </c>
    </row>
    <row r="5" spans="1:26" x14ac:dyDescent="0.5">
      <c r="A5" s="10">
        <v>1982</v>
      </c>
      <c r="B5" s="12">
        <f>'Minimum Deflation Total'!D5</f>
        <v>8777.8780568956154</v>
      </c>
      <c r="C5" s="12">
        <f>'Average Labor Income'!D22 *251.1 / CPI!B71</f>
        <v>59135.741347150259</v>
      </c>
      <c r="D5" s="12">
        <f>'99.9% Threshold Labor'!D22 * 251.1 / CPI!B71</f>
        <v>476994.7901658031</v>
      </c>
      <c r="E5" s="39">
        <f t="shared" si="0"/>
        <v>10.765893707231756</v>
      </c>
      <c r="F5" s="39">
        <f t="shared" si="1"/>
        <v>0.66587847824592983</v>
      </c>
      <c r="G5" s="12">
        <f t="shared" si="2"/>
        <v>111218.42210510654</v>
      </c>
      <c r="H5" s="12">
        <f t="shared" si="2"/>
        <v>223007.05561451835</v>
      </c>
      <c r="I5" s="17">
        <f t="shared" si="3"/>
        <v>0.61567308729866865</v>
      </c>
      <c r="J5" s="17">
        <f t="shared" si="3"/>
        <v>1.6604693957949093</v>
      </c>
      <c r="K5" s="18">
        <f t="shared" si="4"/>
        <v>0.73094484847174079</v>
      </c>
      <c r="L5" s="18">
        <f t="shared" si="4"/>
        <v>0.95158997015986346</v>
      </c>
      <c r="M5" s="30">
        <f>'Top 1% Labor Share'!D22</f>
        <v>5.7100001999999997E-2</v>
      </c>
      <c r="N5" s="30">
        <f>'Top 10% Labor Share'!D22 - M5</f>
        <v>0.21900000800000002</v>
      </c>
      <c r="O5" s="30">
        <f t="shared" si="5"/>
        <v>0.72389998999999994</v>
      </c>
      <c r="P5" s="47">
        <f t="shared" si="6"/>
        <v>0.73094484847174079</v>
      </c>
      <c r="Q5" s="47">
        <f t="shared" si="7"/>
        <v>0.22064512168812267</v>
      </c>
      <c r="R5" s="47">
        <f t="shared" si="8"/>
        <v>4.8410029840136537E-2</v>
      </c>
      <c r="S5" s="48">
        <f t="shared" si="13"/>
        <v>0.26905515152825921</v>
      </c>
      <c r="T5" s="49">
        <f t="shared" si="9"/>
        <v>0.36225013547405593</v>
      </c>
      <c r="U5" s="30">
        <f t="shared" si="10"/>
        <v>0.17950768030013986</v>
      </c>
      <c r="V5" s="30">
        <f t="shared" si="11"/>
        <v>-7.4559259481293827E-3</v>
      </c>
      <c r="W5" s="30">
        <f t="shared" si="12"/>
        <v>-9.6380164474382246E-3</v>
      </c>
    </row>
    <row r="6" spans="1:26" x14ac:dyDescent="0.5">
      <c r="A6">
        <v>1983</v>
      </c>
      <c r="B6" s="12">
        <f>'Minimum Deflation Total'!D6</f>
        <v>8953.4356180335271</v>
      </c>
      <c r="C6" s="12">
        <f>'Average Labor Income'!D23 *251.1 / CPI!B72</f>
        <v>56513.887048192766</v>
      </c>
      <c r="D6" s="12">
        <f>'99.9% Threshold Labor'!D23 * 251.1 / CPI!B72</f>
        <v>450439.11325301207</v>
      </c>
      <c r="E6" s="39">
        <f t="shared" si="0"/>
        <v>10.729016976797457</v>
      </c>
      <c r="F6" s="39">
        <f t="shared" si="1"/>
        <v>0.65303093127297951</v>
      </c>
      <c r="G6" s="12">
        <f t="shared" si="2"/>
        <v>105441.31161670742</v>
      </c>
      <c r="H6" s="12">
        <f t="shared" si="2"/>
        <v>208604.22917808816</v>
      </c>
      <c r="I6" s="17">
        <f t="shared" si="3"/>
        <v>0.62852063427162053</v>
      </c>
      <c r="J6" s="17">
        <f t="shared" si="3"/>
        <v>1.6733169427678605</v>
      </c>
      <c r="K6" s="18">
        <f t="shared" si="4"/>
        <v>0.7351685331555895</v>
      </c>
      <c r="L6" s="18">
        <f t="shared" si="4"/>
        <v>0.95286754059361611</v>
      </c>
      <c r="M6" s="30">
        <f>'Top 1% Labor Share'!D23</f>
        <v>5.6699999000000001E-2</v>
      </c>
      <c r="N6" s="30">
        <f>'Top 10% Labor Share'!D23 - M6</f>
        <v>0.22019999099999998</v>
      </c>
      <c r="O6" s="30">
        <f t="shared" si="5"/>
        <v>0.72310001000000002</v>
      </c>
      <c r="P6" s="47">
        <f t="shared" si="6"/>
        <v>0.7351685331555895</v>
      </c>
      <c r="Q6" s="47">
        <f t="shared" si="7"/>
        <v>0.21769900743802661</v>
      </c>
      <c r="R6" s="47">
        <f t="shared" si="8"/>
        <v>4.7132459406383886E-2</v>
      </c>
      <c r="S6" s="48">
        <f t="shared" si="13"/>
        <v>0.2648314668444105</v>
      </c>
      <c r="T6" s="49">
        <f t="shared" si="9"/>
        <v>0.35574842602021683</v>
      </c>
      <c r="U6" s="30">
        <f t="shared" si="10"/>
        <v>0.20299258120869945</v>
      </c>
      <c r="V6" s="30">
        <f t="shared" si="11"/>
        <v>1.1488263503844021E-2</v>
      </c>
      <c r="W6" s="30">
        <f t="shared" si="12"/>
        <v>-1.6415995260008365E-2</v>
      </c>
    </row>
    <row r="7" spans="1:26" x14ac:dyDescent="0.5">
      <c r="A7" s="10">
        <v>1984</v>
      </c>
      <c r="B7" s="12">
        <f>'Minimum Deflation Total'!D7</f>
        <v>9132.5043303941984</v>
      </c>
      <c r="C7" s="12">
        <f>'Average Labor Income'!D24 *251.1 / CPI!B73</f>
        <v>53537.951780558229</v>
      </c>
      <c r="D7" s="12">
        <f>'99.9% Threshold Labor'!D24 * 251.1 / CPI!B73</f>
        <v>412854.29402309906</v>
      </c>
      <c r="E7" s="39">
        <f t="shared" si="0"/>
        <v>10.686400741276721</v>
      </c>
      <c r="F7" s="39">
        <f t="shared" si="1"/>
        <v>0.63520912964601361</v>
      </c>
      <c r="G7" s="12">
        <f t="shared" si="2"/>
        <v>98760.597733245639</v>
      </c>
      <c r="H7" s="12">
        <f t="shared" si="2"/>
        <v>191782.68280854629</v>
      </c>
      <c r="I7" s="17">
        <f t="shared" si="3"/>
        <v>0.64634243589858786</v>
      </c>
      <c r="J7" s="17">
        <f t="shared" si="3"/>
        <v>1.6911387443948265</v>
      </c>
      <c r="K7" s="18">
        <f t="shared" si="4"/>
        <v>0.74097119439897097</v>
      </c>
      <c r="L7" s="18">
        <f t="shared" si="4"/>
        <v>0.95459484654721882</v>
      </c>
      <c r="M7" s="30">
        <f>'Top 1% Labor Share'!D24</f>
        <v>5.6000002E-2</v>
      </c>
      <c r="N7" s="30">
        <f>'Top 10% Labor Share'!D24 - M7</f>
        <v>0.221200008</v>
      </c>
      <c r="O7" s="30">
        <f t="shared" si="5"/>
        <v>0.72279998999999995</v>
      </c>
      <c r="P7" s="47">
        <f t="shared" si="6"/>
        <v>0.74097119439897097</v>
      </c>
      <c r="Q7" s="47">
        <f t="shared" si="7"/>
        <v>0.21362365214824786</v>
      </c>
      <c r="R7" s="47">
        <f t="shared" si="8"/>
        <v>4.5405153452781177E-2</v>
      </c>
      <c r="S7" s="48">
        <f t="shared" si="13"/>
        <v>0.25902880560102903</v>
      </c>
      <c r="T7" s="49">
        <f t="shared" si="9"/>
        <v>0.3466842524072562</v>
      </c>
      <c r="U7" s="30">
        <f t="shared" si="10"/>
        <v>0.23334022113231878</v>
      </c>
      <c r="V7" s="30">
        <f t="shared" si="11"/>
        <v>3.546590359055557E-2</v>
      </c>
      <c r="W7" s="30">
        <f t="shared" si="12"/>
        <v>-2.4523496373850762E-2</v>
      </c>
    </row>
    <row r="8" spans="1:26" x14ac:dyDescent="0.5">
      <c r="A8">
        <v>1985</v>
      </c>
      <c r="B8" s="12">
        <f>'Minimum Deflation Total'!D8</f>
        <v>9315.1544170020825</v>
      </c>
      <c r="C8" s="12">
        <f>'Average Labor Income'!D25 *251.1 / CPI!B74</f>
        <v>51646.558374535314</v>
      </c>
      <c r="D8" s="12">
        <f>'99.9% Threshold Labor'!D25 * 251.1 / CPI!B74</f>
        <v>411281.73066914501</v>
      </c>
      <c r="E8" s="39">
        <f t="shared" si="0"/>
        <v>10.65292626208182</v>
      </c>
      <c r="F8" s="39">
        <f t="shared" si="1"/>
        <v>0.63127264576467912</v>
      </c>
      <c r="G8" s="12">
        <f t="shared" si="2"/>
        <v>95028.745549718311</v>
      </c>
      <c r="H8" s="12">
        <f t="shared" si="2"/>
        <v>183778.4140666264</v>
      </c>
      <c r="I8" s="17">
        <f t="shared" si="3"/>
        <v>0.65027891977992092</v>
      </c>
      <c r="J8" s="17">
        <f t="shared" si="3"/>
        <v>1.6950752282761614</v>
      </c>
      <c r="K8" s="18">
        <f t="shared" si="4"/>
        <v>0.74224396440697826</v>
      </c>
      <c r="L8" s="18">
        <f t="shared" si="4"/>
        <v>0.95496942460991541</v>
      </c>
      <c r="M8" s="30">
        <f>'Top 1% Labor Share'!D25</f>
        <v>5.7399999E-2</v>
      </c>
      <c r="N8" s="30">
        <f>'Top 10% Labor Share'!D25 - M8</f>
        <v>0.22030001099999999</v>
      </c>
      <c r="O8" s="30">
        <f t="shared" si="5"/>
        <v>0.72229999</v>
      </c>
      <c r="P8" s="47">
        <f t="shared" si="6"/>
        <v>0.74224396440697826</v>
      </c>
      <c r="Q8" s="47">
        <f t="shared" si="7"/>
        <v>0.21272546020293714</v>
      </c>
      <c r="R8" s="47">
        <f t="shared" si="8"/>
        <v>4.5030575390084593E-2</v>
      </c>
      <c r="S8" s="48">
        <f t="shared" si="13"/>
        <v>0.25775603559302174</v>
      </c>
      <c r="T8" s="49">
        <f t="shared" si="9"/>
        <v>0.3446751778385484</v>
      </c>
      <c r="U8" s="30">
        <f t="shared" si="10"/>
        <v>0.27468944162412523</v>
      </c>
      <c r="V8" s="30">
        <f t="shared" si="11"/>
        <v>3.5607166109016042E-2</v>
      </c>
      <c r="W8" s="30">
        <f t="shared" si="12"/>
        <v>-2.6869837093135063E-2</v>
      </c>
    </row>
    <row r="9" spans="1:26" x14ac:dyDescent="0.5">
      <c r="A9" s="10">
        <v>1986</v>
      </c>
      <c r="B9" s="12">
        <f>'Minimum Deflation Total'!D9</f>
        <v>9501.4575053421249</v>
      </c>
      <c r="C9" s="12">
        <f>'Average Labor Income'!D26 *251.1 / CPI!B75</f>
        <v>50471.560502737222</v>
      </c>
      <c r="D9" s="12">
        <f>'99.9% Threshold Labor'!D26 * 251.1 / CPI!B75</f>
        <v>413636.38850364968</v>
      </c>
      <c r="E9" s="39">
        <f t="shared" si="0"/>
        <v>10.631392799502915</v>
      </c>
      <c r="F9" s="39">
        <f t="shared" si="1"/>
        <v>0.62892368180196223</v>
      </c>
      <c r="G9" s="12">
        <f t="shared" si="2"/>
        <v>92724.770614072724</v>
      </c>
      <c r="H9" s="12">
        <f t="shared" si="2"/>
        <v>178883.14843161742</v>
      </c>
      <c r="I9" s="17">
        <f t="shared" si="3"/>
        <v>0.65262788374264002</v>
      </c>
      <c r="J9" s="17">
        <f t="shared" si="3"/>
        <v>1.6974241922388813</v>
      </c>
      <c r="K9" s="18">
        <f t="shared" si="4"/>
        <v>0.74300189757288559</v>
      </c>
      <c r="L9" s="18">
        <f t="shared" si="4"/>
        <v>0.95519175399561285</v>
      </c>
      <c r="M9" s="30">
        <f>'Top 1% Labor Share'!D26</f>
        <v>5.8699999000000003E-2</v>
      </c>
      <c r="N9" s="30">
        <f>'Top 10% Labor Share'!D26 - M9</f>
        <v>0.21930000100000002</v>
      </c>
      <c r="O9" s="30">
        <f t="shared" si="5"/>
        <v>0.72199999999999998</v>
      </c>
      <c r="P9" s="47">
        <f t="shared" si="6"/>
        <v>0.74300189757288559</v>
      </c>
      <c r="Q9" s="47">
        <f t="shared" si="7"/>
        <v>0.21218985642272725</v>
      </c>
      <c r="R9" s="47">
        <f t="shared" si="8"/>
        <v>4.4808246004387153E-2</v>
      </c>
      <c r="S9" s="48">
        <f t="shared" si="13"/>
        <v>0.25699810242711441</v>
      </c>
      <c r="T9" s="49">
        <f t="shared" si="9"/>
        <v>0.34347513962014098</v>
      </c>
      <c r="U9" s="30">
        <f t="shared" si="10"/>
        <v>0.31002670790221765</v>
      </c>
      <c r="V9" s="30">
        <f t="shared" si="11"/>
        <v>3.3508409389315208E-2</v>
      </c>
      <c r="W9" s="30">
        <f t="shared" si="12"/>
        <v>-2.8266277167650733E-2</v>
      </c>
    </row>
    <row r="10" spans="1:26" x14ac:dyDescent="0.5">
      <c r="A10">
        <v>1987</v>
      </c>
      <c r="B10" s="12">
        <f>'Minimum Deflation Total'!D10</f>
        <v>9691.4866554489672</v>
      </c>
      <c r="C10" s="12">
        <f>'Average Labor Income'!D27 *251.1 / CPI!B76</f>
        <v>48826.129753521127</v>
      </c>
      <c r="D10" s="12">
        <f>'99.9% Threshold Labor'!D27 * 251.1 / CPI!B76</f>
        <v>406161.32323943666</v>
      </c>
      <c r="E10" s="39">
        <f t="shared" si="0"/>
        <v>10.60221562179775</v>
      </c>
      <c r="F10" s="39">
        <f t="shared" si="1"/>
        <v>0.6225837654684353</v>
      </c>
      <c r="G10" s="12">
        <f t="shared" si="2"/>
        <v>89329.657368348548</v>
      </c>
      <c r="H10" s="12">
        <f t="shared" si="2"/>
        <v>171195.59992855345</v>
      </c>
      <c r="I10" s="17">
        <f t="shared" si="3"/>
        <v>0.6589678000761654</v>
      </c>
      <c r="J10" s="17">
        <f t="shared" si="3"/>
        <v>1.7037641085724047</v>
      </c>
      <c r="K10" s="18">
        <f t="shared" si="4"/>
        <v>0.74504177695424678</v>
      </c>
      <c r="L10" s="18">
        <f t="shared" si="4"/>
        <v>0.95578741710469461</v>
      </c>
      <c r="M10" s="30">
        <f>'Top 1% Labor Share'!D27</f>
        <v>5.9500000999999997E-2</v>
      </c>
      <c r="N10" s="30">
        <f>'Top 10% Labor Share'!D27 - M10</f>
        <v>0.21799999900000003</v>
      </c>
      <c r="O10" s="30">
        <f t="shared" si="5"/>
        <v>0.72250000000000003</v>
      </c>
      <c r="P10" s="47">
        <f t="shared" si="6"/>
        <v>0.74504177695424678</v>
      </c>
      <c r="Q10" s="47">
        <f t="shared" si="7"/>
        <v>0.21074564015044783</v>
      </c>
      <c r="R10" s="47">
        <f t="shared" si="8"/>
        <v>4.4212582895305386E-2</v>
      </c>
      <c r="S10" s="48">
        <f t="shared" si="13"/>
        <v>0.25495822304575322</v>
      </c>
      <c r="T10" s="49">
        <f t="shared" si="9"/>
        <v>0.34023178547361321</v>
      </c>
      <c r="U10" s="30">
        <f t="shared" si="10"/>
        <v>0.34577075356341314</v>
      </c>
      <c r="V10" s="30">
        <f t="shared" si="11"/>
        <v>3.4422343657374954E-2</v>
      </c>
      <c r="W10" s="30">
        <f t="shared" si="12"/>
        <v>-3.0255722097085935E-2</v>
      </c>
    </row>
    <row r="11" spans="1:26" x14ac:dyDescent="0.5">
      <c r="A11" s="10">
        <v>1988</v>
      </c>
      <c r="B11" s="12">
        <f>'Minimum Deflation Total'!D11</f>
        <v>9885.316388557947</v>
      </c>
      <c r="C11" s="12">
        <f>'Average Labor Income'!D28 *251.1 / CPI!B77</f>
        <v>47799.631605240917</v>
      </c>
      <c r="D11" s="12">
        <f>'99.9% Threshold Labor'!D28 * 251.1 / CPI!B77</f>
        <v>412552.01480135246</v>
      </c>
      <c r="E11" s="39">
        <f t="shared" si="0"/>
        <v>10.581402545027681</v>
      </c>
      <c r="F11" s="39">
        <f t="shared" si="1"/>
        <v>0.62188530521124097</v>
      </c>
      <c r="G11" s="12">
        <f t="shared" si="2"/>
        <v>87411.368845705816</v>
      </c>
      <c r="H11" s="12">
        <f t="shared" si="2"/>
        <v>167397.09825756779</v>
      </c>
      <c r="I11" s="17">
        <f t="shared" si="3"/>
        <v>0.65966626033336051</v>
      </c>
      <c r="J11" s="17">
        <f t="shared" si="3"/>
        <v>1.7044625688296005</v>
      </c>
      <c r="K11" s="18">
        <f t="shared" si="4"/>
        <v>0.74526598855717219</v>
      </c>
      <c r="L11" s="18">
        <f t="shared" si="4"/>
        <v>0.95585264835476402</v>
      </c>
      <c r="M11" s="30">
        <f>'Top 1% Labor Share'!D28</f>
        <v>6.0100000000000001E-2</v>
      </c>
      <c r="N11" s="30">
        <f>'Top 10% Labor Share'!D28 - M11</f>
        <v>0.21690001000000003</v>
      </c>
      <c r="O11" s="30">
        <f t="shared" si="5"/>
        <v>0.72299998999999993</v>
      </c>
      <c r="P11" s="47">
        <f t="shared" si="6"/>
        <v>0.74526598855717219</v>
      </c>
      <c r="Q11" s="47">
        <f t="shared" si="7"/>
        <v>0.21058665979759184</v>
      </c>
      <c r="R11" s="47">
        <f t="shared" si="8"/>
        <v>4.4147351645235977E-2</v>
      </c>
      <c r="S11" s="48">
        <f t="shared" si="13"/>
        <v>0.25473401144282781</v>
      </c>
      <c r="T11" s="49">
        <f t="shared" si="9"/>
        <v>0.33987407662826574</v>
      </c>
      <c r="U11" s="30">
        <f t="shared" si="10"/>
        <v>0.36135006427923533</v>
      </c>
      <c r="V11" s="30">
        <f t="shared" si="11"/>
        <v>2.9979820224492748E-2</v>
      </c>
      <c r="W11" s="30">
        <f t="shared" si="12"/>
        <v>-2.9876579501875611E-2</v>
      </c>
    </row>
    <row r="12" spans="1:26" x14ac:dyDescent="0.5">
      <c r="A12">
        <v>1989</v>
      </c>
      <c r="B12" s="12">
        <f>'Minimum Deflation Total'!D12</f>
        <v>10083.022716329106</v>
      </c>
      <c r="C12" s="12">
        <f>'Average Labor Income'!D29 *251.1 / CPI!B78</f>
        <v>46184.985000000008</v>
      </c>
      <c r="D12" s="12">
        <f>'99.9% Threshold Labor'!D29 * 251.1 / CPI!B78</f>
        <v>394410.08025</v>
      </c>
      <c r="E12" s="39">
        <f t="shared" si="0"/>
        <v>10.553694724674923</v>
      </c>
      <c r="F12" s="39">
        <f t="shared" si="1"/>
        <v>0.61108968175049527</v>
      </c>
      <c r="G12" s="12">
        <f t="shared" si="2"/>
        <v>83854.435426704425</v>
      </c>
      <c r="H12" s="12">
        <f t="shared" si="2"/>
        <v>158784.29210122194</v>
      </c>
      <c r="I12" s="17">
        <f t="shared" si="3"/>
        <v>0.67046188379410776</v>
      </c>
      <c r="J12" s="17">
        <f t="shared" si="3"/>
        <v>1.7152581922903476</v>
      </c>
      <c r="K12" s="18">
        <f t="shared" si="4"/>
        <v>0.74871830164121445</v>
      </c>
      <c r="L12" s="18">
        <f t="shared" si="4"/>
        <v>0.95685104999781845</v>
      </c>
      <c r="M12" s="30">
        <f>'Top 1% Labor Share'!D29</f>
        <v>5.9200000000000003E-2</v>
      </c>
      <c r="N12" s="30">
        <f>'Top 10% Labor Share'!D29 - M12</f>
        <v>0.21909998999999999</v>
      </c>
      <c r="O12" s="30">
        <f t="shared" si="5"/>
        <v>0.72170000999999995</v>
      </c>
      <c r="P12" s="47">
        <f t="shared" si="6"/>
        <v>0.74871830164121445</v>
      </c>
      <c r="Q12" s="47">
        <f t="shared" si="7"/>
        <v>0.208132748356604</v>
      </c>
      <c r="R12" s="47">
        <f t="shared" si="8"/>
        <v>4.3148950002181552E-2</v>
      </c>
      <c r="S12" s="48">
        <f t="shared" si="13"/>
        <v>0.25128169835878555</v>
      </c>
      <c r="T12" s="49">
        <f t="shared" si="9"/>
        <v>0.33433537727221196</v>
      </c>
      <c r="U12" s="30">
        <f t="shared" si="10"/>
        <v>0.3719916706433628</v>
      </c>
      <c r="V12" s="30">
        <f t="shared" si="11"/>
        <v>5.2693493599600627E-2</v>
      </c>
      <c r="W12" s="30">
        <f t="shared" si="12"/>
        <v>-3.6086057442417996E-2</v>
      </c>
    </row>
    <row r="13" spans="1:26" x14ac:dyDescent="0.5">
      <c r="A13" s="10">
        <v>1990</v>
      </c>
      <c r="B13" s="12">
        <f>'Minimum Deflation Total'!D13</f>
        <v>10284.683170655688</v>
      </c>
      <c r="C13" s="12">
        <f>'Average Labor Income'!D30 *251.1 / CPI!B79</f>
        <v>44776.876289977045</v>
      </c>
      <c r="D13" s="12">
        <f>'99.9% Threshold Labor'!D30 * 251.1 / CPI!B79</f>
        <v>364270.96211935731</v>
      </c>
      <c r="E13" s="39">
        <f t="shared" si="0"/>
        <v>10.532707999728162</v>
      </c>
      <c r="F13" s="39">
        <f t="shared" si="1"/>
        <v>0.59454037908265744</v>
      </c>
      <c r="G13" s="12">
        <f t="shared" si="2"/>
        <v>80389.76558302257</v>
      </c>
      <c r="H13" s="12">
        <f t="shared" si="2"/>
        <v>149614.27283737581</v>
      </c>
      <c r="I13" s="17">
        <f t="shared" si="3"/>
        <v>0.68701118646194104</v>
      </c>
      <c r="J13" s="17">
        <f t="shared" si="3"/>
        <v>1.7318074949581828</v>
      </c>
      <c r="K13" s="18">
        <f t="shared" si="4"/>
        <v>0.75396216042432163</v>
      </c>
      <c r="L13" s="18">
        <f t="shared" si="4"/>
        <v>0.9583460783752652</v>
      </c>
      <c r="M13" s="30">
        <f>'Top 1% Labor Share'!D30</f>
        <v>5.6899998E-2</v>
      </c>
      <c r="N13" s="30">
        <f>'Top 10% Labor Share'!D30 - M13</f>
        <v>0.22069999200000001</v>
      </c>
      <c r="O13" s="30">
        <f t="shared" si="5"/>
        <v>0.72240000999999998</v>
      </c>
      <c r="P13" s="47">
        <f t="shared" si="6"/>
        <v>0.75396216042432163</v>
      </c>
      <c r="Q13" s="47">
        <f t="shared" si="7"/>
        <v>0.20438391795094357</v>
      </c>
      <c r="R13" s="47">
        <f t="shared" si="8"/>
        <v>4.1653921624734802E-2</v>
      </c>
      <c r="S13" s="48">
        <f t="shared" si="13"/>
        <v>0.24603783957567837</v>
      </c>
      <c r="T13" s="49">
        <f t="shared" si="9"/>
        <v>0.32580931293934068</v>
      </c>
      <c r="U13" s="30">
        <f t="shared" si="10"/>
        <v>0.36601779089659159</v>
      </c>
      <c r="V13" s="30">
        <f t="shared" si="11"/>
        <v>7.9830518039940124E-2</v>
      </c>
      <c r="W13" s="30">
        <f t="shared" si="12"/>
        <v>-4.1861716782389702E-2</v>
      </c>
    </row>
    <row r="14" spans="1:26" x14ac:dyDescent="0.5">
      <c r="A14">
        <v>1991</v>
      </c>
      <c r="B14" s="12">
        <f>'Minimum Deflation Total'!D14</f>
        <v>10490.376834068802</v>
      </c>
      <c r="C14" s="12">
        <f>'Average Labor Income'!D31 *251.1 / CPI!B80</f>
        <v>43081.899918502204</v>
      </c>
      <c r="D14" s="12">
        <f>'99.9% Threshold Labor'!D31 * 251.1 / CPI!B80</f>
        <v>330433.57011013216</v>
      </c>
      <c r="E14" s="39">
        <f t="shared" si="0"/>
        <v>10.50555078316002</v>
      </c>
      <c r="F14" s="39">
        <f t="shared" si="1"/>
        <v>0.5749912160000884</v>
      </c>
      <c r="G14" s="12">
        <f t="shared" si="2"/>
        <v>76300.263916569675</v>
      </c>
      <c r="H14" s="12">
        <f t="shared" si="2"/>
        <v>139132.27469086865</v>
      </c>
      <c r="I14" s="17">
        <f t="shared" si="3"/>
        <v>0.70656034954451497</v>
      </c>
      <c r="J14" s="17">
        <f t="shared" si="3"/>
        <v>1.7513566580407529</v>
      </c>
      <c r="K14" s="18">
        <f t="shared" si="4"/>
        <v>0.76008013167989807</v>
      </c>
      <c r="L14" s="18">
        <f t="shared" si="4"/>
        <v>0.96005775308273855</v>
      </c>
      <c r="M14" s="30">
        <f>'Top 1% Labor Share'!D31</f>
        <v>5.6000002E-2</v>
      </c>
      <c r="N14" s="30">
        <f>'Top 10% Labor Share'!D31 - M14</f>
        <v>0.21389998799999999</v>
      </c>
      <c r="O14" s="30">
        <f t="shared" si="5"/>
        <v>0.73010001000000002</v>
      </c>
      <c r="P14" s="47">
        <f t="shared" si="6"/>
        <v>0.76008013167989807</v>
      </c>
      <c r="Q14" s="47">
        <f t="shared" si="7"/>
        <v>0.19997762140284048</v>
      </c>
      <c r="R14" s="47">
        <f t="shared" si="8"/>
        <v>3.9942246917261448E-2</v>
      </c>
      <c r="S14" s="48">
        <f t="shared" si="13"/>
        <v>0.23991986832010193</v>
      </c>
      <c r="T14" s="49">
        <f t="shared" si="9"/>
        <v>0.31568364911793023</v>
      </c>
      <c r="U14" s="30">
        <f t="shared" si="10"/>
        <v>0.40202433067927967</v>
      </c>
      <c r="V14" s="30">
        <f t="shared" si="11"/>
        <v>6.9619622933277725E-2</v>
      </c>
      <c r="W14" s="30">
        <f t="shared" si="12"/>
        <v>-3.9443369758445312E-2</v>
      </c>
    </row>
    <row r="15" spans="1:26" x14ac:dyDescent="0.5">
      <c r="A15" s="10">
        <v>1992</v>
      </c>
      <c r="B15" s="12">
        <f>'Minimum Deflation Total'!D15</f>
        <v>10700.184370750178</v>
      </c>
      <c r="C15" s="12">
        <f>'Average Labor Income'!D32 *251.1 / CPI!B81</f>
        <v>41859.067997148966</v>
      </c>
      <c r="D15" s="12">
        <f>'99.9% Threshold Labor'!D32 * 251.1 / CPI!B81</f>
        <v>315647.37583749107</v>
      </c>
      <c r="E15" s="39">
        <f t="shared" si="0"/>
        <v>10.482981445555993</v>
      </c>
      <c r="F15" s="39">
        <f t="shared" si="1"/>
        <v>0.56406078650478086</v>
      </c>
      <c r="G15" s="12">
        <f t="shared" si="2"/>
        <v>73559.834552363143</v>
      </c>
      <c r="H15" s="12">
        <f t="shared" si="2"/>
        <v>132612.02741016209</v>
      </c>
      <c r="I15" s="17">
        <f t="shared" si="3"/>
        <v>0.7174907790398205</v>
      </c>
      <c r="J15" s="17">
        <f t="shared" si="3"/>
        <v>1.7622870875360586</v>
      </c>
      <c r="K15" s="18">
        <f t="shared" si="4"/>
        <v>0.76346433799226276</v>
      </c>
      <c r="L15" s="18">
        <f t="shared" si="4"/>
        <v>0.96098959779423965</v>
      </c>
      <c r="M15" s="30">
        <f>'Top 1% Labor Share'!D32</f>
        <v>5.5599998999999997E-2</v>
      </c>
      <c r="N15" s="30">
        <f>'Top 10% Labor Share'!D32 - M15</f>
        <v>0.21890001100000001</v>
      </c>
      <c r="O15" s="30">
        <f t="shared" si="5"/>
        <v>0.72549998999999998</v>
      </c>
      <c r="P15" s="47">
        <f t="shared" si="6"/>
        <v>0.76346433799226276</v>
      </c>
      <c r="Q15" s="47">
        <f t="shared" si="7"/>
        <v>0.19752525980197688</v>
      </c>
      <c r="R15" s="47">
        <f t="shared" si="8"/>
        <v>3.9010402205760353E-2</v>
      </c>
      <c r="S15" s="48">
        <f t="shared" si="13"/>
        <v>0.23653566200773724</v>
      </c>
      <c r="T15" s="49">
        <f t="shared" si="9"/>
        <v>0.30999715675467354</v>
      </c>
      <c r="U15" s="30">
        <f t="shared" si="10"/>
        <v>0.42526084983020218</v>
      </c>
      <c r="V15" s="30">
        <f t="shared" si="11"/>
        <v>0.10821274817940618</v>
      </c>
      <c r="W15" s="30">
        <f t="shared" si="12"/>
        <v>-4.9726419562831636E-2</v>
      </c>
    </row>
    <row r="16" spans="1:26" x14ac:dyDescent="0.5">
      <c r="A16">
        <v>1993</v>
      </c>
      <c r="B16" s="12">
        <f>'Minimum Deflation Total'!D16</f>
        <v>10914.188058165182</v>
      </c>
      <c r="C16" s="12">
        <f>'Average Labor Income'!D33 *251.1 / CPI!B82</f>
        <v>39945.05750865052</v>
      </c>
      <c r="D16" s="12">
        <f>'99.9% Threshold Labor'!D33 * 251.1 / CPI!B82</f>
        <v>287366.85087197227</v>
      </c>
      <c r="E16" s="39">
        <f t="shared" si="0"/>
        <v>10.446684497517861</v>
      </c>
      <c r="F16" s="39">
        <f t="shared" si="1"/>
        <v>0.54511600433868812</v>
      </c>
      <c r="G16" s="12">
        <f t="shared" si="2"/>
        <v>69236.175079734123</v>
      </c>
      <c r="H16" s="12">
        <f t="shared" si="2"/>
        <v>122371.15448527593</v>
      </c>
      <c r="I16" s="17">
        <f t="shared" si="3"/>
        <v>0.73643556120591391</v>
      </c>
      <c r="J16" s="17">
        <f t="shared" si="3"/>
        <v>1.7812318697021541</v>
      </c>
      <c r="K16" s="18">
        <f t="shared" si="4"/>
        <v>0.76926716512949644</v>
      </c>
      <c r="L16" s="18">
        <f t="shared" si="4"/>
        <v>0.96256271035003782</v>
      </c>
      <c r="M16" s="30">
        <f>'Top 1% Labor Share'!D33</f>
        <v>5.2200001000000003E-2</v>
      </c>
      <c r="N16" s="30">
        <f>'Top 10% Labor Share'!D33 - M16</f>
        <v>0.21809999899999999</v>
      </c>
      <c r="O16" s="30">
        <f t="shared" si="5"/>
        <v>0.72970000000000002</v>
      </c>
      <c r="P16" s="47">
        <f t="shared" si="6"/>
        <v>0.76926716512949644</v>
      </c>
      <c r="Q16" s="47">
        <f t="shared" si="7"/>
        <v>0.19329554522054138</v>
      </c>
      <c r="R16" s="47">
        <f t="shared" si="8"/>
        <v>3.743728964996218E-2</v>
      </c>
      <c r="S16" s="48">
        <f t="shared" si="13"/>
        <v>0.23073283487050356</v>
      </c>
      <c r="T16" s="49">
        <f t="shared" si="9"/>
        <v>0.3000998249723883</v>
      </c>
      <c r="U16" s="30">
        <f t="shared" si="10"/>
        <v>0.39433173416315248</v>
      </c>
      <c r="V16" s="30">
        <f t="shared" si="11"/>
        <v>0.12832398051987104</v>
      </c>
      <c r="W16" s="30">
        <f t="shared" si="12"/>
        <v>-5.1434881044007397E-2</v>
      </c>
    </row>
    <row r="17" spans="1:23" x14ac:dyDescent="0.5">
      <c r="A17" s="10">
        <v>1994</v>
      </c>
      <c r="B17" s="12">
        <f>'Minimum Deflation Total'!D17</f>
        <v>11132.471819328486</v>
      </c>
      <c r="C17" s="12">
        <f>'Average Labor Income'!D34 *251.1 / CPI!B83</f>
        <v>39318.158022267206</v>
      </c>
      <c r="D17" s="12">
        <f>'99.9% Threshold Labor'!D34 * 251.1 / CPI!B83</f>
        <v>296746.15080971661</v>
      </c>
      <c r="E17" s="39">
        <f t="shared" si="0"/>
        <v>10.429745058653523</v>
      </c>
      <c r="F17" s="39">
        <f t="shared" si="1"/>
        <v>0.54716847257125389</v>
      </c>
      <c r="G17" s="12">
        <f t="shared" si="2"/>
        <v>68252.522446946561</v>
      </c>
      <c r="H17" s="12">
        <f t="shared" si="2"/>
        <v>120891.56570075003</v>
      </c>
      <c r="I17" s="17">
        <f t="shared" si="3"/>
        <v>0.7343830929733477</v>
      </c>
      <c r="J17" s="17">
        <f t="shared" si="3"/>
        <v>1.779179401469587</v>
      </c>
      <c r="K17" s="18">
        <f t="shared" si="4"/>
        <v>0.76864235593720864</v>
      </c>
      <c r="L17" s="18">
        <f t="shared" si="4"/>
        <v>0.96239482284221656</v>
      </c>
      <c r="M17" s="30">
        <f>'Top 1% Labor Share'!D34</f>
        <v>5.4299999000000002E-2</v>
      </c>
      <c r="N17" s="30">
        <f>'Top 10% Labor Share'!D34 - M17</f>
        <v>0.21559999099999999</v>
      </c>
      <c r="O17" s="30">
        <f t="shared" si="5"/>
        <v>0.73010001000000002</v>
      </c>
      <c r="P17" s="47">
        <f t="shared" si="6"/>
        <v>0.76864235593720864</v>
      </c>
      <c r="Q17" s="47">
        <f t="shared" si="7"/>
        <v>0.19375246690500791</v>
      </c>
      <c r="R17" s="47">
        <f t="shared" si="8"/>
        <v>3.7605177157783443E-2</v>
      </c>
      <c r="S17" s="48">
        <f t="shared" si="13"/>
        <v>0.23135764406279136</v>
      </c>
      <c r="T17" s="49">
        <f t="shared" si="9"/>
        <v>0.30117459878335229</v>
      </c>
      <c r="U17" s="30">
        <f t="shared" si="10"/>
        <v>0.44395009155703713</v>
      </c>
      <c r="V17" s="30">
        <f t="shared" si="11"/>
        <v>0.11275997897721424</v>
      </c>
      <c r="W17" s="30">
        <f t="shared" si="12"/>
        <v>-5.0143406279262059E-2</v>
      </c>
    </row>
    <row r="18" spans="1:23" x14ac:dyDescent="0.5">
      <c r="A18">
        <v>1995</v>
      </c>
      <c r="B18" s="12">
        <f>'Minimum Deflation Total'!D18</f>
        <v>11355.121255715056</v>
      </c>
      <c r="C18" s="12">
        <f>'Average Labor Income'!D35 *251.1 / CPI!B84</f>
        <v>38870.906102362205</v>
      </c>
      <c r="D18" s="12">
        <f>'99.9% Threshold Labor'!D35 * 251.1 / CPI!B84</f>
        <v>289347.5882480315</v>
      </c>
      <c r="E18" s="39">
        <f t="shared" si="0"/>
        <v>10.422384891371195</v>
      </c>
      <c r="F18" s="39">
        <f t="shared" si="1"/>
        <v>0.53965997313296388</v>
      </c>
      <c r="G18" s="12">
        <f t="shared" si="2"/>
        <v>67103.19751476316</v>
      </c>
      <c r="H18" s="12">
        <f t="shared" si="2"/>
        <v>117927.07719895436</v>
      </c>
      <c r="I18" s="17">
        <f t="shared" si="3"/>
        <v>0.74189159241163694</v>
      </c>
      <c r="J18" s="17">
        <f t="shared" si="3"/>
        <v>1.7866879009078753</v>
      </c>
      <c r="K18" s="18">
        <f t="shared" si="4"/>
        <v>0.77092348988898318</v>
      </c>
      <c r="L18" s="18">
        <f t="shared" si="4"/>
        <v>0.96300602715805306</v>
      </c>
      <c r="M18" s="30">
        <f>'Top 1% Labor Share'!D35</f>
        <v>5.3599998000000003E-2</v>
      </c>
      <c r="N18" s="30">
        <f>'Top 10% Labor Share'!D35 - M18</f>
        <v>0.214999992</v>
      </c>
      <c r="O18" s="30">
        <f t="shared" si="5"/>
        <v>0.73140000999999999</v>
      </c>
      <c r="P18" s="47">
        <f t="shared" si="6"/>
        <v>0.77092348988898318</v>
      </c>
      <c r="Q18" s="47">
        <f t="shared" si="7"/>
        <v>0.19208253726906988</v>
      </c>
      <c r="R18" s="47">
        <f t="shared" si="8"/>
        <v>3.6993972841946943E-2</v>
      </c>
      <c r="S18" s="48">
        <f t="shared" si="13"/>
        <v>0.22907651011101682</v>
      </c>
      <c r="T18" s="49">
        <f t="shared" si="9"/>
        <v>0.29723985826041632</v>
      </c>
      <c r="U18" s="30">
        <f t="shared" si="10"/>
        <v>0.44888461233943833</v>
      </c>
      <c r="V18" s="30">
        <f t="shared" si="11"/>
        <v>0.11931045402022811</v>
      </c>
      <c r="W18" s="30">
        <f t="shared" si="12"/>
        <v>-5.1267707376090987E-2</v>
      </c>
    </row>
    <row r="19" spans="1:23" x14ac:dyDescent="0.5">
      <c r="A19" s="10">
        <v>1996</v>
      </c>
      <c r="B19" s="12">
        <f>'Minimum Deflation Total'!D19</f>
        <v>11582.223680829356</v>
      </c>
      <c r="C19" s="12">
        <f>'Average Labor Income'!D36 *251.1 / CPI!B85</f>
        <v>38117.908221797319</v>
      </c>
      <c r="D19" s="12">
        <f>'99.9% Threshold Labor'!D36 * 251.1 / CPI!B85</f>
        <v>281835.82428298279</v>
      </c>
      <c r="E19" s="39">
        <f t="shared" si="0"/>
        <v>10.406940495475286</v>
      </c>
      <c r="F19" s="39">
        <f t="shared" si="1"/>
        <v>0.53197553943242004</v>
      </c>
      <c r="G19" s="12">
        <f t="shared" ref="G19:H37" si="14">_xlfn.LOGNORM.INV(G$2,$E19,$F19)</f>
        <v>65427.280327881803</v>
      </c>
      <c r="H19" s="12">
        <f t="shared" si="14"/>
        <v>114062.36744994804</v>
      </c>
      <c r="I19" s="17">
        <f t="shared" ref="I19:J37" si="15">(LN(G19)-($E19+$F19^2))/$F19</f>
        <v>0.74957602611218277</v>
      </c>
      <c r="J19" s="17">
        <f t="shared" si="15"/>
        <v>1.7943723346084197</v>
      </c>
      <c r="K19" s="18">
        <f t="shared" ref="K19:L37" si="16">_xlfn.NORM.DIST(I19,0,1,TRUE)</f>
        <v>0.77324495291794737</v>
      </c>
      <c r="L19" s="18">
        <f t="shared" si="16"/>
        <v>0.96362312019855545</v>
      </c>
      <c r="M19" s="30">
        <f>'Top 1% Labor Share'!D36</f>
        <v>5.3800002E-2</v>
      </c>
      <c r="N19" s="30">
        <f>'Top 10% Labor Share'!D36 - M19</f>
        <v>0.214699998</v>
      </c>
      <c r="O19" s="30">
        <f t="shared" si="5"/>
        <v>0.73150000000000004</v>
      </c>
      <c r="P19" s="47">
        <f t="shared" si="6"/>
        <v>0.77324495291794737</v>
      </c>
      <c r="Q19" s="47">
        <f t="shared" si="7"/>
        <v>0.19037816728060808</v>
      </c>
      <c r="R19" s="47">
        <f t="shared" si="8"/>
        <v>3.637687980144455E-2</v>
      </c>
      <c r="S19" s="48">
        <f t="shared" si="13"/>
        <v>0.22675504708205263</v>
      </c>
      <c r="T19" s="49">
        <f t="shared" si="9"/>
        <v>0.29320465965247489</v>
      </c>
      <c r="U19" s="30">
        <f t="shared" si="10"/>
        <v>0.47896142532443275</v>
      </c>
      <c r="V19" s="30">
        <f t="shared" si="11"/>
        <v>0.12775535696560603</v>
      </c>
      <c r="W19" s="30">
        <f t="shared" si="12"/>
        <v>-5.3986712438816364E-2</v>
      </c>
    </row>
    <row r="20" spans="1:23" x14ac:dyDescent="0.5">
      <c r="A20">
        <v>1997</v>
      </c>
      <c r="B20" s="12">
        <f>'Minimum Deflation Total'!D20</f>
        <v>11813.868154445943</v>
      </c>
      <c r="C20" s="12">
        <f>'Average Labor Income'!D37 *251.1 / CPI!B86</f>
        <v>37809.714953271025</v>
      </c>
      <c r="D20" s="12">
        <f>'99.9% Threshold Labor'!D37 * 251.1 / CPI!B86</f>
        <v>275985.49626168224</v>
      </c>
      <c r="E20" s="39">
        <f t="shared" si="0"/>
        <v>10.40241484889386</v>
      </c>
      <c r="F20" s="39">
        <f t="shared" si="1"/>
        <v>0.52517903430805146</v>
      </c>
      <c r="G20" s="12">
        <f t="shared" si="14"/>
        <v>64567.008985549932</v>
      </c>
      <c r="H20" s="12">
        <f t="shared" si="14"/>
        <v>111766.14528320139</v>
      </c>
      <c r="I20" s="17">
        <f t="shared" si="15"/>
        <v>0.75637253123654857</v>
      </c>
      <c r="J20" s="17">
        <f t="shared" si="15"/>
        <v>1.801168839732789</v>
      </c>
      <c r="K20" s="18">
        <f t="shared" si="16"/>
        <v>0.77528706382033985</v>
      </c>
      <c r="L20" s="18">
        <f t="shared" si="16"/>
        <v>0.96416186394150671</v>
      </c>
      <c r="M20" s="30">
        <f>'Top 1% Labor Share'!D37</f>
        <v>5.3199998999999998E-2</v>
      </c>
      <c r="N20" s="30">
        <f>'Top 10% Labor Share'!D37 - M20</f>
        <v>0.213400011</v>
      </c>
      <c r="O20" s="30">
        <f t="shared" si="5"/>
        <v>0.73339998999999989</v>
      </c>
      <c r="P20" s="47">
        <f t="shared" si="6"/>
        <v>0.77528706382033985</v>
      </c>
      <c r="Q20" s="47">
        <f t="shared" si="7"/>
        <v>0.18887480012116686</v>
      </c>
      <c r="R20" s="47">
        <f t="shared" si="8"/>
        <v>3.5838136058493286E-2</v>
      </c>
      <c r="S20" s="48">
        <f t="shared" si="13"/>
        <v>0.22471293617966015</v>
      </c>
      <c r="T20" s="49">
        <f t="shared" si="9"/>
        <v>0.28962884054853766</v>
      </c>
      <c r="U20" s="30">
        <f t="shared" si="10"/>
        <v>0.48445217444259692</v>
      </c>
      <c r="V20" s="30">
        <f t="shared" si="11"/>
        <v>0.12984903683868754</v>
      </c>
      <c r="W20" s="30">
        <f t="shared" si="12"/>
        <v>-5.4027825014821396E-2</v>
      </c>
    </row>
    <row r="21" spans="1:23" x14ac:dyDescent="0.5">
      <c r="A21" s="10">
        <v>1998</v>
      </c>
      <c r="B21" s="12">
        <f>'Minimum Deflation Total'!D21</f>
        <v>12050.145517534862</v>
      </c>
      <c r="C21" s="12">
        <f>'Average Labor Income'!D38 *251.1 / CPI!B87</f>
        <v>38484.541104294476</v>
      </c>
      <c r="D21" s="12">
        <f>'99.9% Threshold Labor'!D38 * 251.1 / CPI!B87</f>
        <v>290292.70472392644</v>
      </c>
      <c r="E21" s="39">
        <f t="shared" si="0"/>
        <v>10.417401715492208</v>
      </c>
      <c r="F21" s="39">
        <f t="shared" si="1"/>
        <v>0.53030216742989855</v>
      </c>
      <c r="G21" s="12">
        <f t="shared" si="14"/>
        <v>65973.688891995684</v>
      </c>
      <c r="H21" s="12">
        <f t="shared" si="14"/>
        <v>114814.03773251729</v>
      </c>
      <c r="I21" s="17">
        <f t="shared" si="15"/>
        <v>0.75124939811470215</v>
      </c>
      <c r="J21" s="17">
        <f t="shared" si="15"/>
        <v>1.7960457066109408</v>
      </c>
      <c r="K21" s="18">
        <f t="shared" si="16"/>
        <v>0.77374871184253047</v>
      </c>
      <c r="L21" s="18">
        <f t="shared" si="16"/>
        <v>0.96375637592604024</v>
      </c>
      <c r="M21" s="30">
        <f>'Top 1% Labor Share'!D38</f>
        <v>5.4000000999999999E-2</v>
      </c>
      <c r="N21" s="30">
        <f>'Top 10% Labor Share'!D38 - M21</f>
        <v>0.212699999</v>
      </c>
      <c r="O21" s="30">
        <f t="shared" si="5"/>
        <v>0.73329999999999995</v>
      </c>
      <c r="P21" s="47">
        <f t="shared" si="6"/>
        <v>0.77374871184253047</v>
      </c>
      <c r="Q21" s="47">
        <f t="shared" si="7"/>
        <v>0.19000766408350978</v>
      </c>
      <c r="R21" s="47">
        <f t="shared" si="8"/>
        <v>3.6243624073959757E-2</v>
      </c>
      <c r="S21" s="48">
        <f t="shared" si="13"/>
        <v>0.22625128815746953</v>
      </c>
      <c r="T21" s="49">
        <f t="shared" si="9"/>
        <v>0.29232485146108189</v>
      </c>
      <c r="U21" s="30">
        <f t="shared" si="10"/>
        <v>0.48991725799291164</v>
      </c>
      <c r="V21" s="30">
        <f t="shared" si="11"/>
        <v>0.11942852424372097</v>
      </c>
      <c r="W21" s="30">
        <f t="shared" si="12"/>
        <v>-5.2276289735216253E-2</v>
      </c>
    </row>
    <row r="22" spans="1:23" x14ac:dyDescent="0.5">
      <c r="A22">
        <v>1999</v>
      </c>
      <c r="B22" s="12">
        <f>'Minimum Deflation Total'!D22</f>
        <v>12291.148427885559</v>
      </c>
      <c r="C22" s="12">
        <f>'Average Labor Income'!D39 *251.1 / CPI!B88</f>
        <v>39250.728151260504</v>
      </c>
      <c r="D22" s="12">
        <f>'99.9% Threshold Labor'!D39 * 251.1 / CPI!B88</f>
        <v>300151.78211884754</v>
      </c>
      <c r="E22" s="39">
        <f t="shared" si="0"/>
        <v>10.435910855352882</v>
      </c>
      <c r="F22" s="39">
        <f t="shared" si="1"/>
        <v>0.53256815396729529</v>
      </c>
      <c r="G22" s="12">
        <f t="shared" si="14"/>
        <v>67401.625028768351</v>
      </c>
      <c r="H22" s="12">
        <f t="shared" si="14"/>
        <v>117577.10946765939</v>
      </c>
      <c r="I22" s="17">
        <f t="shared" si="15"/>
        <v>0.74898341157730353</v>
      </c>
      <c r="J22" s="17">
        <f t="shared" si="15"/>
        <v>1.7937797200735439</v>
      </c>
      <c r="K22" s="18">
        <f t="shared" si="16"/>
        <v>0.77306639811489819</v>
      </c>
      <c r="L22" s="18">
        <f t="shared" si="16"/>
        <v>0.96357583244908973</v>
      </c>
      <c r="M22" s="30">
        <f>'Top 1% Labor Share'!D39</f>
        <v>5.5399998999999998E-2</v>
      </c>
      <c r="N22" s="30">
        <f>'Top 10% Labor Share'!D39 - M22</f>
        <v>0.213700011</v>
      </c>
      <c r="O22" s="30">
        <f t="shared" si="5"/>
        <v>0.73089998999999994</v>
      </c>
      <c r="P22" s="47">
        <f t="shared" si="6"/>
        <v>0.77306639811489819</v>
      </c>
      <c r="Q22" s="47">
        <f t="shared" si="7"/>
        <v>0.19050943433419154</v>
      </c>
      <c r="R22" s="47">
        <f t="shared" si="8"/>
        <v>3.6424167550910269E-2</v>
      </c>
      <c r="S22" s="48">
        <f t="shared" si="13"/>
        <v>0.22693360188510181</v>
      </c>
      <c r="T22" s="49">
        <f t="shared" si="9"/>
        <v>0.29351614455910946</v>
      </c>
      <c r="U22" s="30">
        <f t="shared" si="10"/>
        <v>0.52096815726995271</v>
      </c>
      <c r="V22" s="30">
        <f t="shared" si="11"/>
        <v>0.121729282052917</v>
      </c>
      <c r="W22" s="30">
        <f t="shared" si="12"/>
        <v>-5.4544355074441109E-2</v>
      </c>
    </row>
    <row r="23" spans="1:23" x14ac:dyDescent="0.5">
      <c r="A23" s="10">
        <v>2000</v>
      </c>
      <c r="B23" s="12">
        <f>'Minimum Deflation Total'!D23</f>
        <v>12536.97139644327</v>
      </c>
      <c r="C23" s="12">
        <f>'Average Labor Income'!D40 *251.1 / CPI!B89</f>
        <v>38847.151677700349</v>
      </c>
      <c r="D23" s="12">
        <f>'99.9% Threshold Labor'!D40 * 251.1 / CPI!B89</f>
        <v>308394.83728222997</v>
      </c>
      <c r="E23" s="39">
        <f t="shared" si="0"/>
        <v>10.424927810662076</v>
      </c>
      <c r="F23" s="39">
        <f t="shared" si="1"/>
        <v>0.53378315176983016</v>
      </c>
      <c r="G23" s="12">
        <f t="shared" si="14"/>
        <v>66769.284738360016</v>
      </c>
      <c r="H23" s="12">
        <f t="shared" si="14"/>
        <v>116621.98794531141</v>
      </c>
      <c r="I23" s="17">
        <f t="shared" si="15"/>
        <v>0.74776841377477166</v>
      </c>
      <c r="J23" s="17">
        <f t="shared" si="15"/>
        <v>1.7925647222710102</v>
      </c>
      <c r="K23" s="18">
        <f t="shared" si="16"/>
        <v>0.7727000713506611</v>
      </c>
      <c r="L23" s="18">
        <f t="shared" si="16"/>
        <v>0.96347872424694547</v>
      </c>
      <c r="M23" s="30">
        <f>'Top 1% Labor Share'!D40</f>
        <v>5.6400000999999998E-2</v>
      </c>
      <c r="N23" s="30">
        <f>'Top 10% Labor Share'!D40 - M23</f>
        <v>0.213199999</v>
      </c>
      <c r="O23" s="30">
        <f t="shared" si="5"/>
        <v>0.73040000000000005</v>
      </c>
      <c r="P23" s="47">
        <f t="shared" si="6"/>
        <v>0.7727000713506611</v>
      </c>
      <c r="Q23" s="47">
        <f t="shared" si="7"/>
        <v>0.19077865289628437</v>
      </c>
      <c r="R23" s="47">
        <f t="shared" si="8"/>
        <v>3.6521275753054527E-2</v>
      </c>
      <c r="S23" s="48">
        <f t="shared" si="13"/>
        <v>0.2272999286493389</v>
      </c>
      <c r="T23" s="49">
        <f t="shared" si="9"/>
        <v>0.29415460742067268</v>
      </c>
      <c r="U23" s="30">
        <f t="shared" si="10"/>
        <v>0.54430533537106451</v>
      </c>
      <c r="V23" s="30">
        <f t="shared" si="11"/>
        <v>0.11752544513407814</v>
      </c>
      <c r="W23" s="30">
        <f t="shared" si="12"/>
        <v>-5.4743195864757177E-2</v>
      </c>
    </row>
    <row r="24" spans="1:23" x14ac:dyDescent="0.5">
      <c r="A24">
        <v>2001</v>
      </c>
      <c r="B24" s="12">
        <f>'Minimum Deflation Total'!D24</f>
        <v>12787.710824372136</v>
      </c>
      <c r="C24" s="12">
        <f>'Average Labor Income'!D41 *251.1 / CPI!B90</f>
        <v>38114.456239412764</v>
      </c>
      <c r="D24" s="12">
        <f>'99.9% Threshold Labor'!D41 * 251.1 / CPI!B90</f>
        <v>306834.27509881428</v>
      </c>
      <c r="E24" s="39">
        <f t="shared" si="0"/>
        <v>10.408091139423798</v>
      </c>
      <c r="F24" s="39">
        <f t="shared" si="1"/>
        <v>0.52963719390172448</v>
      </c>
      <c r="G24" s="12">
        <f t="shared" si="14"/>
        <v>65306.608640495426</v>
      </c>
      <c r="H24" s="12">
        <f t="shared" si="14"/>
        <v>113574.18326721522</v>
      </c>
      <c r="I24" s="17">
        <f t="shared" si="15"/>
        <v>0.75191437164287844</v>
      </c>
      <c r="J24" s="17">
        <f t="shared" si="15"/>
        <v>1.7967106801391173</v>
      </c>
      <c r="K24" s="18">
        <f t="shared" si="16"/>
        <v>0.77394872257481861</v>
      </c>
      <c r="L24" s="18">
        <f t="shared" si="16"/>
        <v>0.96380921872420189</v>
      </c>
      <c r="M24" s="30">
        <f>'Top 1% Labor Share'!D41</f>
        <v>5.7500001000000002E-2</v>
      </c>
      <c r="N24" s="30">
        <f>'Top 10% Labor Share'!D41 - M24</f>
        <v>0.211699999</v>
      </c>
      <c r="O24" s="30">
        <f t="shared" si="5"/>
        <v>0.73080000000000001</v>
      </c>
      <c r="P24" s="47">
        <f t="shared" si="6"/>
        <v>0.77394872257481861</v>
      </c>
      <c r="Q24" s="47">
        <f t="shared" si="7"/>
        <v>0.18986049614938327</v>
      </c>
      <c r="R24" s="47">
        <f t="shared" si="8"/>
        <v>3.6190781275798112E-2</v>
      </c>
      <c r="S24" s="48">
        <f t="shared" si="13"/>
        <v>0.22605127742518139</v>
      </c>
      <c r="T24" s="49">
        <f t="shared" si="9"/>
        <v>0.29197512010134696</v>
      </c>
      <c r="U24" s="30">
        <f t="shared" si="10"/>
        <v>0.58880242351805823</v>
      </c>
      <c r="V24" s="30">
        <f t="shared" si="11"/>
        <v>0.11502920983327303</v>
      </c>
      <c r="W24" s="30">
        <f t="shared" si="12"/>
        <v>-5.5751397109706224E-2</v>
      </c>
    </row>
    <row r="25" spans="1:23" x14ac:dyDescent="0.5">
      <c r="A25" s="10">
        <v>2002</v>
      </c>
      <c r="B25" s="12">
        <f>'Minimum Deflation Total'!D25</f>
        <v>13043.465040859579</v>
      </c>
      <c r="C25" s="12">
        <f>'Average Labor Income'!D42 *251.1 / CPI!B91</f>
        <v>37738.278210116732</v>
      </c>
      <c r="D25" s="12">
        <f>'99.9% Threshold Labor'!D42 * 251.1 / CPI!B91</f>
        <v>307672.4531406337</v>
      </c>
      <c r="E25" s="39">
        <f t="shared" si="0"/>
        <v>10.399675596422719</v>
      </c>
      <c r="F25" s="39">
        <f t="shared" si="1"/>
        <v>0.52679141801218954</v>
      </c>
      <c r="G25" s="12">
        <f t="shared" si="14"/>
        <v>64523.576484825426</v>
      </c>
      <c r="H25" s="12">
        <f t="shared" si="14"/>
        <v>111879.27775678907</v>
      </c>
      <c r="I25" s="17">
        <f t="shared" si="15"/>
        <v>0.75476014753241172</v>
      </c>
      <c r="J25" s="17">
        <f t="shared" si="15"/>
        <v>1.7995564560286521</v>
      </c>
      <c r="K25" s="18">
        <f t="shared" si="16"/>
        <v>0.7748035450681946</v>
      </c>
      <c r="L25" s="18">
        <f t="shared" si="16"/>
        <v>0.96403464903898362</v>
      </c>
      <c r="M25" s="30">
        <f>'Top 1% Labor Share'!D42</f>
        <v>5.7700001000000001E-2</v>
      </c>
      <c r="N25" s="30">
        <f>'Top 10% Labor Share'!D42 - M25</f>
        <v>0.21019998899999998</v>
      </c>
      <c r="O25" s="30">
        <f t="shared" si="5"/>
        <v>0.73210001000000013</v>
      </c>
      <c r="P25" s="47">
        <f t="shared" si="6"/>
        <v>0.7748035450681946</v>
      </c>
      <c r="Q25" s="47">
        <f t="shared" si="7"/>
        <v>0.18923110397078902</v>
      </c>
      <c r="R25" s="47">
        <f t="shared" si="8"/>
        <v>3.5965350961016385E-2</v>
      </c>
      <c r="S25" s="48">
        <f t="shared" si="13"/>
        <v>0.2251964549318054</v>
      </c>
      <c r="T25" s="49">
        <f t="shared" si="9"/>
        <v>0.29047773836409241</v>
      </c>
      <c r="U25" s="30">
        <f t="shared" si="10"/>
        <v>0.604321922578825</v>
      </c>
      <c r="V25" s="30">
        <f t="shared" si="11"/>
        <v>0.1108109850294372</v>
      </c>
      <c r="W25" s="30">
        <f t="shared" si="12"/>
        <v>-5.5115306763904748E-2</v>
      </c>
    </row>
    <row r="26" spans="1:23" x14ac:dyDescent="0.5">
      <c r="A26">
        <v>2003</v>
      </c>
      <c r="B26" s="12">
        <f>'Minimum Deflation Total'!D26</f>
        <v>13304.334341676771</v>
      </c>
      <c r="C26" s="12">
        <f>'Average Labor Income'!D43 *251.1 / CPI!B92</f>
        <v>36813.579945652171</v>
      </c>
      <c r="D26" s="12">
        <f>'99.9% Threshold Labor'!D43 * 251.1 / CPI!B92</f>
        <v>300592.50598369562</v>
      </c>
      <c r="E26" s="39">
        <f t="shared" si="0"/>
        <v>10.378624308891583</v>
      </c>
      <c r="F26" s="39">
        <f t="shared" si="1"/>
        <v>0.51961094572092215</v>
      </c>
      <c r="G26" s="12">
        <f t="shared" si="14"/>
        <v>62600.749499647791</v>
      </c>
      <c r="H26" s="12">
        <f t="shared" si="14"/>
        <v>107733.95935597365</v>
      </c>
      <c r="I26" s="17">
        <f t="shared" si="15"/>
        <v>0.76194061982367522</v>
      </c>
      <c r="J26" s="17">
        <f t="shared" si="15"/>
        <v>1.8067369283199168</v>
      </c>
      <c r="K26" s="18">
        <f t="shared" si="16"/>
        <v>0.77695227741342676</v>
      </c>
      <c r="L26" s="18">
        <f t="shared" si="16"/>
        <v>0.96459834653057641</v>
      </c>
      <c r="M26" s="30">
        <f>'Top 1% Labor Share'!D43</f>
        <v>5.7799998999999998E-2</v>
      </c>
      <c r="N26" s="30">
        <f>'Top 10% Labor Share'!D43 - M26</f>
        <v>0.21150001099999999</v>
      </c>
      <c r="O26" s="30">
        <f t="shared" si="5"/>
        <v>0.73069998999999997</v>
      </c>
      <c r="P26" s="47">
        <f t="shared" si="6"/>
        <v>0.77695227741342676</v>
      </c>
      <c r="Q26" s="47">
        <f t="shared" si="7"/>
        <v>0.18764606911714965</v>
      </c>
      <c r="R26" s="47">
        <f t="shared" si="8"/>
        <v>3.5401653469423588E-2</v>
      </c>
      <c r="S26" s="48">
        <f t="shared" si="13"/>
        <v>0.22304772258657324</v>
      </c>
      <c r="T26" s="49">
        <f t="shared" si="9"/>
        <v>0.28669456027615214</v>
      </c>
      <c r="U26" s="30">
        <f t="shared" si="10"/>
        <v>0.63269207326493548</v>
      </c>
      <c r="V26" s="30">
        <f t="shared" si="11"/>
        <v>0.12712199085800213</v>
      </c>
      <c r="W26" s="30">
        <f t="shared" si="12"/>
        <v>-5.9530409727874822E-2</v>
      </c>
    </row>
    <row r="27" spans="1:23" x14ac:dyDescent="0.5">
      <c r="A27" s="10">
        <v>2004</v>
      </c>
      <c r="B27" s="12">
        <f>'Minimum Deflation Total'!D27</f>
        <v>13570.421028510307</v>
      </c>
      <c r="C27" s="12">
        <f>'Average Labor Income'!D44 *251.1 / CPI!B93</f>
        <v>36449.245314981476</v>
      </c>
      <c r="D27" s="12">
        <f>'99.9% Threshold Labor'!D44 * 251.1 / CPI!B93</f>
        <v>302788.06432503968</v>
      </c>
      <c r="E27" s="39">
        <f t="shared" si="0"/>
        <v>10.369760780247381</v>
      </c>
      <c r="F27" s="39">
        <f t="shared" si="1"/>
        <v>0.51752343388613153</v>
      </c>
      <c r="G27" s="12">
        <f t="shared" si="14"/>
        <v>61882.564512760335</v>
      </c>
      <c r="H27" s="12">
        <f t="shared" si="14"/>
        <v>106265.9635242029</v>
      </c>
      <c r="I27" s="17">
        <f t="shared" si="15"/>
        <v>0.76402813165847105</v>
      </c>
      <c r="J27" s="17">
        <f t="shared" si="15"/>
        <v>1.8088244401547098</v>
      </c>
      <c r="K27" s="18">
        <f t="shared" si="16"/>
        <v>0.77757476079902754</v>
      </c>
      <c r="L27" s="18">
        <f t="shared" si="16"/>
        <v>0.96476085896258823</v>
      </c>
      <c r="M27" s="30">
        <f>'Top 1% Labor Share'!D44</f>
        <v>5.8600000999999999E-2</v>
      </c>
      <c r="N27" s="30">
        <f>'Top 10% Labor Share'!D44 - M27</f>
        <v>0.21079999899999996</v>
      </c>
      <c r="O27" s="30">
        <f t="shared" si="5"/>
        <v>0.73060000000000003</v>
      </c>
      <c r="P27" s="47">
        <f t="shared" si="6"/>
        <v>0.77757476079902754</v>
      </c>
      <c r="Q27" s="47">
        <f t="shared" si="7"/>
        <v>0.18718609816356069</v>
      </c>
      <c r="R27" s="47">
        <f t="shared" si="8"/>
        <v>3.523914103741177E-2</v>
      </c>
      <c r="S27" s="48">
        <f t="shared" si="13"/>
        <v>0.22242523920097246</v>
      </c>
      <c r="T27" s="49">
        <f t="shared" si="9"/>
        <v>0.28559338301711512</v>
      </c>
      <c r="U27" s="30">
        <f t="shared" si="10"/>
        <v>0.66292364895577571</v>
      </c>
      <c r="V27" s="30">
        <f t="shared" si="11"/>
        <v>0.12615200096647006</v>
      </c>
      <c r="W27" s="30">
        <f t="shared" si="12"/>
        <v>-6.0411889849352529E-2</v>
      </c>
    </row>
    <row r="28" spans="1:23" x14ac:dyDescent="0.5">
      <c r="A28">
        <v>2005</v>
      </c>
      <c r="B28" s="12">
        <f>'Minimum Deflation Total'!D28</f>
        <v>13841.829449080513</v>
      </c>
      <c r="C28" s="12">
        <f>'Average Labor Income'!D45 *251.1 / CPI!B94</f>
        <v>35706.857142857145</v>
      </c>
      <c r="D28" s="12">
        <f>'99.9% Threshold Labor'!D45 * 251.1 / CPI!B94</f>
        <v>302643.75857142854</v>
      </c>
      <c r="E28" s="39">
        <f t="shared" si="0"/>
        <v>10.350926233511681</v>
      </c>
      <c r="F28" s="39">
        <f t="shared" si="1"/>
        <v>0.51414354540807106</v>
      </c>
      <c r="G28" s="12">
        <f t="shared" si="14"/>
        <v>60465.467687982382</v>
      </c>
      <c r="H28" s="12">
        <f t="shared" si="14"/>
        <v>103466.48029237709</v>
      </c>
      <c r="I28" s="17">
        <f t="shared" si="15"/>
        <v>0.76740802013653009</v>
      </c>
      <c r="J28" s="17">
        <f t="shared" si="15"/>
        <v>1.8122043286327703</v>
      </c>
      <c r="K28" s="18">
        <f t="shared" si="16"/>
        <v>0.77858051921362925</v>
      </c>
      <c r="L28" s="18">
        <f t="shared" si="16"/>
        <v>0.96502268475713382</v>
      </c>
      <c r="M28" s="30">
        <f>'Top 1% Labor Share'!D45</f>
        <v>5.9099998000000001E-2</v>
      </c>
      <c r="N28" s="30">
        <f>'Top 10% Labor Share'!D45 - M28</f>
        <v>0.21000001200000001</v>
      </c>
      <c r="O28" s="30">
        <f t="shared" si="5"/>
        <v>0.73089998999999994</v>
      </c>
      <c r="P28" s="47">
        <f t="shared" si="6"/>
        <v>0.77858051921362925</v>
      </c>
      <c r="Q28" s="47">
        <f t="shared" si="7"/>
        <v>0.18644216554350457</v>
      </c>
      <c r="R28" s="47">
        <f t="shared" si="8"/>
        <v>3.497731524286618E-2</v>
      </c>
      <c r="S28" s="48">
        <f t="shared" si="13"/>
        <v>0.22141948078637075</v>
      </c>
      <c r="T28" s="49">
        <f t="shared" si="9"/>
        <v>0.28380920731368264</v>
      </c>
      <c r="U28" s="30">
        <f t="shared" si="10"/>
        <v>0.68966650498007498</v>
      </c>
      <c r="V28" s="30">
        <f t="shared" si="11"/>
        <v>0.12635471374096663</v>
      </c>
      <c r="W28" s="30">
        <f t="shared" si="12"/>
        <v>-6.1240331650972868E-2</v>
      </c>
    </row>
    <row r="29" spans="1:23" x14ac:dyDescent="0.5">
      <c r="A29" s="10">
        <v>2006</v>
      </c>
      <c r="B29" s="12">
        <f>'Minimum Deflation Total'!D29</f>
        <v>14118.666038062123</v>
      </c>
      <c r="C29" s="12">
        <f>'Average Labor Income'!D46 *251.1 / CPI!B95</f>
        <v>35073.288040178573</v>
      </c>
      <c r="D29" s="12">
        <f>'99.9% Threshold Labor'!D46 * 251.1 / CPI!B95</f>
        <v>303692.99464285717</v>
      </c>
      <c r="E29" s="39">
        <f t="shared" si="0"/>
        <v>10.334419925327682</v>
      </c>
      <c r="F29" s="39">
        <f t="shared" si="1"/>
        <v>0.51141992511789047</v>
      </c>
      <c r="G29" s="12">
        <f t="shared" si="14"/>
        <v>59268.362761844524</v>
      </c>
      <c r="H29" s="12">
        <f t="shared" si="14"/>
        <v>101129.84668416379</v>
      </c>
      <c r="I29" s="17">
        <f t="shared" si="15"/>
        <v>0.7701316404267109</v>
      </c>
      <c r="J29" s="17">
        <f t="shared" si="15"/>
        <v>1.8149279489229528</v>
      </c>
      <c r="K29" s="18">
        <f t="shared" si="16"/>
        <v>0.77938909553860825</v>
      </c>
      <c r="L29" s="18">
        <f t="shared" si="16"/>
        <v>0.96523250860683885</v>
      </c>
      <c r="M29" s="30">
        <f>'Top 1% Labor Share'!D46</f>
        <v>6.0299999999999999E-2</v>
      </c>
      <c r="N29" s="30">
        <f>'Top 10% Labor Share'!D46 - M29</f>
        <v>0.21029999000000002</v>
      </c>
      <c r="O29" s="30">
        <f t="shared" si="5"/>
        <v>0.72940000999999999</v>
      </c>
      <c r="P29" s="47">
        <f t="shared" si="6"/>
        <v>0.77938909553860825</v>
      </c>
      <c r="Q29" s="47">
        <f t="shared" si="7"/>
        <v>0.1858434130682306</v>
      </c>
      <c r="R29" s="47">
        <f t="shared" si="8"/>
        <v>3.4767491393161154E-2</v>
      </c>
      <c r="S29" s="48">
        <f t="shared" si="13"/>
        <v>0.22061090446139175</v>
      </c>
      <c r="T29" s="49">
        <f t="shared" si="9"/>
        <v>0.28237033364902153</v>
      </c>
      <c r="U29" s="30">
        <f t="shared" si="10"/>
        <v>0.73437879995739785</v>
      </c>
      <c r="V29" s="30">
        <f t="shared" si="11"/>
        <v>0.13159776032950066</v>
      </c>
      <c r="W29" s="30">
        <f t="shared" si="12"/>
        <v>-6.4138805411516064E-2</v>
      </c>
    </row>
    <row r="30" spans="1:23" x14ac:dyDescent="0.5">
      <c r="A30">
        <v>2007</v>
      </c>
      <c r="B30" s="12">
        <f>'Minimum Deflation Total'!D30</f>
        <v>14401.039358823366</v>
      </c>
      <c r="C30" s="12">
        <f>'Average Labor Income'!D47 *251.1 / CPI!B96</f>
        <v>34348.493487698986</v>
      </c>
      <c r="D30" s="12">
        <f>'99.9% Threshold Labor'!D47 * 251.1 / CPI!B96</f>
        <v>300292.46439942112</v>
      </c>
      <c r="E30" s="39">
        <f t="shared" si="0"/>
        <v>10.316172578064453</v>
      </c>
      <c r="F30" s="39">
        <f t="shared" si="1"/>
        <v>0.50624274990434637</v>
      </c>
      <c r="G30" s="12">
        <f t="shared" si="14"/>
        <v>57811.833569969356</v>
      </c>
      <c r="H30" s="12">
        <f t="shared" si="14"/>
        <v>98112.427849855143</v>
      </c>
      <c r="I30" s="17">
        <f t="shared" si="15"/>
        <v>0.77530881564025522</v>
      </c>
      <c r="J30" s="17">
        <f t="shared" si="15"/>
        <v>1.8201051241364974</v>
      </c>
      <c r="K30" s="18">
        <f t="shared" si="16"/>
        <v>0.78092139929088178</v>
      </c>
      <c r="L30" s="18">
        <f t="shared" si="16"/>
        <v>0.96562850128430766</v>
      </c>
      <c r="M30" s="30">
        <f>'Top 1% Labor Share'!D47</f>
        <v>6.1400000000000003E-2</v>
      </c>
      <c r="N30" s="30">
        <f>'Top 10% Labor Share'!D47 - M30</f>
        <v>0.20970000999999999</v>
      </c>
      <c r="O30" s="30">
        <f t="shared" si="5"/>
        <v>0.72889999000000005</v>
      </c>
      <c r="P30" s="47">
        <f t="shared" si="6"/>
        <v>0.78092139929088178</v>
      </c>
      <c r="Q30" s="47">
        <f t="shared" si="7"/>
        <v>0.18470710199342588</v>
      </c>
      <c r="R30" s="47">
        <f t="shared" si="8"/>
        <v>3.4371498715692339E-2</v>
      </c>
      <c r="S30" s="48">
        <f t="shared" si="13"/>
        <v>0.21907860070911822</v>
      </c>
      <c r="T30" s="49">
        <f t="shared" si="9"/>
        <v>0.27963250040581422</v>
      </c>
      <c r="U30" s="30">
        <f t="shared" si="10"/>
        <v>0.78636376923441453</v>
      </c>
      <c r="V30" s="30">
        <f t="shared" si="11"/>
        <v>0.13531102884968482</v>
      </c>
      <c r="W30" s="30">
        <f t="shared" si="12"/>
        <v>-6.6615422932602364E-2</v>
      </c>
    </row>
    <row r="31" spans="1:23" x14ac:dyDescent="0.5">
      <c r="A31" s="10">
        <v>2008</v>
      </c>
      <c r="B31" s="12">
        <f>'Minimum Deflation Total'!D31</f>
        <v>14689.060145999832</v>
      </c>
      <c r="C31" s="12">
        <f>'Average Labor Income'!D48 *251.1 / CPI!B97</f>
        <v>32823.073571760331</v>
      </c>
      <c r="D31" s="12">
        <f>'99.9% Threshold Labor'!D48 * 251.1 / CPI!B97</f>
        <v>286810.08211797487</v>
      </c>
      <c r="E31" s="39">
        <f t="shared" si="0"/>
        <v>10.276232795284621</v>
      </c>
      <c r="F31" s="39">
        <f t="shared" si="1"/>
        <v>0.49528620882773861</v>
      </c>
      <c r="G31" s="12">
        <f t="shared" si="14"/>
        <v>54773.819454639859</v>
      </c>
      <c r="H31" s="12">
        <f t="shared" si="14"/>
        <v>91898.576102230203</v>
      </c>
      <c r="I31" s="17">
        <f t="shared" si="15"/>
        <v>0.78626535671686026</v>
      </c>
      <c r="J31" s="17">
        <f t="shared" si="15"/>
        <v>1.8310616652131031</v>
      </c>
      <c r="K31" s="18">
        <f t="shared" si="16"/>
        <v>0.7841439781074121</v>
      </c>
      <c r="L31" s="18">
        <f t="shared" si="16"/>
        <v>0.96645433024685257</v>
      </c>
      <c r="M31" s="30">
        <f>'Top 1% Labor Share'!D48</f>
        <v>6.1099999000000002E-2</v>
      </c>
      <c r="N31" s="30">
        <f>'Top 10% Labor Share'!D48 - M31</f>
        <v>0.20969999099999997</v>
      </c>
      <c r="O31" s="30">
        <f t="shared" si="5"/>
        <v>0.72920001000000012</v>
      </c>
      <c r="P31" s="47">
        <f t="shared" si="6"/>
        <v>0.7841439781074121</v>
      </c>
      <c r="Q31" s="47">
        <f t="shared" si="7"/>
        <v>0.18231035213944047</v>
      </c>
      <c r="R31" s="47">
        <f t="shared" si="8"/>
        <v>3.3545669753147433E-2</v>
      </c>
      <c r="S31" s="48">
        <f t="shared" si="13"/>
        <v>0.2158560218925879</v>
      </c>
      <c r="T31" s="49">
        <f t="shared" si="9"/>
        <v>0.27382657951401557</v>
      </c>
      <c r="U31" s="30">
        <f t="shared" si="10"/>
        <v>0.82139749927834638</v>
      </c>
      <c r="V31" s="30">
        <f t="shared" si="11"/>
        <v>0.15023633347825727</v>
      </c>
      <c r="W31" s="30">
        <f t="shared" si="12"/>
        <v>-7.0068724164691232E-2</v>
      </c>
    </row>
    <row r="32" spans="1:23" x14ac:dyDescent="0.5">
      <c r="A32">
        <v>2009</v>
      </c>
      <c r="B32" s="12">
        <f>'Minimum Deflation Total'!D32</f>
        <v>14982.84134891983</v>
      </c>
      <c r="C32" s="12">
        <f>'Average Labor Income'!D49 *251.1 / CPI!B98</f>
        <v>32293.334177622375</v>
      </c>
      <c r="D32" s="12">
        <f>'99.9% Threshold Labor'!D49 * 251.1 / CPI!B98</f>
        <v>265398.7578041958</v>
      </c>
      <c r="E32" s="39">
        <f t="shared" si="0"/>
        <v>10.267869444432586</v>
      </c>
      <c r="F32" s="39">
        <f t="shared" si="1"/>
        <v>0.47905463419249578</v>
      </c>
      <c r="G32" s="12">
        <f t="shared" si="14"/>
        <v>53199.414033616675</v>
      </c>
      <c r="H32" s="12">
        <f t="shared" si="14"/>
        <v>87756.145602836477</v>
      </c>
      <c r="I32" s="17">
        <f t="shared" si="15"/>
        <v>0.80249693135210665</v>
      </c>
      <c r="J32" s="17">
        <f t="shared" si="15"/>
        <v>1.8472932398483455</v>
      </c>
      <c r="K32" s="18">
        <f t="shared" si="16"/>
        <v>0.78886721861538234</v>
      </c>
      <c r="L32" s="18">
        <f t="shared" si="16"/>
        <v>0.96764767390913897</v>
      </c>
      <c r="M32" s="30">
        <f>'Top 1% Labor Share'!D49</f>
        <v>5.7700001000000001E-2</v>
      </c>
      <c r="N32" s="30">
        <f>'Top 10% Labor Share'!D49 - M32</f>
        <v>0.20919999900000003</v>
      </c>
      <c r="O32" s="30">
        <f t="shared" si="5"/>
        <v>0.73310000000000008</v>
      </c>
      <c r="P32" s="47">
        <f t="shared" si="6"/>
        <v>0.78886721861538234</v>
      </c>
      <c r="Q32" s="47">
        <f t="shared" si="7"/>
        <v>0.17878045529375663</v>
      </c>
      <c r="R32" s="47">
        <f t="shared" si="8"/>
        <v>3.2352326090861028E-2</v>
      </c>
      <c r="S32" s="48">
        <f t="shared" si="13"/>
        <v>0.21113278138461766</v>
      </c>
      <c r="T32" s="49">
        <f t="shared" si="9"/>
        <v>0.26519649013727697</v>
      </c>
      <c r="U32" s="30">
        <f t="shared" si="10"/>
        <v>0.78348848357766943</v>
      </c>
      <c r="V32" s="30">
        <f t="shared" si="11"/>
        <v>0.17015027541047822</v>
      </c>
      <c r="W32" s="30">
        <f t="shared" si="12"/>
        <v>-7.0692782383915964E-2</v>
      </c>
    </row>
    <row r="33" spans="1:29" x14ac:dyDescent="0.5">
      <c r="A33" s="10">
        <v>2010</v>
      </c>
      <c r="B33" s="12">
        <f>'Minimum Deflation Total'!D33</f>
        <v>15282.498175898227</v>
      </c>
      <c r="C33" s="12">
        <f>'Average Labor Income'!D50 *251.1 / CPI!B99</f>
        <v>32269.861485557085</v>
      </c>
      <c r="D33" s="12">
        <f>'99.9% Threshold Labor'!D50 * 251.1 / CPI!B99</f>
        <v>273455.49862448417</v>
      </c>
      <c r="E33" s="39">
        <f t="shared" si="0"/>
        <v>10.266334269281934</v>
      </c>
      <c r="F33" s="39">
        <f t="shared" si="1"/>
        <v>0.48073843906079211</v>
      </c>
      <c r="G33" s="12">
        <f t="shared" si="14"/>
        <v>53232.552030386862</v>
      </c>
      <c r="H33" s="12">
        <f t="shared" si="14"/>
        <v>87965.424686155529</v>
      </c>
      <c r="I33" s="17">
        <f t="shared" si="15"/>
        <v>0.80081312648380987</v>
      </c>
      <c r="J33" s="17">
        <f t="shared" si="15"/>
        <v>1.8456094349800487</v>
      </c>
      <c r="K33" s="18">
        <f t="shared" si="16"/>
        <v>0.7883800806662673</v>
      </c>
      <c r="L33" s="18">
        <f t="shared" si="16"/>
        <v>0.96752553221540394</v>
      </c>
      <c r="M33" s="30">
        <f>'Top 1% Labor Share'!D50</f>
        <v>5.9400000000000001E-2</v>
      </c>
      <c r="N33" s="30">
        <f>'Top 10% Labor Share'!D50 - M33</f>
        <v>0.20939998999999998</v>
      </c>
      <c r="O33" s="30">
        <f t="shared" si="5"/>
        <v>0.73120001000000001</v>
      </c>
      <c r="P33" s="47">
        <f t="shared" si="6"/>
        <v>0.7883800806662673</v>
      </c>
      <c r="Q33" s="47">
        <f t="shared" si="7"/>
        <v>0.17914545154913664</v>
      </c>
      <c r="R33" s="47">
        <f t="shared" si="8"/>
        <v>3.2474467784596062E-2</v>
      </c>
      <c r="S33" s="48">
        <f t="shared" si="13"/>
        <v>0.2116199193337327</v>
      </c>
      <c r="T33" s="49">
        <f t="shared" si="9"/>
        <v>0.26609332446361833</v>
      </c>
      <c r="U33" s="30">
        <f t="shared" si="10"/>
        <v>0.82912928378077355</v>
      </c>
      <c r="V33" s="30">
        <f t="shared" si="11"/>
        <v>0.16888253756509708</v>
      </c>
      <c r="W33" s="30">
        <f t="shared" si="12"/>
        <v>-7.2528558329307158E-2</v>
      </c>
    </row>
    <row r="34" spans="1:29" x14ac:dyDescent="0.5">
      <c r="A34">
        <v>2011</v>
      </c>
      <c r="B34" s="12">
        <f>'Minimum Deflation Total'!D34</f>
        <v>15588.148139416191</v>
      </c>
      <c r="C34" s="12">
        <f>'Average Labor Income'!D51 *251.1 / CPI!B100</f>
        <v>31325.756642507778</v>
      </c>
      <c r="D34" s="12">
        <f>'99.9% Threshold Labor'!D51 * 251.1 / CPI!B100</f>
        <v>267510.26144953311</v>
      </c>
      <c r="E34" s="39">
        <f t="shared" si="0"/>
        <v>10.239964792849188</v>
      </c>
      <c r="F34" s="39">
        <f t="shared" si="1"/>
        <v>0.47377450588354336</v>
      </c>
      <c r="G34" s="12">
        <f t="shared" si="14"/>
        <v>51386.524745071336</v>
      </c>
      <c r="H34" s="12">
        <f t="shared" si="14"/>
        <v>84299.322517019536</v>
      </c>
      <c r="I34" s="17">
        <f t="shared" si="15"/>
        <v>0.80777705966105939</v>
      </c>
      <c r="J34" s="17">
        <f t="shared" si="15"/>
        <v>1.8525733681572965</v>
      </c>
      <c r="K34" s="18">
        <f t="shared" si="16"/>
        <v>0.79039053328728603</v>
      </c>
      <c r="L34" s="18">
        <f t="shared" si="16"/>
        <v>0.96802823371551172</v>
      </c>
      <c r="M34" s="30">
        <f>'Top 1% Labor Share'!D51</f>
        <v>5.9500000999999997E-2</v>
      </c>
      <c r="N34" s="30">
        <f>'Top 10% Labor Share'!D51 - M34</f>
        <v>0.20850000900000001</v>
      </c>
      <c r="O34" s="30">
        <f t="shared" si="5"/>
        <v>0.73199999000000004</v>
      </c>
      <c r="P34" s="47">
        <f t="shared" si="6"/>
        <v>0.79039053328728603</v>
      </c>
      <c r="Q34" s="47">
        <f t="shared" si="7"/>
        <v>0.17763770042822569</v>
      </c>
      <c r="R34" s="47">
        <f t="shared" si="8"/>
        <v>3.1971766284488279E-2</v>
      </c>
      <c r="S34" s="48">
        <f t="shared" si="13"/>
        <v>0.20960946671271397</v>
      </c>
      <c r="T34" s="49">
        <f t="shared" si="9"/>
        <v>0.26238182800624643</v>
      </c>
      <c r="U34" s="30">
        <f t="shared" si="10"/>
        <v>0.86101701327860547</v>
      </c>
      <c r="V34" s="30">
        <f t="shared" si="11"/>
        <v>0.17373737949419255</v>
      </c>
      <c r="W34" s="30">
        <f t="shared" si="12"/>
        <v>-7.3875560027820586E-2</v>
      </c>
    </row>
    <row r="35" spans="1:29" x14ac:dyDescent="0.5">
      <c r="A35" s="10">
        <v>2012</v>
      </c>
      <c r="B35" s="12">
        <f>'Minimum Deflation Total'!D35</f>
        <v>15899.911102204514</v>
      </c>
      <c r="C35" s="12">
        <f>'Average Labor Income'!D52 *251.1 / CPI!B101</f>
        <v>30461.076611498262</v>
      </c>
      <c r="D35" s="12">
        <f>'99.9% Threshold Labor'!D52 * 251.1 / CPI!B101</f>
        <v>257120.94273083622</v>
      </c>
      <c r="E35" s="39">
        <f t="shared" si="0"/>
        <v>10.216616273521296</v>
      </c>
      <c r="F35" s="39">
        <f t="shared" si="1"/>
        <v>0.46387217505493855</v>
      </c>
      <c r="G35" s="12">
        <f t="shared" si="14"/>
        <v>49567.585735135741</v>
      </c>
      <c r="H35" s="12">
        <f t="shared" si="14"/>
        <v>80478.417493335524</v>
      </c>
      <c r="I35" s="17">
        <f t="shared" si="15"/>
        <v>0.8176793904896642</v>
      </c>
      <c r="J35" s="17">
        <f t="shared" si="15"/>
        <v>1.8624756989859017</v>
      </c>
      <c r="K35" s="18">
        <f t="shared" si="16"/>
        <v>0.79322985918080646</v>
      </c>
      <c r="L35" s="18">
        <f t="shared" si="16"/>
        <v>0.9687319661557745</v>
      </c>
      <c r="M35" s="30">
        <f>'Top 1% Labor Share'!D52</f>
        <v>5.8499998999999997E-2</v>
      </c>
      <c r="N35" s="30">
        <f>'Top 10% Labor Share'!D52 - M35</f>
        <v>0.20790001100000002</v>
      </c>
      <c r="O35" s="30">
        <f t="shared" si="5"/>
        <v>0.73359998999999998</v>
      </c>
      <c r="P35" s="47">
        <f t="shared" si="6"/>
        <v>0.79322985918080646</v>
      </c>
      <c r="Q35" s="47">
        <f t="shared" si="7"/>
        <v>0.17550210697496804</v>
      </c>
      <c r="R35" s="47">
        <f t="shared" si="8"/>
        <v>3.1268033844225496E-2</v>
      </c>
      <c r="S35" s="48">
        <f t="shared" si="13"/>
        <v>0.20677014081919354</v>
      </c>
      <c r="T35" s="49">
        <f t="shared" si="9"/>
        <v>0.25709375147927038</v>
      </c>
      <c r="U35" s="30">
        <f t="shared" si="10"/>
        <v>0.87092029167685059</v>
      </c>
      <c r="V35" s="30">
        <f t="shared" si="11"/>
        <v>0.18460122549783931</v>
      </c>
      <c r="W35" s="30">
        <f t="shared" si="12"/>
        <v>-7.5173505498630777E-2</v>
      </c>
    </row>
    <row r="36" spans="1:29" x14ac:dyDescent="0.5">
      <c r="A36">
        <v>2013</v>
      </c>
      <c r="B36" s="12">
        <f>'Minimum Deflation Total'!D36</f>
        <v>16217.909324248605</v>
      </c>
      <c r="C36" s="12">
        <f>'Average Labor Income'!D53 *251.1 / CPI!B102</f>
        <v>29882.186043533929</v>
      </c>
      <c r="D36" s="12">
        <f>'99.9% Threshold Labor'!D53 * 251.1 / CPI!B102</f>
        <v>250166.64318822022</v>
      </c>
      <c r="E36" s="39">
        <f t="shared" si="0"/>
        <v>10.201048951973872</v>
      </c>
      <c r="F36" s="39">
        <f t="shared" si="1"/>
        <v>0.45600185385062808</v>
      </c>
      <c r="G36" s="12">
        <f t="shared" si="14"/>
        <v>48312.173231665758</v>
      </c>
      <c r="H36" s="12">
        <f t="shared" si="14"/>
        <v>77797.758230859472</v>
      </c>
      <c r="I36" s="17">
        <f t="shared" si="15"/>
        <v>0.82554971169397584</v>
      </c>
      <c r="J36" s="17">
        <f t="shared" si="15"/>
        <v>1.8703460201902129</v>
      </c>
      <c r="K36" s="18">
        <f t="shared" si="16"/>
        <v>0.79547021403014273</v>
      </c>
      <c r="L36" s="18">
        <f t="shared" si="16"/>
        <v>0.96928210862651121</v>
      </c>
      <c r="M36" s="30">
        <f>'Top 1% Labor Share'!D53</f>
        <v>5.7999997999999997E-2</v>
      </c>
      <c r="N36" s="30">
        <f>'Top 10% Labor Share'!D53 - M36</f>
        <v>0.20770001199999999</v>
      </c>
      <c r="O36" s="30">
        <f t="shared" si="5"/>
        <v>0.73429999000000001</v>
      </c>
      <c r="P36" s="47">
        <f t="shared" si="6"/>
        <v>0.79547021403014273</v>
      </c>
      <c r="Q36" s="47">
        <f t="shared" si="7"/>
        <v>0.17381189459636848</v>
      </c>
      <c r="R36" s="47">
        <f t="shared" si="8"/>
        <v>3.0717891373488793E-2</v>
      </c>
      <c r="S36" s="48">
        <f t="shared" si="13"/>
        <v>0.20452978596985727</v>
      </c>
      <c r="T36" s="49">
        <f t="shared" si="9"/>
        <v>0.25288213193254117</v>
      </c>
      <c r="U36" s="30">
        <f t="shared" si="10"/>
        <v>0.8881503712216765</v>
      </c>
      <c r="V36" s="30">
        <f t="shared" si="11"/>
        <v>0.19497007084772644</v>
      </c>
      <c r="W36" s="30">
        <f t="shared" si="12"/>
        <v>-7.6898195496512667E-2</v>
      </c>
    </row>
    <row r="37" spans="1:29" x14ac:dyDescent="0.5">
      <c r="A37" s="10">
        <v>2014</v>
      </c>
      <c r="B37" s="12">
        <f>'Minimum Deflation Total'!D37</f>
        <v>16542.267510733578</v>
      </c>
      <c r="C37" s="12">
        <f>'Average Labor Income'!D54 *251.1 / CPI!B103</f>
        <v>29615.691935361214</v>
      </c>
      <c r="D37" s="12">
        <f>'99.9% Threshold Labor'!D54 * 251.1 / CPI!B103</f>
        <v>246224.60760456277</v>
      </c>
      <c r="E37" s="39">
        <f t="shared" si="0"/>
        <v>10.194785227397558</v>
      </c>
      <c r="F37" s="39">
        <f t="shared" si="1"/>
        <v>0.45005423094368346</v>
      </c>
      <c r="G37" s="12">
        <f>_xlfn.LOGNORM.INV(G$2,$E37,$F37)</f>
        <v>47645.950997073865</v>
      </c>
      <c r="H37" s="12">
        <f t="shared" si="14"/>
        <v>76249.636767735428</v>
      </c>
      <c r="I37" s="17">
        <f t="shared" si="15"/>
        <v>0.83149733460092001</v>
      </c>
      <c r="J37" s="17">
        <f t="shared" si="15"/>
        <v>1.8762936430971573</v>
      </c>
      <c r="K37" s="18">
        <f t="shared" si="16"/>
        <v>0.79715363332360156</v>
      </c>
      <c r="L37" s="18">
        <f t="shared" si="16"/>
        <v>0.96969251526804812</v>
      </c>
      <c r="M37" s="30">
        <f>'Top 1% Labor Share'!D54</f>
        <v>5.7700001000000001E-2</v>
      </c>
      <c r="N37" s="30">
        <f>'Top 10% Labor Share'!D54 - M37</f>
        <v>0.207499989</v>
      </c>
      <c r="O37" s="30">
        <f t="shared" si="5"/>
        <v>0.73480001000000006</v>
      </c>
      <c r="P37" s="47">
        <f t="shared" si="6"/>
        <v>0.79715363332360156</v>
      </c>
      <c r="Q37" s="47">
        <f t="shared" si="7"/>
        <v>0.17253888194444655</v>
      </c>
      <c r="R37" s="47">
        <f t="shared" si="8"/>
        <v>3.0307484731951884E-2</v>
      </c>
      <c r="S37" s="48">
        <f t="shared" si="13"/>
        <v>0.20284636667639844</v>
      </c>
      <c r="T37" s="49">
        <f t="shared" si="9"/>
        <v>0.24969437529101546</v>
      </c>
      <c r="U37" s="30">
        <f t="shared" si="10"/>
        <v>0.90382017875503085</v>
      </c>
      <c r="V37" s="30">
        <f t="shared" si="11"/>
        <v>0.20262741163936648</v>
      </c>
      <c r="W37" s="30">
        <f t="shared" si="12"/>
        <v>-7.8220333844090106E-2</v>
      </c>
    </row>
    <row r="38" spans="1:29" x14ac:dyDescent="0.5">
      <c r="A38">
        <v>2015</v>
      </c>
      <c r="B38" s="12">
        <f>'Minimum Deflation Total'!D38</f>
        <v>16873.112860948251</v>
      </c>
      <c r="C38" s="12">
        <f>'Average Labor Income'!D55 *251.1 / CPI!B104</f>
        <v>0</v>
      </c>
      <c r="D38" s="12">
        <f>'99.9% Threshold Labor'!D55 * 251.1 / CPI!B104</f>
        <v>0</v>
      </c>
      <c r="E38" s="39"/>
      <c r="F38" s="39"/>
      <c r="G38" s="12"/>
      <c r="H38" s="12"/>
      <c r="I38" s="17"/>
      <c r="J38" s="17"/>
      <c r="K38" s="18"/>
      <c r="L38" s="18"/>
      <c r="M38" s="30"/>
      <c r="N38" s="30"/>
      <c r="O38" s="30"/>
      <c r="P38" s="30"/>
      <c r="Q38" s="30"/>
      <c r="R38" s="30"/>
      <c r="S38" s="19"/>
      <c r="T38" s="19"/>
      <c r="U38" s="19"/>
      <c r="V38" s="30"/>
      <c r="W38" s="39"/>
      <c r="X38" s="30"/>
      <c r="Y38" s="30"/>
      <c r="Z38" s="30"/>
    </row>
    <row r="39" spans="1:29" x14ac:dyDescent="0.5">
      <c r="A39" s="10">
        <v>2016</v>
      </c>
      <c r="B39" s="12">
        <f>'Minimum Deflation Total'!D39</f>
        <v>17210.575118167217</v>
      </c>
      <c r="C39" s="12">
        <f>'Average Labor Income'!D56 *251.1 / CPI!B105</f>
        <v>0</v>
      </c>
      <c r="D39" s="12">
        <f>'99.9% Threshold Labor'!D56 * 251.1 / CPI!B105</f>
        <v>0</v>
      </c>
      <c r="E39" s="39"/>
      <c r="F39" s="39"/>
      <c r="G39" s="12"/>
      <c r="H39" s="12"/>
      <c r="I39" s="17"/>
      <c r="J39" s="17"/>
      <c r="K39" s="18"/>
      <c r="L39" s="18"/>
      <c r="M39" s="30"/>
      <c r="N39" s="30"/>
      <c r="O39" s="30"/>
      <c r="P39" s="30"/>
      <c r="Q39" s="30"/>
      <c r="R39" s="30"/>
      <c r="S39" s="19"/>
      <c r="T39" s="19"/>
      <c r="U39" s="19"/>
      <c r="V39" s="30"/>
      <c r="W39" s="39"/>
      <c r="X39" s="30"/>
      <c r="Y39" s="30"/>
      <c r="Z39" s="30"/>
      <c r="AA39" s="30"/>
      <c r="AB39" s="30"/>
      <c r="AC39" s="30"/>
    </row>
    <row r="40" spans="1:29" x14ac:dyDescent="0.5">
      <c r="A40" s="10">
        <v>2017</v>
      </c>
      <c r="B40" s="12">
        <f>'Minimum Deflation Total'!D40</f>
        <v>17554.786620530562</v>
      </c>
      <c r="C40" s="12">
        <f>'Average Labor Income'!D57 *251.1 / CPI!B106</f>
        <v>0</v>
      </c>
      <c r="D40" s="12">
        <f>'99.9% Threshold Labor'!D57 * 251.1 / CPI!B106</f>
        <v>0</v>
      </c>
      <c r="E40" s="39"/>
      <c r="F40" s="39"/>
    </row>
    <row r="41" spans="1:29" x14ac:dyDescent="0.5">
      <c r="A41">
        <v>2018</v>
      </c>
      <c r="B41" s="12">
        <f>'Minimum Deflation Total'!D41</f>
        <v>17905.882352941175</v>
      </c>
      <c r="C41" s="12">
        <f>'Average Labor Income'!D58 *251.1 / CPI!B107</f>
        <v>0</v>
      </c>
      <c r="D41" s="12">
        <f>'99.9% Threshold Labor'!D58 * 251.1 / CPI!B107</f>
        <v>0</v>
      </c>
      <c r="E41" s="39"/>
      <c r="F41" s="39"/>
    </row>
    <row r="42" spans="1:29" x14ac:dyDescent="0.5">
      <c r="A42" s="10">
        <v>2019</v>
      </c>
      <c r="B42" s="12">
        <f>'Minimum Deflation Total'!D42</f>
        <v>18264</v>
      </c>
      <c r="C42" s="12"/>
      <c r="D42" s="12"/>
      <c r="E42" s="39"/>
    </row>
    <row r="48" spans="1:29" x14ac:dyDescent="0.5">
      <c r="A48" t="s">
        <v>131</v>
      </c>
      <c r="B48" t="s">
        <v>175</v>
      </c>
    </row>
  </sheetData>
  <mergeCells count="8">
    <mergeCell ref="M1:R1"/>
    <mergeCell ref="S1:W1"/>
    <mergeCell ref="A1:A2"/>
    <mergeCell ref="B1:D1"/>
    <mergeCell ref="E1:F1"/>
    <mergeCell ref="G1:H1"/>
    <mergeCell ref="I1:J1"/>
    <mergeCell ref="K1:L1"/>
  </mergeCells>
  <hyperlinks>
    <hyperlink ref="H1" location="Index" display="Back to Index" xr:uid="{72D5044D-0777-4986-992E-2BD26917DF39}"/>
  </hyperlinks>
  <pageMargins left="0.7" right="0.7" top="0.75" bottom="0.75" header="0.3" footer="0.3"/>
  <pageSetup orientation="portrait" horizontalDpi="4294967293"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61671-CB4A-43BA-A12B-4B78ABCC4DAF}">
  <sheetPr codeName="Sheet14"/>
  <dimension ref="A1:AH66"/>
  <sheetViews>
    <sheetView zoomScale="85" zoomScaleNormal="85" workbookViewId="0">
      <pane xSplit="1" ySplit="2" topLeftCell="B3" activePane="bottomRight" state="frozen"/>
      <selection pane="topRight" activeCell="B1" sqref="B1"/>
      <selection pane="bottomLeft" activeCell="A3" sqref="A3"/>
      <selection pane="bottomRight" activeCell="D9" sqref="D9"/>
    </sheetView>
  </sheetViews>
  <sheetFormatPr defaultRowHeight="15.75" x14ac:dyDescent="0.5"/>
  <cols>
    <col min="2" max="2" width="17" customWidth="1"/>
    <col min="3" max="3" width="25.125" customWidth="1"/>
    <col min="4" max="4" width="26" customWidth="1"/>
    <col min="5" max="5" width="46.25" customWidth="1"/>
    <col min="6" max="6" width="42.875" customWidth="1"/>
    <col min="7" max="7" width="15.375" customWidth="1"/>
    <col min="8" max="8" width="10.875" customWidth="1"/>
    <col min="9" max="9" width="11.625" customWidth="1"/>
    <col min="10" max="10" width="10.375" customWidth="1"/>
    <col min="11" max="11" width="15.25" customWidth="1"/>
    <col min="12" max="12" width="15.5" customWidth="1"/>
    <col min="13" max="13" width="18.125" customWidth="1"/>
    <col min="14" max="14" width="17.375" customWidth="1"/>
    <col min="15" max="18" width="19.625" customWidth="1"/>
    <col min="19" max="19" width="16" customWidth="1"/>
    <col min="20" max="20" width="14.125" customWidth="1"/>
    <col min="22" max="22" width="12.625" customWidth="1"/>
    <col min="23" max="23" width="11.75" customWidth="1"/>
    <col min="24" max="24" width="17.125" customWidth="1"/>
    <col min="25" max="25" width="15.625" customWidth="1"/>
    <col min="26" max="26" width="13.625" customWidth="1"/>
    <col min="27" max="27" width="18.375" customWidth="1"/>
    <col min="28" max="28" width="20.875" customWidth="1"/>
    <col min="29" max="29" width="17.375" customWidth="1"/>
  </cols>
  <sheetData>
    <row r="1" spans="1:26" x14ac:dyDescent="0.5">
      <c r="A1" s="102" t="s">
        <v>5</v>
      </c>
      <c r="B1" s="111" t="s">
        <v>12</v>
      </c>
      <c r="C1" s="111"/>
      <c r="D1" s="111"/>
      <c r="E1" s="112" t="s">
        <v>13</v>
      </c>
      <c r="F1" s="112"/>
      <c r="G1" s="111" t="s">
        <v>18</v>
      </c>
      <c r="H1" s="108"/>
      <c r="I1" s="113" t="s">
        <v>19</v>
      </c>
      <c r="J1" s="113"/>
      <c r="K1" s="110" t="s">
        <v>20</v>
      </c>
      <c r="L1" s="110"/>
      <c r="M1" s="104" t="s">
        <v>116</v>
      </c>
      <c r="N1" s="104"/>
      <c r="O1" s="104"/>
      <c r="P1" s="104"/>
      <c r="Q1" s="104"/>
      <c r="R1" s="104"/>
      <c r="S1" s="110" t="s">
        <v>21</v>
      </c>
      <c r="T1" s="110"/>
      <c r="U1" s="110"/>
      <c r="V1" s="110"/>
      <c r="W1" s="110"/>
    </row>
    <row r="2" spans="1:26" ht="31.5" x14ac:dyDescent="0.5">
      <c r="A2" s="102"/>
      <c r="B2" s="78" t="s">
        <v>9</v>
      </c>
      <c r="C2" s="78" t="s">
        <v>10</v>
      </c>
      <c r="D2" s="78" t="s">
        <v>219</v>
      </c>
      <c r="E2" s="79" t="s">
        <v>3</v>
      </c>
      <c r="F2" s="79" t="s">
        <v>4</v>
      </c>
      <c r="G2" s="80">
        <v>0.9</v>
      </c>
      <c r="H2" s="80">
        <v>0.99</v>
      </c>
      <c r="I2" s="81" t="s">
        <v>14</v>
      </c>
      <c r="J2" s="81" t="s">
        <v>15</v>
      </c>
      <c r="K2" s="82" t="s">
        <v>16</v>
      </c>
      <c r="L2" s="82" t="s">
        <v>17</v>
      </c>
      <c r="M2" s="83" t="s">
        <v>117</v>
      </c>
      <c r="N2" s="83" t="s">
        <v>120</v>
      </c>
      <c r="O2" s="83" t="s">
        <v>124</v>
      </c>
      <c r="P2" s="82" t="s">
        <v>0</v>
      </c>
      <c r="Q2" s="82" t="s">
        <v>1</v>
      </c>
      <c r="R2" s="82" t="s">
        <v>2</v>
      </c>
      <c r="S2" s="83" t="s">
        <v>118</v>
      </c>
      <c r="T2" s="84" t="s">
        <v>25</v>
      </c>
      <c r="U2" s="83" t="s">
        <v>121</v>
      </c>
      <c r="V2" s="83" t="s">
        <v>122</v>
      </c>
      <c r="W2" s="83" t="s">
        <v>123</v>
      </c>
      <c r="X2" s="72"/>
      <c r="Y2" s="72"/>
      <c r="Z2" s="72"/>
    </row>
    <row r="3" spans="1:26" x14ac:dyDescent="0.5">
      <c r="A3" s="1">
        <v>1980</v>
      </c>
      <c r="B3" s="73">
        <f>'Minimum Deflation Total'!D3</f>
        <v>8437.0223538020127</v>
      </c>
      <c r="C3" s="73">
        <f>Data!AD523*251.1 / CPI!B69</f>
        <v>57071.921723300962</v>
      </c>
      <c r="D3" s="73">
        <f>Data!Y82*251.1 / CPI!B69</f>
        <v>982856.62561893184</v>
      </c>
      <c r="E3" s="3">
        <f t="shared" ref="E3:E37" si="0">LN(C3)-F3^2/2</f>
        <v>10.637665000325864</v>
      </c>
      <c r="F3" s="3">
        <f t="shared" ref="F3:F37" si="1">(LN(D3)-LN(B3))/6</f>
        <v>0.79297230182260725</v>
      </c>
      <c r="G3" s="73">
        <f t="shared" ref="G3:H18" si="2">_xlfn.LOGNORM.INV(G$2,$E3,$F3)</f>
        <v>115139.52066515609</v>
      </c>
      <c r="H3" s="73">
        <f t="shared" si="2"/>
        <v>263654.39874311705</v>
      </c>
      <c r="I3" s="75">
        <f t="shared" ref="I3:J18" si="3">(LN(G3)-($E3+$F3^2))/$F3</f>
        <v>0.48857926372199362</v>
      </c>
      <c r="J3" s="75">
        <f t="shared" si="3"/>
        <v>1.5333755722182332</v>
      </c>
      <c r="K3" s="76">
        <f t="shared" ref="K3:L18" si="4">_xlfn.NORM.DIST(I3,0,1,TRUE)</f>
        <v>0.68743020166983615</v>
      </c>
      <c r="L3" s="76">
        <f>_xlfn.NORM.DIST(J3,0,1,TRUE)</f>
        <v>0.93740832802109642</v>
      </c>
      <c r="M3" s="30">
        <f>Data!L199</f>
        <v>8.1699996999999996E-2</v>
      </c>
      <c r="N3" s="30">
        <f>Data!L316 - M3</f>
        <v>0.22460001300000002</v>
      </c>
      <c r="O3" s="30">
        <f t="shared" ref="O3:O37" si="5">1-N3 - M3</f>
        <v>0.69369999000000004</v>
      </c>
      <c r="P3" s="77">
        <f t="shared" ref="P3:P37" si="6">K3</f>
        <v>0.68743020166983615</v>
      </c>
      <c r="Q3" s="77">
        <f t="shared" ref="Q3:Q37" si="7">L3-K3</f>
        <v>0.24997812635126027</v>
      </c>
      <c r="R3" s="77">
        <f t="shared" ref="R3:R37" si="8">1-L3</f>
        <v>6.2591671978903585E-2</v>
      </c>
      <c r="S3" s="30">
        <f>Q3+R3</f>
        <v>0.31256979833016385</v>
      </c>
      <c r="T3" s="3">
        <f t="shared" ref="T3:T37" si="9">2*_xlfn.NORM.DIST(F3/SQRT(2),0,1,TRUE)-1</f>
        <v>0.42500890459986196</v>
      </c>
      <c r="U3" s="30">
        <f t="shared" ref="U3:U37" si="10">M3/R3 - 1</f>
        <v>0.30528542243665968</v>
      </c>
      <c r="V3" s="30">
        <f t="shared" ref="V3:V37" si="11">N3/Q3 - 1</f>
        <v>-0.10152133597321167</v>
      </c>
      <c r="W3" s="30">
        <f t="shared" ref="W3:W37" si="12">O3/P3 - 1</f>
        <v>9.120618085929344E-3</v>
      </c>
    </row>
    <row r="4" spans="1:26" x14ac:dyDescent="0.5">
      <c r="A4">
        <v>1981</v>
      </c>
      <c r="B4" s="73">
        <f>'Minimum Deflation Total'!D4</f>
        <v>8605.7628008780539</v>
      </c>
      <c r="C4" s="73">
        <f>Data!AD524*251.1 / CPI!B70</f>
        <v>51740.96435643563</v>
      </c>
      <c r="D4" s="73">
        <f>Data!Y83*251.1 / CPI!B70</f>
        <v>888104.48524752457</v>
      </c>
      <c r="E4" s="3">
        <f t="shared" si="0"/>
        <v>10.555413549989009</v>
      </c>
      <c r="F4" s="3">
        <f t="shared" si="1"/>
        <v>0.77277622127745393</v>
      </c>
      <c r="G4" s="73">
        <f t="shared" si="2"/>
        <v>103338.58676712397</v>
      </c>
      <c r="H4" s="73">
        <f t="shared" si="2"/>
        <v>231691.00072588242</v>
      </c>
      <c r="I4" s="75">
        <f t="shared" si="3"/>
        <v>0.50877534426714799</v>
      </c>
      <c r="J4" s="75">
        <f t="shared" si="3"/>
        <v>1.5535716527633863</v>
      </c>
      <c r="K4" s="76">
        <f t="shared" si="4"/>
        <v>0.69454514825743963</v>
      </c>
      <c r="L4" s="76">
        <f t="shared" si="4"/>
        <v>0.93985668729337946</v>
      </c>
      <c r="M4" s="30">
        <f>Data!L200</f>
        <v>8.2099996999999994E-2</v>
      </c>
      <c r="N4" s="30">
        <f>Data!L317 - M4</f>
        <v>0.21980000300000002</v>
      </c>
      <c r="O4" s="30">
        <f t="shared" si="5"/>
        <v>0.69809999999999994</v>
      </c>
      <c r="P4" s="77">
        <f t="shared" si="6"/>
        <v>0.69454514825743963</v>
      </c>
      <c r="Q4" s="77">
        <f t="shared" si="7"/>
        <v>0.24531153903593983</v>
      </c>
      <c r="R4" s="77">
        <f t="shared" si="8"/>
        <v>6.0143312706620544E-2</v>
      </c>
      <c r="S4" s="30">
        <f t="shared" ref="S4:S37" si="13">Q4+R4</f>
        <v>0.30545485174256037</v>
      </c>
      <c r="T4" s="3">
        <f t="shared" si="9"/>
        <v>0.41523325372420894</v>
      </c>
      <c r="U4" s="30">
        <f t="shared" si="10"/>
        <v>0.36507274550180324</v>
      </c>
      <c r="V4" s="30">
        <f t="shared" si="11"/>
        <v>-0.10399647785097543</v>
      </c>
      <c r="W4" s="30">
        <f t="shared" si="12"/>
        <v>5.1182442948154439E-3</v>
      </c>
    </row>
    <row r="5" spans="1:26" x14ac:dyDescent="0.5">
      <c r="A5" s="1">
        <v>1982</v>
      </c>
      <c r="B5" s="73">
        <f>'Minimum Deflation Total'!D5</f>
        <v>8777.8780568956154</v>
      </c>
      <c r="C5" s="73">
        <f>Data!AD525*251.1 / CPI!B71</f>
        <v>49364.178341968909</v>
      </c>
      <c r="D5" s="73">
        <f>Data!Y84*251.1 / CPI!B71</f>
        <v>763951.58393782377</v>
      </c>
      <c r="E5" s="3">
        <f t="shared" si="0"/>
        <v>10.529930789016536</v>
      </c>
      <c r="F5" s="3">
        <f t="shared" si="1"/>
        <v>0.74437828601341105</v>
      </c>
      <c r="G5" s="73">
        <f t="shared" si="2"/>
        <v>97138.196215800665</v>
      </c>
      <c r="H5" s="73">
        <f t="shared" si="2"/>
        <v>211422.46873263369</v>
      </c>
      <c r="I5" s="75">
        <f t="shared" si="3"/>
        <v>0.53717327953118932</v>
      </c>
      <c r="J5" s="75">
        <f t="shared" si="3"/>
        <v>1.5819695880274305</v>
      </c>
      <c r="K5" s="76">
        <f t="shared" si="4"/>
        <v>0.70442603669415949</v>
      </c>
      <c r="L5" s="76">
        <f t="shared" si="4"/>
        <v>0.94317174334946074</v>
      </c>
      <c r="M5" s="30">
        <f>Data!L201</f>
        <v>7.5199999000000003E-2</v>
      </c>
      <c r="N5" s="30">
        <f>Data!L318 - M5</f>
        <v>0.21760001099999998</v>
      </c>
      <c r="O5" s="30">
        <f t="shared" si="5"/>
        <v>0.70719999</v>
      </c>
      <c r="P5" s="77">
        <f t="shared" si="6"/>
        <v>0.70442603669415949</v>
      </c>
      <c r="Q5" s="77">
        <f t="shared" si="7"/>
        <v>0.23874570665530126</v>
      </c>
      <c r="R5" s="77">
        <f t="shared" si="8"/>
        <v>5.6828256650539255E-2</v>
      </c>
      <c r="S5" s="30">
        <f t="shared" si="13"/>
        <v>0.29557396330584051</v>
      </c>
      <c r="T5" s="3">
        <f t="shared" si="9"/>
        <v>0.40135837847848688</v>
      </c>
      <c r="U5" s="30">
        <f t="shared" si="10"/>
        <v>0.32328534134763776</v>
      </c>
      <c r="V5" s="30">
        <f t="shared" si="11"/>
        <v>-8.8569951483279397E-2</v>
      </c>
      <c r="W5" s="30">
        <f t="shared" si="12"/>
        <v>3.9378915050591878E-3</v>
      </c>
    </row>
    <row r="6" spans="1:26" x14ac:dyDescent="0.5">
      <c r="A6">
        <v>1983</v>
      </c>
      <c r="B6" s="73">
        <f>'Minimum Deflation Total'!D6</f>
        <v>8953.4356180335271</v>
      </c>
      <c r="C6" s="73">
        <f>Data!AD526*251.1 / CPI!B72</f>
        <v>47808.081135542168</v>
      </c>
      <c r="D6" s="73">
        <f>Data!Y85*251.1 / CPI!B72</f>
        <v>716095.32478915679</v>
      </c>
      <c r="E6" s="3">
        <f t="shared" si="0"/>
        <v>10.508283845846695</v>
      </c>
      <c r="F6" s="3">
        <f t="shared" si="1"/>
        <v>0.73029599445238436</v>
      </c>
      <c r="G6" s="73">
        <f t="shared" si="2"/>
        <v>93357.904454470612</v>
      </c>
      <c r="H6" s="73">
        <f t="shared" si="2"/>
        <v>200226.87547023824</v>
      </c>
      <c r="I6" s="75">
        <f t="shared" si="3"/>
        <v>0.5512555710922179</v>
      </c>
      <c r="J6" s="75">
        <f t="shared" si="3"/>
        <v>1.5960518795884573</v>
      </c>
      <c r="K6" s="76">
        <f t="shared" si="4"/>
        <v>0.70927075484827806</v>
      </c>
      <c r="L6" s="76">
        <f t="shared" si="4"/>
        <v>0.94476139451839736</v>
      </c>
      <c r="M6" s="30">
        <f>Data!L202</f>
        <v>7.3299997000000006E-2</v>
      </c>
      <c r="N6" s="30">
        <f>Data!L319 - M6</f>
        <v>0.22090000300000001</v>
      </c>
      <c r="O6" s="30">
        <f t="shared" si="5"/>
        <v>0.70579999999999998</v>
      </c>
      <c r="P6" s="77">
        <f t="shared" si="6"/>
        <v>0.70927075484827806</v>
      </c>
      <c r="Q6" s="77">
        <f t="shared" si="7"/>
        <v>0.23549063967011929</v>
      </c>
      <c r="R6" s="77">
        <f t="shared" si="8"/>
        <v>5.5238605481602643E-2</v>
      </c>
      <c r="S6" s="30">
        <f t="shared" si="13"/>
        <v>0.29072924515172194</v>
      </c>
      <c r="T6" s="3">
        <f t="shared" si="9"/>
        <v>0.3944230138909961</v>
      </c>
      <c r="U6" s="30">
        <f t="shared" si="10"/>
        <v>0.32697044686279697</v>
      </c>
      <c r="V6" s="30">
        <f t="shared" si="11"/>
        <v>-6.1958456992423083E-2</v>
      </c>
      <c r="W6" s="30">
        <f t="shared" si="12"/>
        <v>-4.8934131635253175E-3</v>
      </c>
    </row>
    <row r="7" spans="1:26" x14ac:dyDescent="0.5">
      <c r="A7" s="1">
        <v>1984</v>
      </c>
      <c r="B7" s="73">
        <f>'Minimum Deflation Total'!D7</f>
        <v>9132.5043303941984</v>
      </c>
      <c r="C7" s="73">
        <f>Data!AD527*251.1 / CPI!B73</f>
        <v>46237.201154956689</v>
      </c>
      <c r="D7" s="73">
        <f>Data!Y86*251.1 / CPI!B73</f>
        <v>673004.57604427321</v>
      </c>
      <c r="E7" s="3">
        <f t="shared" si="0"/>
        <v>10.484744907376504</v>
      </c>
      <c r="F7" s="3">
        <f t="shared" si="1"/>
        <v>0.71665202920530646</v>
      </c>
      <c r="G7" s="73">
        <f t="shared" si="2"/>
        <v>89605.451285768329</v>
      </c>
      <c r="H7" s="73">
        <f t="shared" si="2"/>
        <v>189458.79362028377</v>
      </c>
      <c r="I7" s="75">
        <f t="shared" si="3"/>
        <v>0.56489953633929546</v>
      </c>
      <c r="J7" s="75">
        <f t="shared" si="3"/>
        <v>1.609695844835535</v>
      </c>
      <c r="K7" s="76">
        <f t="shared" si="4"/>
        <v>0.71392895046047111</v>
      </c>
      <c r="L7" s="76">
        <f t="shared" si="4"/>
        <v>0.94626786373644445</v>
      </c>
      <c r="M7" s="30">
        <f>Data!L203</f>
        <v>7.4699998000000004E-2</v>
      </c>
      <c r="N7" s="30">
        <f>Data!L320 - M7</f>
        <v>0.22249999200000004</v>
      </c>
      <c r="O7" s="30">
        <f t="shared" si="5"/>
        <v>0.70280000999999992</v>
      </c>
      <c r="P7" s="77">
        <f t="shared" si="6"/>
        <v>0.71392895046047111</v>
      </c>
      <c r="Q7" s="77">
        <f t="shared" si="7"/>
        <v>0.23233891327597334</v>
      </c>
      <c r="R7" s="77">
        <f t="shared" si="8"/>
        <v>5.3732136263555552E-2</v>
      </c>
      <c r="S7" s="30">
        <f t="shared" si="13"/>
        <v>0.28607104953952889</v>
      </c>
      <c r="T7" s="3">
        <f t="shared" si="9"/>
        <v>0.38766941285293521</v>
      </c>
      <c r="U7" s="30">
        <f t="shared" si="10"/>
        <v>0.39022944544019822</v>
      </c>
      <c r="V7" s="30">
        <f t="shared" si="11"/>
        <v>-4.234728112155095E-2</v>
      </c>
      <c r="W7" s="30">
        <f t="shared" si="12"/>
        <v>-1.5588302524072173E-2</v>
      </c>
    </row>
    <row r="8" spans="1:26" x14ac:dyDescent="0.5">
      <c r="A8">
        <v>1985</v>
      </c>
      <c r="B8" s="73">
        <f>'Minimum Deflation Total'!D8</f>
        <v>9315.1544170020825</v>
      </c>
      <c r="C8" s="73">
        <f>Data!AD528*251.1 / CPI!B74</f>
        <v>45467.302416356884</v>
      </c>
      <c r="D8" s="73">
        <f>Data!Y87*251.1 / CPI!B74</f>
        <v>677973.71049256506</v>
      </c>
      <c r="E8" s="3">
        <f t="shared" si="0"/>
        <v>10.4694381057647</v>
      </c>
      <c r="F8" s="3">
        <f t="shared" si="1"/>
        <v>0.7145776551577544</v>
      </c>
      <c r="G8" s="73">
        <f t="shared" si="2"/>
        <v>88010.043570897367</v>
      </c>
      <c r="H8" s="73">
        <f t="shared" si="2"/>
        <v>185682.65036504847</v>
      </c>
      <c r="I8" s="75">
        <f t="shared" si="3"/>
        <v>0.56697391038684597</v>
      </c>
      <c r="J8" s="75">
        <f t="shared" si="3"/>
        <v>1.6117702188830865</v>
      </c>
      <c r="K8" s="76">
        <f t="shared" si="4"/>
        <v>0.71463404640199824</v>
      </c>
      <c r="L8" s="76">
        <f t="shared" si="4"/>
        <v>0.94649402448563436</v>
      </c>
      <c r="M8" s="30">
        <f>Data!L204</f>
        <v>7.7399998999999997E-2</v>
      </c>
      <c r="N8" s="30">
        <f>Data!L321 - M8</f>
        <v>0.22540000100000002</v>
      </c>
      <c r="O8" s="30">
        <f t="shared" si="5"/>
        <v>0.69720000000000004</v>
      </c>
      <c r="P8" s="77">
        <f t="shared" si="6"/>
        <v>0.71463404640199824</v>
      </c>
      <c r="Q8" s="77">
        <f t="shared" si="7"/>
        <v>0.23185997808363612</v>
      </c>
      <c r="R8" s="77">
        <f t="shared" si="8"/>
        <v>5.3505975514365645E-2</v>
      </c>
      <c r="S8" s="30">
        <f t="shared" si="13"/>
        <v>0.28536595359800176</v>
      </c>
      <c r="T8" s="3">
        <f t="shared" si="9"/>
        <v>0.38663971204311975</v>
      </c>
      <c r="U8" s="30">
        <f t="shared" si="10"/>
        <v>0.44656738347325575</v>
      </c>
      <c r="V8" s="30">
        <f t="shared" si="11"/>
        <v>-2.786154444173139E-2</v>
      </c>
      <c r="W8" s="30">
        <f t="shared" si="12"/>
        <v>-2.439576800150256E-2</v>
      </c>
    </row>
    <row r="9" spans="1:26" x14ac:dyDescent="0.5">
      <c r="A9" s="1">
        <v>1986</v>
      </c>
      <c r="B9" s="73">
        <f>'Minimum Deflation Total'!D9</f>
        <v>9501.4575053421249</v>
      </c>
      <c r="C9" s="73">
        <f>Data!AD529*251.1 / CPI!B75</f>
        <v>45838.579927007297</v>
      </c>
      <c r="D9" s="73">
        <f>Data!Y88*251.1 / CPI!B75</f>
        <v>733371.43475364964</v>
      </c>
      <c r="E9" s="3">
        <f t="shared" si="0"/>
        <v>10.470526981266275</v>
      </c>
      <c r="F9" s="3">
        <f t="shared" si="1"/>
        <v>0.72436784955954858</v>
      </c>
      <c r="G9" s="73">
        <f t="shared" si="2"/>
        <v>89218.324840387868</v>
      </c>
      <c r="H9" s="73">
        <f t="shared" si="2"/>
        <v>190167.1284863136</v>
      </c>
      <c r="I9" s="75">
        <f t="shared" si="3"/>
        <v>0.55718371598505134</v>
      </c>
      <c r="J9" s="75">
        <f t="shared" si="3"/>
        <v>1.6019800244812932</v>
      </c>
      <c r="K9" s="76">
        <f t="shared" si="4"/>
        <v>0.71129904282385992</v>
      </c>
      <c r="L9" s="76">
        <f t="shared" si="4"/>
        <v>0.94541998660067894</v>
      </c>
      <c r="M9" s="30">
        <f>Data!L205</f>
        <v>8.2500003000000002E-2</v>
      </c>
      <c r="N9" s="30">
        <f>Data!L322 - M9</f>
        <v>0.22959998700000001</v>
      </c>
      <c r="O9" s="30">
        <f t="shared" si="5"/>
        <v>0.6879000099999999</v>
      </c>
      <c r="P9" s="77">
        <f t="shared" si="6"/>
        <v>0.71129904282385992</v>
      </c>
      <c r="Q9" s="77">
        <f t="shared" si="7"/>
        <v>0.23412094377681902</v>
      </c>
      <c r="R9" s="77">
        <f t="shared" si="8"/>
        <v>5.4580013399321059E-2</v>
      </c>
      <c r="S9" s="30">
        <f t="shared" si="13"/>
        <v>0.28870095717614008</v>
      </c>
      <c r="T9" s="3">
        <f t="shared" si="9"/>
        <v>0.39149274873107132</v>
      </c>
      <c r="U9" s="30">
        <f t="shared" si="10"/>
        <v>0.51154237351334642</v>
      </c>
      <c r="V9" s="30">
        <f t="shared" si="11"/>
        <v>-1.9310347480611223E-2</v>
      </c>
      <c r="W9" s="30">
        <f t="shared" si="12"/>
        <v>-3.2896196135686839E-2</v>
      </c>
    </row>
    <row r="10" spans="1:26" x14ac:dyDescent="0.5">
      <c r="A10">
        <v>1987</v>
      </c>
      <c r="B10" s="73">
        <f>'Minimum Deflation Total'!D10</f>
        <v>9691.4866554489672</v>
      </c>
      <c r="C10" s="73">
        <f>Data!AD530*251.1 / CPI!B76</f>
        <v>45240.881514084518</v>
      </c>
      <c r="D10" s="73">
        <f>Data!Y89*251.1 / CPI!B76</f>
        <v>794707.18573943665</v>
      </c>
      <c r="E10" s="3">
        <f t="shared" si="0"/>
        <v>10.450044844758542</v>
      </c>
      <c r="F10" s="3">
        <f t="shared" si="1"/>
        <v>0.73445431520559568</v>
      </c>
      <c r="G10" s="73">
        <f t="shared" si="2"/>
        <v>88546.748416947026</v>
      </c>
      <c r="H10" s="73">
        <f t="shared" si="2"/>
        <v>190735.14694648082</v>
      </c>
      <c r="I10" s="75">
        <f t="shared" si="3"/>
        <v>0.54709725033900714</v>
      </c>
      <c r="J10" s="75">
        <f t="shared" si="3"/>
        <v>1.5918935588352456</v>
      </c>
      <c r="K10" s="76">
        <f t="shared" si="4"/>
        <v>0.70784403938118523</v>
      </c>
      <c r="L10" s="76">
        <f t="shared" si="4"/>
        <v>0.94429568845551992</v>
      </c>
      <c r="M10" s="30">
        <f>Data!L206</f>
        <v>9.0200000000000002E-2</v>
      </c>
      <c r="N10" s="30">
        <f>Data!L323 - M10</f>
        <v>0.23069999000000002</v>
      </c>
      <c r="O10" s="30">
        <f t="shared" si="5"/>
        <v>0.67910000999999998</v>
      </c>
      <c r="P10" s="77">
        <f t="shared" si="6"/>
        <v>0.70784403938118523</v>
      </c>
      <c r="Q10" s="77">
        <f t="shared" si="7"/>
        <v>0.23645164907433469</v>
      </c>
      <c r="R10" s="77">
        <f t="shared" si="8"/>
        <v>5.5704311544480078E-2</v>
      </c>
      <c r="S10" s="30">
        <f t="shared" si="13"/>
        <v>0.29215596061881477</v>
      </c>
      <c r="T10" s="3">
        <f t="shared" si="9"/>
        <v>0.39647468119021045</v>
      </c>
      <c r="U10" s="30">
        <f t="shared" si="10"/>
        <v>0.61926424542515002</v>
      </c>
      <c r="V10" s="30">
        <f t="shared" si="11"/>
        <v>-2.4324884587827444E-2</v>
      </c>
      <c r="W10" s="30">
        <f t="shared" si="12"/>
        <v>-4.0607856790478847E-2</v>
      </c>
    </row>
    <row r="11" spans="1:26" x14ac:dyDescent="0.5">
      <c r="A11" s="1">
        <v>1988</v>
      </c>
      <c r="B11" s="73">
        <f>'Minimum Deflation Total'!D11</f>
        <v>9885.316388557947</v>
      </c>
      <c r="C11" s="73">
        <f>Data!AD531*251.1 / CPI!B77</f>
        <v>45251.703136939977</v>
      </c>
      <c r="D11" s="73">
        <f>Data!Y90*251.1 / CPI!B77</f>
        <v>735179.43111580715</v>
      </c>
      <c r="E11" s="3">
        <f t="shared" si="0"/>
        <v>10.462106230147015</v>
      </c>
      <c r="F11" s="3">
        <f t="shared" si="1"/>
        <v>0.71817735505676517</v>
      </c>
      <c r="G11" s="73">
        <f t="shared" si="2"/>
        <v>87771.097857946035</v>
      </c>
      <c r="H11" s="73">
        <f t="shared" si="2"/>
        <v>185876.28430870452</v>
      </c>
      <c r="I11" s="75">
        <f t="shared" si="3"/>
        <v>0.56337421048783476</v>
      </c>
      <c r="J11" s="75">
        <f t="shared" si="3"/>
        <v>1.6081705189840749</v>
      </c>
      <c r="K11" s="76">
        <f t="shared" si="4"/>
        <v>0.7134099527176635</v>
      </c>
      <c r="L11" s="76">
        <f t="shared" si="4"/>
        <v>0.94610108100297696</v>
      </c>
      <c r="M11" s="30">
        <f>Data!L207</f>
        <v>9.1600001E-2</v>
      </c>
      <c r="N11" s="30">
        <f>Data!L324 - M11</f>
        <v>0.23399999900000001</v>
      </c>
      <c r="O11" s="30">
        <f t="shared" si="5"/>
        <v>0.6744</v>
      </c>
      <c r="P11" s="77">
        <f t="shared" si="6"/>
        <v>0.7134099527176635</v>
      </c>
      <c r="Q11" s="77">
        <f t="shared" si="7"/>
        <v>0.23269112828531346</v>
      </c>
      <c r="R11" s="77">
        <f t="shared" si="8"/>
        <v>5.3898918997023038E-2</v>
      </c>
      <c r="S11" s="30">
        <f t="shared" si="13"/>
        <v>0.2865900472823365</v>
      </c>
      <c r="T11" s="3">
        <f t="shared" si="9"/>
        <v>0.38842608298397274</v>
      </c>
      <c r="U11" s="30">
        <f t="shared" si="10"/>
        <v>0.69947751651678369</v>
      </c>
      <c r="V11" s="30">
        <f t="shared" si="11"/>
        <v>5.6249274492394807E-3</v>
      </c>
      <c r="W11" s="30">
        <f t="shared" si="12"/>
        <v>-5.4680976301296313E-2</v>
      </c>
    </row>
    <row r="12" spans="1:26" x14ac:dyDescent="0.5">
      <c r="A12">
        <v>1989</v>
      </c>
      <c r="B12" s="73">
        <f>'Minimum Deflation Total'!D12</f>
        <v>10083.022716329106</v>
      </c>
      <c r="C12" s="73">
        <f>Data!AD532*251.1 / CPI!B78</f>
        <v>44681.222024999995</v>
      </c>
      <c r="D12" s="73">
        <f>Data!Y91*251.1 / CPI!B78</f>
        <v>823470.3</v>
      </c>
      <c r="E12" s="3">
        <f t="shared" si="0"/>
        <v>10.438092744924095</v>
      </c>
      <c r="F12" s="3">
        <f t="shared" si="1"/>
        <v>0.73377906550857386</v>
      </c>
      <c r="G12" s="73">
        <f t="shared" si="2"/>
        <v>87419.045962173142</v>
      </c>
      <c r="H12" s="73">
        <f t="shared" si="2"/>
        <v>188173.20370562482</v>
      </c>
      <c r="I12" s="75">
        <f t="shared" si="3"/>
        <v>0.54777250003602607</v>
      </c>
      <c r="J12" s="75">
        <f t="shared" si="3"/>
        <v>1.5925688085322671</v>
      </c>
      <c r="K12" s="76">
        <f t="shared" si="4"/>
        <v>0.70807593828706539</v>
      </c>
      <c r="L12" s="76">
        <f t="shared" si="4"/>
        <v>0.94437152224530108</v>
      </c>
      <c r="M12" s="30">
        <f>Data!L208</f>
        <v>9.5200002000000006E-2</v>
      </c>
      <c r="N12" s="30">
        <f>Data!L325 - M12</f>
        <v>0.232399998</v>
      </c>
      <c r="O12" s="30">
        <f t="shared" si="5"/>
        <v>0.6724</v>
      </c>
      <c r="P12" s="77">
        <f t="shared" si="6"/>
        <v>0.70807593828706539</v>
      </c>
      <c r="Q12" s="77">
        <f t="shared" si="7"/>
        <v>0.23629558395823569</v>
      </c>
      <c r="R12" s="77">
        <f t="shared" si="8"/>
        <v>5.5628477754698924E-2</v>
      </c>
      <c r="S12" s="30">
        <f t="shared" si="13"/>
        <v>0.29192406171293461</v>
      </c>
      <c r="T12" s="3">
        <f t="shared" si="9"/>
        <v>0.3961417333754218</v>
      </c>
      <c r="U12" s="30">
        <f t="shared" si="10"/>
        <v>0.71135371382616142</v>
      </c>
      <c r="V12" s="30">
        <f t="shared" si="11"/>
        <v>-1.6486071779167166E-2</v>
      </c>
      <c r="W12" s="30">
        <f t="shared" si="12"/>
        <v>-5.0384339246678067E-2</v>
      </c>
    </row>
    <row r="13" spans="1:26" x14ac:dyDescent="0.5">
      <c r="A13" s="1">
        <v>1990</v>
      </c>
      <c r="B13" s="73">
        <f>'Minimum Deflation Total'!D13</f>
        <v>10284.683170655688</v>
      </c>
      <c r="C13" s="73">
        <f>Data!AD533*251.1 / CPI!B79</f>
        <v>43278.535501147671</v>
      </c>
      <c r="D13" s="73">
        <f>Data!Y92*251.1 / CPI!B79</f>
        <v>780955.58148431533</v>
      </c>
      <c r="E13" s="3">
        <f t="shared" si="0"/>
        <v>10.415027217399324</v>
      </c>
      <c r="F13" s="3">
        <f t="shared" si="1"/>
        <v>0.7216437594473829</v>
      </c>
      <c r="G13" s="73">
        <f t="shared" si="2"/>
        <v>84107.490374037778</v>
      </c>
      <c r="H13" s="73">
        <f t="shared" si="2"/>
        <v>178763.97565895729</v>
      </c>
      <c r="I13" s="75">
        <f t="shared" si="3"/>
        <v>0.55990780609721724</v>
      </c>
      <c r="J13" s="75">
        <f t="shared" si="3"/>
        <v>1.6047041145934575</v>
      </c>
      <c r="K13" s="76">
        <f t="shared" si="4"/>
        <v>0.71222883799706027</v>
      </c>
      <c r="L13" s="76">
        <f t="shared" si="4"/>
        <v>0.94572053199464579</v>
      </c>
      <c r="M13" s="30">
        <f>Data!L209</f>
        <v>9.3299999999999994E-2</v>
      </c>
      <c r="N13" s="30">
        <f>Data!L326 - M13</f>
        <v>0.22860001000000002</v>
      </c>
      <c r="O13" s="30">
        <f t="shared" si="5"/>
        <v>0.67809998999999999</v>
      </c>
      <c r="P13" s="77">
        <f t="shared" si="6"/>
        <v>0.71222883799706027</v>
      </c>
      <c r="Q13" s="77">
        <f t="shared" si="7"/>
        <v>0.23349169399758551</v>
      </c>
      <c r="R13" s="77">
        <f t="shared" si="8"/>
        <v>5.4279468005354214E-2</v>
      </c>
      <c r="S13" s="30">
        <f t="shared" si="13"/>
        <v>0.28777116200293973</v>
      </c>
      <c r="T13" s="3">
        <f t="shared" si="9"/>
        <v>0.39014412439429291</v>
      </c>
      <c r="U13" s="30">
        <f t="shared" si="10"/>
        <v>0.71888199034663947</v>
      </c>
      <c r="V13" s="30">
        <f t="shared" si="11"/>
        <v>-2.0950141368352382E-2</v>
      </c>
      <c r="W13" s="30">
        <f t="shared" si="12"/>
        <v>-4.7918374230728866E-2</v>
      </c>
    </row>
    <row r="14" spans="1:26" x14ac:dyDescent="0.5">
      <c r="A14">
        <v>1991</v>
      </c>
      <c r="B14" s="73">
        <f>'Minimum Deflation Total'!D14</f>
        <v>10490.376834068802</v>
      </c>
      <c r="C14" s="73">
        <f>Data!AD534*251.1 / CPI!B80</f>
        <v>41450.120484581494</v>
      </c>
      <c r="D14" s="73">
        <f>Data!Y93*251.1 / CPI!B80</f>
        <v>806078.36240088101</v>
      </c>
      <c r="E14" s="3">
        <f t="shared" si="0"/>
        <v>10.370432799525187</v>
      </c>
      <c r="F14" s="3">
        <f t="shared" si="1"/>
        <v>0.72362043611144478</v>
      </c>
      <c r="G14" s="73">
        <f t="shared" si="2"/>
        <v>80643.194937730412</v>
      </c>
      <c r="H14" s="73">
        <f t="shared" si="2"/>
        <v>171755.23031385223</v>
      </c>
      <c r="I14" s="75">
        <f t="shared" si="3"/>
        <v>0.55793112943315648</v>
      </c>
      <c r="J14" s="75">
        <f t="shared" si="3"/>
        <v>1.602727437929397</v>
      </c>
      <c r="K14" s="76">
        <f t="shared" si="4"/>
        <v>0.71155429317201446</v>
      </c>
      <c r="L14" s="76">
        <f t="shared" si="4"/>
        <v>0.94550257847265007</v>
      </c>
      <c r="M14" s="30">
        <f>Data!L210</f>
        <v>9.1499998999999999E-2</v>
      </c>
      <c r="N14" s="30">
        <f>Data!L327 - M14</f>
        <v>0.22930001100000003</v>
      </c>
      <c r="O14" s="30">
        <f t="shared" si="5"/>
        <v>0.67919998999999986</v>
      </c>
      <c r="P14" s="77">
        <f t="shared" si="6"/>
        <v>0.71155429317201446</v>
      </c>
      <c r="Q14" s="77">
        <f t="shared" si="7"/>
        <v>0.23394828530063561</v>
      </c>
      <c r="R14" s="77">
        <f t="shared" si="8"/>
        <v>5.4497421527349932E-2</v>
      </c>
      <c r="S14" s="30">
        <f t="shared" si="13"/>
        <v>0.28844570682798554</v>
      </c>
      <c r="T14" s="3">
        <f t="shared" si="9"/>
        <v>0.39112285650628564</v>
      </c>
      <c r="U14" s="30">
        <f t="shared" si="10"/>
        <v>0.67897849908513663</v>
      </c>
      <c r="V14" s="30">
        <f t="shared" si="11"/>
        <v>-1.9868811154834076E-2</v>
      </c>
      <c r="W14" s="30">
        <f t="shared" si="12"/>
        <v>-4.5469900866992763E-2</v>
      </c>
    </row>
    <row r="15" spans="1:26" x14ac:dyDescent="0.5">
      <c r="A15" s="1">
        <v>1992</v>
      </c>
      <c r="B15" s="73">
        <f>'Minimum Deflation Total'!D15</f>
        <v>10700.184370750178</v>
      </c>
      <c r="C15" s="73">
        <f>Data!AD535*251.1 / CPI!B81</f>
        <v>40786.300071275829</v>
      </c>
      <c r="D15" s="73">
        <f>Data!Y94*251.1 / CPI!B81</f>
        <v>722146.22166072694</v>
      </c>
      <c r="E15" s="3">
        <f t="shared" si="0"/>
        <v>10.36970342112221</v>
      </c>
      <c r="F15" s="3">
        <f t="shared" si="1"/>
        <v>0.70199444487215901</v>
      </c>
      <c r="G15" s="73">
        <f t="shared" si="2"/>
        <v>78381.679638544912</v>
      </c>
      <c r="H15" s="73">
        <f t="shared" si="2"/>
        <v>163208.97363989023</v>
      </c>
      <c r="I15" s="75">
        <f t="shared" si="3"/>
        <v>0.57955712067244036</v>
      </c>
      <c r="J15" s="75">
        <f t="shared" si="3"/>
        <v>1.6243534291686805</v>
      </c>
      <c r="K15" s="76">
        <f t="shared" si="4"/>
        <v>0.71889334189868659</v>
      </c>
      <c r="L15" s="76">
        <f t="shared" si="4"/>
        <v>0.94784979985259421</v>
      </c>
      <c r="M15" s="30">
        <f>Data!L211</f>
        <v>8.6199998999999999E-2</v>
      </c>
      <c r="N15" s="30">
        <f>Data!L328 - M15</f>
        <v>0.22760001100000002</v>
      </c>
      <c r="O15" s="30">
        <f t="shared" si="5"/>
        <v>0.68619998999999998</v>
      </c>
      <c r="P15" s="77">
        <f t="shared" si="6"/>
        <v>0.71889334189868659</v>
      </c>
      <c r="Q15" s="77">
        <f t="shared" si="7"/>
        <v>0.22895645795390762</v>
      </c>
      <c r="R15" s="77">
        <f t="shared" si="8"/>
        <v>5.215020014740579E-2</v>
      </c>
      <c r="S15" s="30">
        <f t="shared" si="13"/>
        <v>0.28110665810131341</v>
      </c>
      <c r="T15" s="3">
        <f t="shared" si="9"/>
        <v>0.38037721676760827</v>
      </c>
      <c r="U15" s="30">
        <f t="shared" si="10"/>
        <v>0.65291789401287681</v>
      </c>
      <c r="V15" s="30">
        <f t="shared" si="11"/>
        <v>-5.9244756231364715E-3</v>
      </c>
      <c r="W15" s="30">
        <f t="shared" si="12"/>
        <v>-4.5477332996768927E-2</v>
      </c>
    </row>
    <row r="16" spans="1:26" x14ac:dyDescent="0.5">
      <c r="A16">
        <v>1993</v>
      </c>
      <c r="B16" s="73">
        <f>'Minimum Deflation Total'!D16</f>
        <v>10914.188058165182</v>
      </c>
      <c r="C16" s="73">
        <f>Data!AD536*251.1 / CPI!B82</f>
        <v>39142.581876124568</v>
      </c>
      <c r="D16" s="73">
        <f>Data!Y95*251.1 / CPI!B82</f>
        <v>701979.15674740484</v>
      </c>
      <c r="E16" s="3">
        <f t="shared" si="0"/>
        <v>10.334166697191041</v>
      </c>
      <c r="F16" s="3">
        <f t="shared" si="1"/>
        <v>0.69397335213586364</v>
      </c>
      <c r="G16" s="73">
        <f t="shared" si="2"/>
        <v>74871.555653211573</v>
      </c>
      <c r="H16" s="73">
        <f t="shared" si="2"/>
        <v>154599.02825514466</v>
      </c>
      <c r="I16" s="75">
        <f t="shared" si="3"/>
        <v>0.58757821340873828</v>
      </c>
      <c r="J16" s="75">
        <f t="shared" si="3"/>
        <v>1.632374521904977</v>
      </c>
      <c r="K16" s="76">
        <f t="shared" si="4"/>
        <v>0.72159228095040295</v>
      </c>
      <c r="L16" s="76">
        <f t="shared" si="4"/>
        <v>0.94869969349815564</v>
      </c>
      <c r="M16" s="30">
        <f>Data!L212</f>
        <v>9.0899995999999997E-2</v>
      </c>
      <c r="N16" s="30">
        <f>Data!L329 - M16</f>
        <v>0.22650001400000003</v>
      </c>
      <c r="O16" s="30">
        <f t="shared" si="5"/>
        <v>0.68259999000000005</v>
      </c>
      <c r="P16" s="77">
        <f t="shared" si="6"/>
        <v>0.72159228095040295</v>
      </c>
      <c r="Q16" s="77">
        <f t="shared" si="7"/>
        <v>0.22710741254775269</v>
      </c>
      <c r="R16" s="77">
        <f t="shared" si="8"/>
        <v>5.1300306501844362E-2</v>
      </c>
      <c r="S16" s="30">
        <f t="shared" si="13"/>
        <v>0.27840771904959705</v>
      </c>
      <c r="T16" s="3">
        <f t="shared" si="9"/>
        <v>0.37637073566088963</v>
      </c>
      <c r="U16" s="30">
        <f t="shared" si="10"/>
        <v>0.7719191599124644</v>
      </c>
      <c r="V16" s="30">
        <f t="shared" si="11"/>
        <v>-2.6744990000048263E-3</v>
      </c>
      <c r="W16" s="30">
        <f t="shared" si="12"/>
        <v>-5.4036457955241035E-2</v>
      </c>
    </row>
    <row r="17" spans="1:23" x14ac:dyDescent="0.5">
      <c r="A17" s="1">
        <v>1994</v>
      </c>
      <c r="B17" s="73">
        <f>'Minimum Deflation Total'!D17</f>
        <v>11132.471819328486</v>
      </c>
      <c r="C17" s="73">
        <f>Data!AD537*251.1 / CPI!B83</f>
        <v>38906.945344129555</v>
      </c>
      <c r="D17" s="73">
        <f>Data!Y96*251.1 / CPI!B83</f>
        <v>710235.8586437247</v>
      </c>
      <c r="E17" s="3">
        <f t="shared" si="0"/>
        <v>10.329065568684529</v>
      </c>
      <c r="F17" s="3">
        <f t="shared" si="1"/>
        <v>0.69262181388676292</v>
      </c>
      <c r="G17" s="73">
        <f t="shared" si="2"/>
        <v>74361.687750678189</v>
      </c>
      <c r="H17" s="73">
        <f t="shared" si="2"/>
        <v>153329.55726085856</v>
      </c>
      <c r="I17" s="75">
        <f t="shared" si="3"/>
        <v>0.5889297516578379</v>
      </c>
      <c r="J17" s="75">
        <f t="shared" si="3"/>
        <v>1.6337260601540788</v>
      </c>
      <c r="K17" s="76">
        <f t="shared" si="4"/>
        <v>0.72204580065088009</v>
      </c>
      <c r="L17" s="76">
        <f t="shared" si="4"/>
        <v>0.94884180807816176</v>
      </c>
      <c r="M17" s="30">
        <f>Data!L213</f>
        <v>9.1799996999999994E-2</v>
      </c>
      <c r="N17" s="30">
        <f>Data!L330 - M17</f>
        <v>0.22570000300000001</v>
      </c>
      <c r="O17" s="30">
        <f t="shared" si="5"/>
        <v>0.6825</v>
      </c>
      <c r="P17" s="77">
        <f t="shared" si="6"/>
        <v>0.72204580065088009</v>
      </c>
      <c r="Q17" s="77">
        <f t="shared" si="7"/>
        <v>0.22679600742728168</v>
      </c>
      <c r="R17" s="77">
        <f t="shared" si="8"/>
        <v>5.1158191921838236E-2</v>
      </c>
      <c r="S17" s="30">
        <f t="shared" si="13"/>
        <v>0.27795419934911991</v>
      </c>
      <c r="T17" s="3">
        <f t="shared" si="9"/>
        <v>0.37569454957709314</v>
      </c>
      <c r="U17" s="30">
        <f t="shared" si="10"/>
        <v>0.79443396162741875</v>
      </c>
      <c r="V17" s="30">
        <f t="shared" si="11"/>
        <v>-4.8325560917693577E-3</v>
      </c>
      <c r="W17" s="30">
        <f t="shared" si="12"/>
        <v>-5.4769102756683785E-2</v>
      </c>
    </row>
    <row r="18" spans="1:23" x14ac:dyDescent="0.5">
      <c r="A18">
        <v>1995</v>
      </c>
      <c r="B18" s="73">
        <f>'Minimum Deflation Total'!D18</f>
        <v>11355.121255715056</v>
      </c>
      <c r="C18" s="73">
        <f>Data!AD538*251.1 / CPI!B84</f>
        <v>38576.308464566922</v>
      </c>
      <c r="D18" s="73">
        <f>Data!Y97*251.1 / CPI!B84</f>
        <v>714400.6062401575</v>
      </c>
      <c r="E18" s="3">
        <f t="shared" si="0"/>
        <v>10.322139425145954</v>
      </c>
      <c r="F18" s="3">
        <f t="shared" si="1"/>
        <v>0.69029583734053224</v>
      </c>
      <c r="G18" s="73">
        <f t="shared" si="2"/>
        <v>73628.623560088323</v>
      </c>
      <c r="H18" s="73">
        <f t="shared" si="2"/>
        <v>151449.52480319259</v>
      </c>
      <c r="I18" s="75">
        <f t="shared" si="3"/>
        <v>0.59125572820406835</v>
      </c>
      <c r="J18" s="75">
        <f t="shared" si="3"/>
        <v>1.6360520367003095</v>
      </c>
      <c r="K18" s="76">
        <f t="shared" si="4"/>
        <v>0.72282545591174041</v>
      </c>
      <c r="L18" s="76">
        <f t="shared" si="4"/>
        <v>0.9490856514238617</v>
      </c>
      <c r="M18" s="30">
        <f>Data!L214</f>
        <v>9.2299997999999994E-2</v>
      </c>
      <c r="N18" s="30">
        <f>Data!L331 - M18</f>
        <v>0.224799992</v>
      </c>
      <c r="O18" s="30">
        <f t="shared" si="5"/>
        <v>0.68290001</v>
      </c>
      <c r="P18" s="77">
        <f t="shared" si="6"/>
        <v>0.72282545591174041</v>
      </c>
      <c r="Q18" s="77">
        <f t="shared" si="7"/>
        <v>0.22626019551212129</v>
      </c>
      <c r="R18" s="77">
        <f t="shared" si="8"/>
        <v>5.0914348576138302E-2</v>
      </c>
      <c r="S18" s="30">
        <f t="shared" si="13"/>
        <v>0.27717454408825959</v>
      </c>
      <c r="T18" s="3">
        <f t="shared" si="9"/>
        <v>0.37453010278790755</v>
      </c>
      <c r="U18" s="30">
        <f t="shared" si="10"/>
        <v>0.81284845198348732</v>
      </c>
      <c r="V18" s="30">
        <f t="shared" si="11"/>
        <v>-6.4536473541721984E-3</v>
      </c>
      <c r="W18" s="30">
        <f t="shared" si="12"/>
        <v>-5.5235251588338419E-2</v>
      </c>
    </row>
    <row r="19" spans="1:23" x14ac:dyDescent="0.5">
      <c r="A19" s="1">
        <v>1996</v>
      </c>
      <c r="B19" s="73">
        <f>'Minimum Deflation Total'!D19</f>
        <v>11582.223680829356</v>
      </c>
      <c r="C19" s="73">
        <f>Data!AD539*251.1 / CPI!B85</f>
        <v>38086.219049713189</v>
      </c>
      <c r="D19" s="73">
        <f>Data!Y98*251.1 / CPI!B85</f>
        <v>775621.47768642451</v>
      </c>
      <c r="E19" s="3">
        <f t="shared" si="0"/>
        <v>10.302118347870328</v>
      </c>
      <c r="F19" s="3">
        <f t="shared" si="1"/>
        <v>0.70069885554579392</v>
      </c>
      <c r="G19" s="73">
        <f t="shared" ref="G19:H37" si="14">_xlfn.LOGNORM.INV(G$2,$E19,$F19)</f>
        <v>73137.759863400963</v>
      </c>
      <c r="H19" s="73">
        <f t="shared" si="14"/>
        <v>152083.90297794761</v>
      </c>
      <c r="I19" s="75">
        <f t="shared" ref="I19:J37" si="15">(LN(G19)-($E19+$F19^2))/$F19</f>
        <v>0.58085270999880545</v>
      </c>
      <c r="J19" s="75">
        <f t="shared" si="15"/>
        <v>1.6256490184950472</v>
      </c>
      <c r="K19" s="76">
        <f t="shared" ref="K19:L37" si="16">_xlfn.NORM.DIST(I19,0,1,TRUE)</f>
        <v>0.71933013668899126</v>
      </c>
      <c r="L19" s="76">
        <f t="shared" si="16"/>
        <v>0.94798782943696858</v>
      </c>
      <c r="M19" s="30">
        <f>Data!L215</f>
        <v>0.1003</v>
      </c>
      <c r="N19" s="30">
        <f>Data!L332 - M19</f>
        <v>0.22199998999999998</v>
      </c>
      <c r="O19" s="30">
        <f t="shared" si="5"/>
        <v>0.67770000999999991</v>
      </c>
      <c r="P19" s="77">
        <f t="shared" si="6"/>
        <v>0.71933013668899126</v>
      </c>
      <c r="Q19" s="77">
        <f t="shared" si="7"/>
        <v>0.22865769274797731</v>
      </c>
      <c r="R19" s="77">
        <f t="shared" si="8"/>
        <v>5.2012170563031423E-2</v>
      </c>
      <c r="S19" s="30">
        <f t="shared" si="13"/>
        <v>0.28066986331100874</v>
      </c>
      <c r="T19" s="3">
        <f t="shared" si="9"/>
        <v>0.37973083894427417</v>
      </c>
      <c r="U19" s="30">
        <f t="shared" si="10"/>
        <v>0.92839481441080274</v>
      </c>
      <c r="V19" s="30">
        <f t="shared" si="11"/>
        <v>-2.9116460802022237E-2</v>
      </c>
      <c r="W19" s="30">
        <f t="shared" si="12"/>
        <v>-5.7873463887681553E-2</v>
      </c>
    </row>
    <row r="20" spans="1:23" x14ac:dyDescent="0.5">
      <c r="A20">
        <v>1997</v>
      </c>
      <c r="B20" s="73">
        <f>'Minimum Deflation Total'!D20</f>
        <v>11813.868154445943</v>
      </c>
      <c r="C20" s="73">
        <f>Data!AD540*251.1 / CPI!B86</f>
        <v>38172.364368224298</v>
      </c>
      <c r="D20" s="73">
        <f>Data!Y99*251.1 / CPI!B86</f>
        <v>819795.98910280364</v>
      </c>
      <c r="E20" s="3">
        <f t="shared" si="0"/>
        <v>10.300203942790409</v>
      </c>
      <c r="F20" s="3">
        <f t="shared" si="1"/>
        <v>0.70663023446923068</v>
      </c>
      <c r="G20" s="73">
        <f t="shared" si="14"/>
        <v>73554.876527097571</v>
      </c>
      <c r="H20" s="73">
        <f t="shared" si="14"/>
        <v>153902.05714178603</v>
      </c>
      <c r="I20" s="75">
        <f t="shared" si="15"/>
        <v>0.5749213310753688</v>
      </c>
      <c r="J20" s="75">
        <f t="shared" si="15"/>
        <v>1.6197176395716109</v>
      </c>
      <c r="K20" s="76">
        <f t="shared" si="16"/>
        <v>0.71732774861424797</v>
      </c>
      <c r="L20" s="76">
        <f t="shared" si="16"/>
        <v>0.94735352738351397</v>
      </c>
      <c r="M20" s="30">
        <f>Data!L216</f>
        <v>0.10440000000000001</v>
      </c>
      <c r="N20" s="30">
        <f>Data!L333 - M20</f>
        <v>0.22050000000000003</v>
      </c>
      <c r="O20" s="30">
        <f t="shared" si="5"/>
        <v>0.67509999999999992</v>
      </c>
      <c r="P20" s="77">
        <f t="shared" si="6"/>
        <v>0.71732774861424797</v>
      </c>
      <c r="Q20" s="77">
        <f t="shared" si="7"/>
        <v>0.230025778769266</v>
      </c>
      <c r="R20" s="77">
        <f t="shared" si="8"/>
        <v>5.2646472616486029E-2</v>
      </c>
      <c r="S20" s="30">
        <f t="shared" si="13"/>
        <v>0.28267225138575203</v>
      </c>
      <c r="T20" s="3">
        <f t="shared" si="9"/>
        <v>0.38268763206850798</v>
      </c>
      <c r="U20" s="30">
        <f t="shared" si="10"/>
        <v>0.98303884023765664</v>
      </c>
      <c r="V20" s="30">
        <f t="shared" si="11"/>
        <v>-4.1411787931912913E-2</v>
      </c>
      <c r="W20" s="30">
        <f t="shared" si="12"/>
        <v>-5.8868137606309934E-2</v>
      </c>
    </row>
    <row r="21" spans="1:23" x14ac:dyDescent="0.5">
      <c r="A21" s="1">
        <v>1998</v>
      </c>
      <c r="B21" s="73">
        <f>'Minimum Deflation Total'!D21</f>
        <v>12050.145517534862</v>
      </c>
      <c r="C21" s="73">
        <f>Data!AD541*251.1 / CPI!B87</f>
        <v>38917.1124607362</v>
      </c>
      <c r="D21" s="73">
        <f>Data!Y100*251.1 / CPI!B87</f>
        <v>863283.54075460124</v>
      </c>
      <c r="E21" s="3">
        <f t="shared" si="0"/>
        <v>10.315756921191163</v>
      </c>
      <c r="F21" s="3">
        <f t="shared" si="1"/>
        <v>0.71194440892547972</v>
      </c>
      <c r="G21" s="73">
        <f t="shared" si="14"/>
        <v>75218.342245139705</v>
      </c>
      <c r="H21" s="73">
        <f t="shared" si="14"/>
        <v>158258.85327862873</v>
      </c>
      <c r="I21" s="75">
        <f t="shared" si="15"/>
        <v>0.56960715661912031</v>
      </c>
      <c r="J21" s="75">
        <f t="shared" si="15"/>
        <v>1.6144034651153596</v>
      </c>
      <c r="K21" s="76">
        <f t="shared" si="16"/>
        <v>0.71552791329858545</v>
      </c>
      <c r="L21" s="76">
        <f t="shared" si="16"/>
        <v>0.94678002969425812</v>
      </c>
      <c r="M21" s="30">
        <f>Data!L217</f>
        <v>0.1067</v>
      </c>
      <c r="N21" s="30">
        <f>Data!L334 - M21</f>
        <v>0.22099998999999998</v>
      </c>
      <c r="O21" s="30">
        <f t="shared" si="5"/>
        <v>0.67230001000000006</v>
      </c>
      <c r="P21" s="77">
        <f t="shared" si="6"/>
        <v>0.71552791329858545</v>
      </c>
      <c r="Q21" s="77">
        <f t="shared" si="7"/>
        <v>0.23125211639567267</v>
      </c>
      <c r="R21" s="77">
        <f t="shared" si="8"/>
        <v>5.3219970305741882E-2</v>
      </c>
      <c r="S21" s="30">
        <f t="shared" si="13"/>
        <v>0.28447208670141455</v>
      </c>
      <c r="T21" s="3">
        <f t="shared" si="9"/>
        <v>0.38533149258772892</v>
      </c>
      <c r="U21" s="30">
        <f t="shared" si="10"/>
        <v>1.0048865000679674</v>
      </c>
      <c r="V21" s="30">
        <f t="shared" si="11"/>
        <v>-4.4333113813026848E-2</v>
      </c>
      <c r="W21" s="30">
        <f t="shared" si="12"/>
        <v>-6.0413999922525274E-2</v>
      </c>
    </row>
    <row r="22" spans="1:23" x14ac:dyDescent="0.5">
      <c r="A22">
        <v>1999</v>
      </c>
      <c r="B22" s="73">
        <f>'Minimum Deflation Total'!D22</f>
        <v>12291.148427885559</v>
      </c>
      <c r="C22" s="73">
        <f>Data!AD542*251.1 / CPI!B88</f>
        <v>39520.21602641057</v>
      </c>
      <c r="D22" s="73">
        <f>Data!Y101*251.1 / CPI!B88</f>
        <v>864405.1635234094</v>
      </c>
      <c r="E22" s="3">
        <f t="shared" si="0"/>
        <v>10.33332610427</v>
      </c>
      <c r="F22" s="3">
        <f t="shared" si="1"/>
        <v>0.70886037247428446</v>
      </c>
      <c r="G22" s="73">
        <f t="shared" si="14"/>
        <v>76249.582905809104</v>
      </c>
      <c r="H22" s="73">
        <f t="shared" si="14"/>
        <v>159912.47683540641</v>
      </c>
      <c r="I22" s="75">
        <f t="shared" si="15"/>
        <v>0.57269119307031602</v>
      </c>
      <c r="J22" s="75">
        <f t="shared" si="15"/>
        <v>1.6174875015665577</v>
      </c>
      <c r="K22" s="76">
        <f t="shared" si="16"/>
        <v>0.71657309922007517</v>
      </c>
      <c r="L22" s="76">
        <f t="shared" si="16"/>
        <v>0.94711345429559701</v>
      </c>
      <c r="M22" s="30">
        <f>Data!L218</f>
        <v>0.106</v>
      </c>
      <c r="N22" s="30">
        <f>Data!L335 - M22</f>
        <v>0.22140000000000004</v>
      </c>
      <c r="O22" s="30">
        <f t="shared" si="5"/>
        <v>0.67259999999999998</v>
      </c>
      <c r="P22" s="77">
        <f t="shared" si="6"/>
        <v>0.71657309922007517</v>
      </c>
      <c r="Q22" s="77">
        <f t="shared" si="7"/>
        <v>0.23054035507552184</v>
      </c>
      <c r="R22" s="77">
        <f t="shared" si="8"/>
        <v>5.2886545704402987E-2</v>
      </c>
      <c r="S22" s="30">
        <f t="shared" si="13"/>
        <v>0.28342690077992483</v>
      </c>
      <c r="T22" s="3">
        <f t="shared" si="9"/>
        <v>0.38379775703897812</v>
      </c>
      <c r="U22" s="30">
        <f t="shared" si="10"/>
        <v>1.0042904785739322</v>
      </c>
      <c r="V22" s="30">
        <f t="shared" si="11"/>
        <v>-3.9647527533856475E-2</v>
      </c>
      <c r="W22" s="30">
        <f t="shared" si="12"/>
        <v>-6.13658247399127E-2</v>
      </c>
    </row>
    <row r="23" spans="1:23" x14ac:dyDescent="0.5">
      <c r="A23" s="1">
        <v>2000</v>
      </c>
      <c r="B23" s="73">
        <f>'Minimum Deflation Total'!D23</f>
        <v>12536.97139644327</v>
      </c>
      <c r="C23" s="73">
        <f>Data!AD543*251.1 / CPI!B89</f>
        <v>39320.772648083628</v>
      </c>
      <c r="D23" s="73">
        <f>Data!Y102*251.1 / CPI!B89</f>
        <v>901034.69958188164</v>
      </c>
      <c r="E23" s="3">
        <f t="shared" si="0"/>
        <v>10.325696512854403</v>
      </c>
      <c r="F23" s="3">
        <f t="shared" si="1"/>
        <v>0.71247696309436925</v>
      </c>
      <c r="G23" s="73">
        <f t="shared" si="14"/>
        <v>76021.576502322438</v>
      </c>
      <c r="H23" s="73">
        <f t="shared" si="14"/>
        <v>160037.87440778979</v>
      </c>
      <c r="I23" s="75">
        <f t="shared" si="15"/>
        <v>0.56907460245023034</v>
      </c>
      <c r="J23" s="75">
        <f t="shared" si="15"/>
        <v>1.6138709109464704</v>
      </c>
      <c r="K23" s="76">
        <f t="shared" si="16"/>
        <v>0.71534724340780176</v>
      </c>
      <c r="L23" s="76">
        <f t="shared" si="16"/>
        <v>0.94672228527705626</v>
      </c>
      <c r="M23" s="30">
        <f>Data!L219</f>
        <v>0.1103</v>
      </c>
      <c r="N23" s="30">
        <f>Data!L336 - M23</f>
        <v>0.22060001000000001</v>
      </c>
      <c r="O23" s="30">
        <f t="shared" si="5"/>
        <v>0.66909998999999998</v>
      </c>
      <c r="P23" s="77">
        <f t="shared" si="6"/>
        <v>0.71534724340780176</v>
      </c>
      <c r="Q23" s="77">
        <f t="shared" si="7"/>
        <v>0.23137504186925451</v>
      </c>
      <c r="R23" s="77">
        <f t="shared" si="8"/>
        <v>5.3277714722943736E-2</v>
      </c>
      <c r="S23" s="30">
        <f t="shared" si="13"/>
        <v>0.28465275659219824</v>
      </c>
      <c r="T23" s="3">
        <f t="shared" si="9"/>
        <v>0.38559616917502737</v>
      </c>
      <c r="U23" s="30">
        <f t="shared" si="10"/>
        <v>1.070283993478045</v>
      </c>
      <c r="V23" s="30">
        <f t="shared" si="11"/>
        <v>-4.6569551245476348E-2</v>
      </c>
      <c r="W23" s="30">
        <f t="shared" si="12"/>
        <v>-6.4650075657644468E-2</v>
      </c>
    </row>
    <row r="24" spans="1:23" x14ac:dyDescent="0.5">
      <c r="A24">
        <v>2001</v>
      </c>
      <c r="B24" s="73">
        <f>'Minimum Deflation Total'!D24</f>
        <v>12787.710824372136</v>
      </c>
      <c r="C24" s="73">
        <f>Data!AD544*251.1 / CPI!B90</f>
        <v>38578.658046301527</v>
      </c>
      <c r="D24" s="73">
        <f>Data!Y103*251.1 / CPI!B90</f>
        <v>898320.96889328083</v>
      </c>
      <c r="E24" s="3">
        <f t="shared" si="0"/>
        <v>10.309345223262</v>
      </c>
      <c r="F24" s="3">
        <f t="shared" si="1"/>
        <v>0.70867380215480791</v>
      </c>
      <c r="G24" s="73">
        <f t="shared" si="14"/>
        <v>74425.00431590293</v>
      </c>
      <c r="H24" s="73">
        <f t="shared" si="14"/>
        <v>156055.5037612028</v>
      </c>
      <c r="I24" s="75">
        <f t="shared" si="15"/>
        <v>0.57287776338979235</v>
      </c>
      <c r="J24" s="75">
        <f t="shared" si="15"/>
        <v>1.617674071886033</v>
      </c>
      <c r="K24" s="76">
        <f t="shared" si="16"/>
        <v>0.71663626916624223</v>
      </c>
      <c r="L24" s="76">
        <f t="shared" si="16"/>
        <v>0.94713357171113288</v>
      </c>
      <c r="M24" s="30">
        <f>Data!L220</f>
        <v>0.1132</v>
      </c>
      <c r="N24" s="30">
        <f>Data!L337 - M24</f>
        <v>0.22099999000000001</v>
      </c>
      <c r="O24" s="30">
        <f t="shared" si="5"/>
        <v>0.66580001</v>
      </c>
      <c r="P24" s="77">
        <f t="shared" si="6"/>
        <v>0.71663626916624223</v>
      </c>
      <c r="Q24" s="77">
        <f t="shared" si="7"/>
        <v>0.23049730254489065</v>
      </c>
      <c r="R24" s="77">
        <f t="shared" si="8"/>
        <v>5.2866428288867118E-2</v>
      </c>
      <c r="S24" s="30">
        <f t="shared" si="13"/>
        <v>0.28336373083375777</v>
      </c>
      <c r="T24" s="3">
        <f t="shared" si="9"/>
        <v>0.38370491908187532</v>
      </c>
      <c r="U24" s="30">
        <f t="shared" si="10"/>
        <v>1.1412454683237647</v>
      </c>
      <c r="V24" s="30">
        <f t="shared" si="11"/>
        <v>-4.120357349102155E-2</v>
      </c>
      <c r="W24" s="30">
        <f t="shared" si="12"/>
        <v>-7.0937323930571949E-2</v>
      </c>
    </row>
    <row r="25" spans="1:23" x14ac:dyDescent="0.5">
      <c r="A25" s="1">
        <v>2002</v>
      </c>
      <c r="B25" s="73">
        <f>'Minimum Deflation Total'!D25</f>
        <v>13043.465040859579</v>
      </c>
      <c r="C25" s="73">
        <f>Data!AD545*251.1 / CPI!B91</f>
        <v>37700.592273485265</v>
      </c>
      <c r="D25" s="73">
        <f>Data!Y104*251.1 / CPI!B91</f>
        <v>835448.54443023901</v>
      </c>
      <c r="E25" s="3">
        <f t="shared" si="0"/>
        <v>10.297112329302225</v>
      </c>
      <c r="F25" s="3">
        <f t="shared" si="1"/>
        <v>0.69328025239797009</v>
      </c>
      <c r="G25" s="73">
        <f t="shared" si="14"/>
        <v>72083.952243344887</v>
      </c>
      <c r="H25" s="73">
        <f t="shared" si="14"/>
        <v>148735.28149549189</v>
      </c>
      <c r="I25" s="75">
        <f t="shared" si="15"/>
        <v>0.58827131314663039</v>
      </c>
      <c r="J25" s="75">
        <f t="shared" si="15"/>
        <v>1.6330676216428721</v>
      </c>
      <c r="K25" s="76">
        <f t="shared" si="16"/>
        <v>0.72182490127139687</v>
      </c>
      <c r="L25" s="76">
        <f t="shared" si="16"/>
        <v>0.94877261228856724</v>
      </c>
      <c r="M25" s="30">
        <f>Data!L221</f>
        <v>0.1095</v>
      </c>
      <c r="N25" s="30">
        <f>Data!L338 - M25</f>
        <v>0.21900000000000003</v>
      </c>
      <c r="O25" s="30">
        <f t="shared" si="5"/>
        <v>0.67149999999999987</v>
      </c>
      <c r="P25" s="77">
        <f t="shared" si="6"/>
        <v>0.72182490127139687</v>
      </c>
      <c r="Q25" s="77">
        <f t="shared" si="7"/>
        <v>0.22694771101717037</v>
      </c>
      <c r="R25" s="77">
        <f t="shared" si="8"/>
        <v>5.1227387711432759E-2</v>
      </c>
      <c r="S25" s="30">
        <f t="shared" si="13"/>
        <v>0.27817509872860313</v>
      </c>
      <c r="T25" s="3">
        <f t="shared" si="9"/>
        <v>0.37602401153932141</v>
      </c>
      <c r="U25" s="30">
        <f t="shared" si="10"/>
        <v>1.1375284763068674</v>
      </c>
      <c r="V25" s="30">
        <f t="shared" si="11"/>
        <v>-3.5020009594055934E-2</v>
      </c>
      <c r="W25" s="30">
        <f t="shared" si="12"/>
        <v>-6.9718987503418761E-2</v>
      </c>
    </row>
    <row r="26" spans="1:23" x14ac:dyDescent="0.5">
      <c r="A26">
        <v>2003</v>
      </c>
      <c r="B26" s="73">
        <f>'Minimum Deflation Total'!D26</f>
        <v>13304.334341676771</v>
      </c>
      <c r="C26" s="73">
        <f>Data!AD546*251.1 / CPI!B92</f>
        <v>36937.357234239127</v>
      </c>
      <c r="D26" s="73">
        <f>Data!Y105*251.1 / CPI!B92</f>
        <v>859972.30199999991</v>
      </c>
      <c r="E26" s="3">
        <f t="shared" si="0"/>
        <v>10.275603995263891</v>
      </c>
      <c r="F26" s="3">
        <f t="shared" si="1"/>
        <v>0.69480171821058911</v>
      </c>
      <c r="G26" s="73">
        <f t="shared" si="14"/>
        <v>70687.796331193618</v>
      </c>
      <c r="H26" s="73">
        <f t="shared" si="14"/>
        <v>146086.54445378744</v>
      </c>
      <c r="I26" s="75">
        <f t="shared" si="15"/>
        <v>0.58674984733401159</v>
      </c>
      <c r="J26" s="75">
        <f t="shared" si="15"/>
        <v>1.6315461558302526</v>
      </c>
      <c r="K26" s="76">
        <f t="shared" si="16"/>
        <v>0.72131413782391252</v>
      </c>
      <c r="L26" s="76">
        <f t="shared" si="16"/>
        <v>0.94861243548340723</v>
      </c>
      <c r="M26" s="30">
        <f>Data!L222</f>
        <v>0.1135</v>
      </c>
      <c r="N26" s="30">
        <f>Data!L339 - M26</f>
        <v>0.21900001000000002</v>
      </c>
      <c r="O26" s="30">
        <f t="shared" si="5"/>
        <v>0.66749998999999993</v>
      </c>
      <c r="P26" s="77">
        <f t="shared" si="6"/>
        <v>0.72131413782391252</v>
      </c>
      <c r="Q26" s="77">
        <f t="shared" si="7"/>
        <v>0.22729829765949472</v>
      </c>
      <c r="R26" s="77">
        <f t="shared" si="8"/>
        <v>5.1387564516592765E-2</v>
      </c>
      <c r="S26" s="30">
        <f t="shared" si="13"/>
        <v>0.27868586217608748</v>
      </c>
      <c r="T26" s="3">
        <f t="shared" si="9"/>
        <v>0.37678501758156546</v>
      </c>
      <c r="U26" s="30">
        <f t="shared" si="10"/>
        <v>1.2087055704566709</v>
      </c>
      <c r="V26" s="30">
        <f t="shared" si="11"/>
        <v>-3.6508358157288034E-2</v>
      </c>
      <c r="W26" s="30">
        <f t="shared" si="12"/>
        <v>-7.4605702289797238E-2</v>
      </c>
    </row>
    <row r="27" spans="1:23" x14ac:dyDescent="0.5">
      <c r="A27" s="1">
        <v>2004</v>
      </c>
      <c r="B27" s="73">
        <f>'Minimum Deflation Total'!D27</f>
        <v>13570.421028510307</v>
      </c>
      <c r="C27" s="73">
        <f>Data!AD547*251.1 / CPI!B93</f>
        <v>36786.8811011117</v>
      </c>
      <c r="D27" s="73">
        <f>Data!Y106*251.1 / CPI!B93</f>
        <v>882152.09128110099</v>
      </c>
      <c r="E27" s="3">
        <f t="shared" si="0"/>
        <v>10.270865786620471</v>
      </c>
      <c r="F27" s="3">
        <f t="shared" si="1"/>
        <v>0.69574533007505013</v>
      </c>
      <c r="G27" s="73">
        <f t="shared" si="14"/>
        <v>70438.784285710673</v>
      </c>
      <c r="H27" s="73">
        <f t="shared" si="14"/>
        <v>145715.51262051528</v>
      </c>
      <c r="I27" s="75">
        <f t="shared" si="15"/>
        <v>0.5858062354695498</v>
      </c>
      <c r="J27" s="75">
        <f t="shared" si="15"/>
        <v>1.6306025439657887</v>
      </c>
      <c r="K27" s="76">
        <f t="shared" si="16"/>
        <v>0.72099713350674799</v>
      </c>
      <c r="L27" s="76">
        <f t="shared" si="16"/>
        <v>0.9485128939794869</v>
      </c>
      <c r="M27" s="30">
        <f>Data!L223</f>
        <v>0.1162</v>
      </c>
      <c r="N27" s="30">
        <f>Data!L340 - M27</f>
        <v>0.21909999999999999</v>
      </c>
      <c r="O27" s="30">
        <f t="shared" si="5"/>
        <v>0.66470000000000007</v>
      </c>
      <c r="P27" s="77">
        <f t="shared" si="6"/>
        <v>0.72099713350674799</v>
      </c>
      <c r="Q27" s="77">
        <f t="shared" si="7"/>
        <v>0.22751576047273891</v>
      </c>
      <c r="R27" s="77">
        <f t="shared" si="8"/>
        <v>5.1487106020513096E-2</v>
      </c>
      <c r="S27" s="30">
        <f t="shared" si="13"/>
        <v>0.27900286649325201</v>
      </c>
      <c r="T27" s="3">
        <f t="shared" si="9"/>
        <v>0.37725679091559772</v>
      </c>
      <c r="U27" s="30">
        <f t="shared" si="10"/>
        <v>1.256875730279043</v>
      </c>
      <c r="V27" s="30">
        <f t="shared" si="11"/>
        <v>-3.6989791191838317E-2</v>
      </c>
      <c r="W27" s="30">
        <f t="shared" si="12"/>
        <v>-7.8082326392801105E-2</v>
      </c>
    </row>
    <row r="28" spans="1:23" x14ac:dyDescent="0.5">
      <c r="A28">
        <v>2005</v>
      </c>
      <c r="B28" s="73">
        <f>'Minimum Deflation Total'!D28</f>
        <v>13841.829449080513</v>
      </c>
      <c r="C28" s="73">
        <f>Data!AD548*251.1 / CPI!B94</f>
        <v>35948.571428571428</v>
      </c>
      <c r="D28" s="73">
        <f>Data!Y107*251.1 / CPI!B94</f>
        <v>869464.68428571429</v>
      </c>
      <c r="E28" s="3">
        <f t="shared" si="0"/>
        <v>10.251773626341961</v>
      </c>
      <c r="F28" s="3">
        <f t="shared" si="1"/>
        <v>0.69003043162847766</v>
      </c>
      <c r="G28" s="73">
        <f t="shared" si="14"/>
        <v>68602.427972230391</v>
      </c>
      <c r="H28" s="73">
        <f t="shared" si="14"/>
        <v>141071.82742073899</v>
      </c>
      <c r="I28" s="75">
        <f t="shared" si="15"/>
        <v>0.59152113391612215</v>
      </c>
      <c r="J28" s="75">
        <f t="shared" si="15"/>
        <v>1.6363174424123632</v>
      </c>
      <c r="K28" s="76">
        <f t="shared" si="16"/>
        <v>0.72291435047374009</v>
      </c>
      <c r="L28" s="76">
        <f t="shared" si="16"/>
        <v>0.94911341627476808</v>
      </c>
      <c r="M28" s="30">
        <f>Data!L224</f>
        <v>0.1147</v>
      </c>
      <c r="N28" s="30">
        <f>Data!L341 - M28</f>
        <v>0.21909998999999999</v>
      </c>
      <c r="O28" s="30">
        <f t="shared" si="5"/>
        <v>0.66620000999999995</v>
      </c>
      <c r="P28" s="77">
        <f t="shared" si="6"/>
        <v>0.72291435047374009</v>
      </c>
      <c r="Q28" s="77">
        <f t="shared" si="7"/>
        <v>0.226199065801028</v>
      </c>
      <c r="R28" s="77">
        <f t="shared" si="8"/>
        <v>5.0886583725231915E-2</v>
      </c>
      <c r="S28" s="30">
        <f t="shared" si="13"/>
        <v>0.27708564952625991</v>
      </c>
      <c r="T28" s="3">
        <f t="shared" si="9"/>
        <v>0.37439717401908235</v>
      </c>
      <c r="U28" s="30">
        <f t="shared" si="10"/>
        <v>1.2540322341019414</v>
      </c>
      <c r="V28" s="30">
        <f t="shared" si="11"/>
        <v>-3.1384195933296111E-2</v>
      </c>
      <c r="W28" s="30">
        <f t="shared" si="12"/>
        <v>-7.84523649815142E-2</v>
      </c>
    </row>
    <row r="29" spans="1:23" x14ac:dyDescent="0.5">
      <c r="A29" s="1">
        <v>2006</v>
      </c>
      <c r="B29" s="73">
        <f>'Minimum Deflation Total'!D29</f>
        <v>14118.666038062123</v>
      </c>
      <c r="C29" s="73">
        <f>Data!AD549*251.1 / CPI!B95</f>
        <v>35434.245535714283</v>
      </c>
      <c r="D29" s="73">
        <f>Data!Y108*251.1 / CPI!B95</f>
        <v>814649.02352678578</v>
      </c>
      <c r="E29" s="3">
        <f t="shared" si="0"/>
        <v>10.247029428036852</v>
      </c>
      <c r="F29" s="3">
        <f t="shared" si="1"/>
        <v>0.67587660335494848</v>
      </c>
      <c r="G29" s="73">
        <f t="shared" si="14"/>
        <v>67050.419631829063</v>
      </c>
      <c r="H29" s="73">
        <f t="shared" si="14"/>
        <v>135856.37321412165</v>
      </c>
      <c r="I29" s="75">
        <f t="shared" si="15"/>
        <v>0.60567496218965089</v>
      </c>
      <c r="J29" s="75">
        <f t="shared" si="15"/>
        <v>1.6504712706858911</v>
      </c>
      <c r="K29" s="76">
        <f t="shared" si="16"/>
        <v>0.72763469332961528</v>
      </c>
      <c r="L29" s="76">
        <f t="shared" si="16"/>
        <v>0.95057670769264146</v>
      </c>
      <c r="M29" s="30">
        <f>Data!L225</f>
        <v>0.1124</v>
      </c>
      <c r="N29" s="30">
        <f>Data!L342 - M29</f>
        <v>0.21940000999999998</v>
      </c>
      <c r="O29" s="30">
        <f t="shared" si="5"/>
        <v>0.66819998999999997</v>
      </c>
      <c r="P29" s="77">
        <f t="shared" si="6"/>
        <v>0.72763469332961528</v>
      </c>
      <c r="Q29" s="77">
        <f t="shared" si="7"/>
        <v>0.22294201436302619</v>
      </c>
      <c r="R29" s="77">
        <f t="shared" si="8"/>
        <v>4.9423292307358535E-2</v>
      </c>
      <c r="S29" s="30">
        <f t="shared" si="13"/>
        <v>0.27236530667038472</v>
      </c>
      <c r="T29" s="3">
        <f t="shared" si="9"/>
        <v>0.36729066862702675</v>
      </c>
      <c r="U29" s="30">
        <f t="shared" si="10"/>
        <v>1.2742313341044862</v>
      </c>
      <c r="V29" s="30">
        <f t="shared" si="11"/>
        <v>-1.588755880378212E-2</v>
      </c>
      <c r="W29" s="30">
        <f t="shared" si="12"/>
        <v>-8.1682063643289782E-2</v>
      </c>
    </row>
    <row r="30" spans="1:23" x14ac:dyDescent="0.5">
      <c r="A30">
        <v>2007</v>
      </c>
      <c r="B30" s="73">
        <f>'Minimum Deflation Total'!D30</f>
        <v>14401.039358823366</v>
      </c>
      <c r="C30" s="73">
        <f>Data!AD550*251.1 / CPI!B96</f>
        <v>35037.351755426913</v>
      </c>
      <c r="D30" s="73">
        <f>Data!Y109*251.1 / CPI!B96</f>
        <v>832826.9675253256</v>
      </c>
      <c r="E30" s="3">
        <f t="shared" si="0"/>
        <v>10.235510057216541</v>
      </c>
      <c r="F30" s="3">
        <f t="shared" si="1"/>
        <v>0.67625425280964302</v>
      </c>
      <c r="G30" s="73">
        <f t="shared" si="14"/>
        <v>66314.559582491056</v>
      </c>
      <c r="H30" s="73">
        <f t="shared" si="14"/>
        <v>134418.41318494576</v>
      </c>
      <c r="I30" s="75">
        <f t="shared" si="15"/>
        <v>0.60529731273495746</v>
      </c>
      <c r="J30" s="75">
        <f t="shared" si="15"/>
        <v>1.6500936212311981</v>
      </c>
      <c r="K30" s="76">
        <f t="shared" si="16"/>
        <v>0.72750926667924432</v>
      </c>
      <c r="L30" s="76">
        <f t="shared" si="16"/>
        <v>0.95053810539503714</v>
      </c>
      <c r="M30" s="30">
        <f>Data!L226</f>
        <v>0.1169</v>
      </c>
      <c r="N30" s="30">
        <f>Data!L343 - M30</f>
        <v>0.2218</v>
      </c>
      <c r="O30" s="30">
        <f t="shared" si="5"/>
        <v>0.6613</v>
      </c>
      <c r="P30" s="77">
        <f t="shared" si="6"/>
        <v>0.72750926667924432</v>
      </c>
      <c r="Q30" s="77">
        <f t="shared" si="7"/>
        <v>0.22302883871579282</v>
      </c>
      <c r="R30" s="77">
        <f t="shared" si="8"/>
        <v>4.9461894604962864E-2</v>
      </c>
      <c r="S30" s="30">
        <f t="shared" si="13"/>
        <v>0.27249073332075568</v>
      </c>
      <c r="T30" s="3">
        <f t="shared" si="9"/>
        <v>0.3674807277763299</v>
      </c>
      <c r="U30" s="30">
        <f t="shared" si="10"/>
        <v>1.363435548388205</v>
      </c>
      <c r="V30" s="30">
        <f t="shared" si="11"/>
        <v>-5.50977498187466E-3</v>
      </c>
      <c r="W30" s="30">
        <f t="shared" si="12"/>
        <v>-9.1008142042588891E-2</v>
      </c>
    </row>
    <row r="31" spans="1:23" x14ac:dyDescent="0.5">
      <c r="A31" s="1">
        <v>2008</v>
      </c>
      <c r="B31" s="73">
        <f>'Minimum Deflation Total'!D31</f>
        <v>14689.060145999832</v>
      </c>
      <c r="C31" s="73">
        <f>Data!AD551*251.1 / CPI!B97</f>
        <v>33410.060933116583</v>
      </c>
      <c r="D31" s="73">
        <f>Data!Y110*251.1 / CPI!B97</f>
        <v>764280.30093358108</v>
      </c>
      <c r="E31" s="3">
        <f t="shared" si="0"/>
        <v>10.199709956558237</v>
      </c>
      <c r="F31" s="3">
        <f t="shared" si="1"/>
        <v>0.65863859982491613</v>
      </c>
      <c r="G31" s="73">
        <f t="shared" si="14"/>
        <v>62554.239119416103</v>
      </c>
      <c r="H31" s="73">
        <f t="shared" si="14"/>
        <v>124483.99881119415</v>
      </c>
      <c r="I31" s="75">
        <f t="shared" si="15"/>
        <v>0.6229129657196848</v>
      </c>
      <c r="J31" s="75">
        <f t="shared" si="15"/>
        <v>1.6677092742159239</v>
      </c>
      <c r="K31" s="76">
        <f t="shared" si="16"/>
        <v>0.73332914138428018</v>
      </c>
      <c r="L31" s="76">
        <f t="shared" si="16"/>
        <v>0.9523132732642392</v>
      </c>
      <c r="M31" s="30">
        <f>Data!L227</f>
        <v>0.1157</v>
      </c>
      <c r="N31" s="30">
        <f>Data!L344 - M31</f>
        <v>0.22159999999999999</v>
      </c>
      <c r="O31" s="30">
        <f t="shared" si="5"/>
        <v>0.66269999999999996</v>
      </c>
      <c r="P31" s="77">
        <f t="shared" si="6"/>
        <v>0.73332914138428018</v>
      </c>
      <c r="Q31" s="77">
        <f t="shared" si="7"/>
        <v>0.21898413187995902</v>
      </c>
      <c r="R31" s="77">
        <f t="shared" si="8"/>
        <v>4.7686726735760798E-2</v>
      </c>
      <c r="S31" s="30">
        <f t="shared" si="13"/>
        <v>0.26667085861571982</v>
      </c>
      <c r="T31" s="3">
        <f t="shared" si="9"/>
        <v>0.35858966375171386</v>
      </c>
      <c r="U31" s="30">
        <f t="shared" si="10"/>
        <v>1.4262516620423709</v>
      </c>
      <c r="V31" s="30">
        <f t="shared" si="11"/>
        <v>1.194546882271319E-2</v>
      </c>
      <c r="W31" s="30">
        <f t="shared" si="12"/>
        <v>-9.6313016077550162E-2</v>
      </c>
    </row>
    <row r="32" spans="1:23" x14ac:dyDescent="0.5">
      <c r="A32">
        <v>2009</v>
      </c>
      <c r="B32" s="73">
        <f>'Minimum Deflation Total'!D32</f>
        <v>14982.84134891983</v>
      </c>
      <c r="C32" s="73">
        <f>Data!AD552*251.1 / CPI!B98</f>
        <v>31983.935664335666</v>
      </c>
      <c r="D32" s="73">
        <f>Data!Y111*251.1 / CPI!B98</f>
        <v>641100.88749650354</v>
      </c>
      <c r="E32" s="3">
        <f t="shared" si="0"/>
        <v>10.17702170570935</v>
      </c>
      <c r="F32" s="3">
        <f t="shared" si="1"/>
        <v>0.62604686651008645</v>
      </c>
      <c r="G32" s="73">
        <f t="shared" si="14"/>
        <v>58649.424852065553</v>
      </c>
      <c r="H32" s="73">
        <f t="shared" si="14"/>
        <v>112805.96554275606</v>
      </c>
      <c r="I32" s="75">
        <f t="shared" si="15"/>
        <v>0.65550469903451269</v>
      </c>
      <c r="J32" s="75">
        <f t="shared" si="15"/>
        <v>1.7003010075307541</v>
      </c>
      <c r="K32" s="76">
        <f t="shared" si="16"/>
        <v>0.74392856901611093</v>
      </c>
      <c r="L32" s="76">
        <f t="shared" si="16"/>
        <v>0.95546283947965405</v>
      </c>
      <c r="M32" s="30">
        <f>Data!L228</f>
        <v>0.1018</v>
      </c>
      <c r="N32" s="30">
        <f>Data!L345 - M32</f>
        <v>0.21990000999999998</v>
      </c>
      <c r="O32" s="30">
        <f t="shared" si="5"/>
        <v>0.67829999000000007</v>
      </c>
      <c r="P32" s="77">
        <f t="shared" si="6"/>
        <v>0.74392856901611093</v>
      </c>
      <c r="Q32" s="77">
        <f t="shared" si="7"/>
        <v>0.21153427046354312</v>
      </c>
      <c r="R32" s="77">
        <f t="shared" si="8"/>
        <v>4.4537160520345953E-2</v>
      </c>
      <c r="S32" s="30">
        <f t="shared" si="13"/>
        <v>0.25607143098388907</v>
      </c>
      <c r="T32" s="3">
        <f t="shared" si="9"/>
        <v>0.3420042250599189</v>
      </c>
      <c r="U32" s="30">
        <f t="shared" si="10"/>
        <v>1.2857317083224156</v>
      </c>
      <c r="V32" s="30">
        <f t="shared" si="11"/>
        <v>3.9547915891475549E-2</v>
      </c>
      <c r="W32" s="30">
        <f t="shared" si="12"/>
        <v>-8.821892551177124E-2</v>
      </c>
    </row>
    <row r="33" spans="1:29" x14ac:dyDescent="0.5">
      <c r="A33" s="1">
        <v>2010</v>
      </c>
      <c r="B33" s="73">
        <f>'Minimum Deflation Total'!D33</f>
        <v>15282.498175898227</v>
      </c>
      <c r="C33" s="73">
        <f>Data!AD553*251.1 / CPI!B99</f>
        <v>32077.361847317745</v>
      </c>
      <c r="D33" s="73">
        <f>Data!Y112*251.1 / CPI!B99</f>
        <v>677074.50210453907</v>
      </c>
      <c r="E33" s="3">
        <f t="shared" si="0"/>
        <v>10.176291448643155</v>
      </c>
      <c r="F33" s="3">
        <f t="shared" si="1"/>
        <v>0.63184550845289922</v>
      </c>
      <c r="G33" s="73">
        <f t="shared" si="14"/>
        <v>59043.754467595565</v>
      </c>
      <c r="H33" s="73">
        <f t="shared" si="14"/>
        <v>114254.52384097334</v>
      </c>
      <c r="I33" s="75">
        <f t="shared" si="15"/>
        <v>0.64970605709170071</v>
      </c>
      <c r="J33" s="75">
        <f t="shared" si="15"/>
        <v>1.6945023655879421</v>
      </c>
      <c r="K33" s="76">
        <f t="shared" si="16"/>
        <v>0.74205894469090461</v>
      </c>
      <c r="L33" s="76">
        <f t="shared" si="16"/>
        <v>0.95491506871821319</v>
      </c>
      <c r="M33" s="30">
        <f>Data!L229</f>
        <v>0.1084</v>
      </c>
      <c r="N33" s="30">
        <f>Data!L346 - M33</f>
        <v>0.21760001000000001</v>
      </c>
      <c r="O33" s="30">
        <f t="shared" si="5"/>
        <v>0.67399998999999999</v>
      </c>
      <c r="P33" s="77">
        <f t="shared" si="6"/>
        <v>0.74205894469090461</v>
      </c>
      <c r="Q33" s="77">
        <f t="shared" si="7"/>
        <v>0.21285612402730858</v>
      </c>
      <c r="R33" s="77">
        <f t="shared" si="8"/>
        <v>4.5084931281786811E-2</v>
      </c>
      <c r="S33" s="30">
        <f t="shared" si="13"/>
        <v>0.25794105530909539</v>
      </c>
      <c r="T33" s="3">
        <f t="shared" si="9"/>
        <v>0.34496770700791068</v>
      </c>
      <c r="U33" s="30">
        <f t="shared" si="10"/>
        <v>1.4043510085994275</v>
      </c>
      <c r="V33" s="30">
        <f t="shared" si="11"/>
        <v>2.2286819298104055E-2</v>
      </c>
      <c r="W33" s="30">
        <f t="shared" si="12"/>
        <v>-9.1716372638367294E-2</v>
      </c>
    </row>
    <row r="34" spans="1:29" x14ac:dyDescent="0.5">
      <c r="A34">
        <v>2011</v>
      </c>
      <c r="B34" s="73">
        <f>'Minimum Deflation Total'!D34</f>
        <v>15588.148139416191</v>
      </c>
      <c r="C34" s="73">
        <f>Data!AD554*251.1 / CPI!B100</f>
        <v>31637.817336149401</v>
      </c>
      <c r="D34" s="73">
        <f>Data!Y113*251.1 / CPI!B100</f>
        <v>704075.50152512221</v>
      </c>
      <c r="E34" s="3">
        <f t="shared" si="0"/>
        <v>10.160456276844478</v>
      </c>
      <c r="F34" s="3">
        <f t="shared" si="1"/>
        <v>0.6350624510056736</v>
      </c>
      <c r="G34" s="73">
        <f t="shared" si="14"/>
        <v>58356.238965835175</v>
      </c>
      <c r="H34" s="73">
        <f t="shared" si="14"/>
        <v>113304.30691041161</v>
      </c>
      <c r="I34" s="75">
        <f t="shared" si="15"/>
        <v>0.64648911453892577</v>
      </c>
      <c r="J34" s="75">
        <f t="shared" si="15"/>
        <v>1.6912854230351659</v>
      </c>
      <c r="K34" s="76">
        <f t="shared" si="16"/>
        <v>0.74101867773659436</v>
      </c>
      <c r="L34" s="76">
        <f t="shared" si="16"/>
        <v>0.95460884863416384</v>
      </c>
      <c r="M34" s="30">
        <f>Data!L230</f>
        <v>0.1145</v>
      </c>
      <c r="N34" s="30">
        <f>Data!L347 - M34</f>
        <v>0.21789998999999999</v>
      </c>
      <c r="O34" s="30">
        <f t="shared" si="5"/>
        <v>0.66760000999999991</v>
      </c>
      <c r="P34" s="77">
        <f t="shared" si="6"/>
        <v>0.74101867773659436</v>
      </c>
      <c r="Q34" s="77">
        <f t="shared" si="7"/>
        <v>0.21359017089756949</v>
      </c>
      <c r="R34" s="77">
        <f t="shared" si="8"/>
        <v>4.5391151365836158E-2</v>
      </c>
      <c r="S34" s="30">
        <f t="shared" si="13"/>
        <v>0.25898132226340564</v>
      </c>
      <c r="T34" s="3">
        <f t="shared" si="9"/>
        <v>0.3466094365571557</v>
      </c>
      <c r="U34" s="30">
        <f t="shared" si="10"/>
        <v>1.5225180801687905</v>
      </c>
      <c r="V34" s="30">
        <f t="shared" si="11"/>
        <v>2.0177984241125602E-2</v>
      </c>
      <c r="W34" s="30">
        <f t="shared" si="12"/>
        <v>-9.907802588842729E-2</v>
      </c>
    </row>
    <row r="35" spans="1:29" x14ac:dyDescent="0.5">
      <c r="A35" s="1">
        <v>2012</v>
      </c>
      <c r="B35" s="73">
        <f>'Minimum Deflation Total'!D35</f>
        <v>15899.911102204514</v>
      </c>
      <c r="C35" s="73">
        <f>Data!AD555*251.1 / CPI!B101</f>
        <v>30477.1531358885</v>
      </c>
      <c r="D35" s="73">
        <f>Data!Y114*251.1 / CPI!B101</f>
        <v>639659.89391550526</v>
      </c>
      <c r="E35" s="3">
        <f t="shared" si="0"/>
        <v>10.135145939664703</v>
      </c>
      <c r="F35" s="3">
        <f t="shared" si="1"/>
        <v>0.61577051686517681</v>
      </c>
      <c r="G35" s="73">
        <f t="shared" si="14"/>
        <v>55508.287314513283</v>
      </c>
      <c r="H35" s="73">
        <f t="shared" si="14"/>
        <v>105624.15582846958</v>
      </c>
      <c r="I35" s="75">
        <f t="shared" si="15"/>
        <v>0.66578104867942478</v>
      </c>
      <c r="J35" s="75">
        <f t="shared" si="15"/>
        <v>1.7105773571756631</v>
      </c>
      <c r="K35" s="76">
        <f t="shared" si="16"/>
        <v>0.74722447005755388</v>
      </c>
      <c r="L35" s="76">
        <f t="shared" si="16"/>
        <v>0.95642041907431319</v>
      </c>
      <c r="M35" s="30">
        <f>Data!L231</f>
        <v>0.1043</v>
      </c>
      <c r="N35" s="30">
        <f>Data!L348 - M35</f>
        <v>0.21789999999999998</v>
      </c>
      <c r="O35" s="30">
        <f t="shared" si="5"/>
        <v>0.67779999999999996</v>
      </c>
      <c r="P35" s="77">
        <f t="shared" si="6"/>
        <v>0.74722447005755388</v>
      </c>
      <c r="Q35" s="77">
        <f t="shared" si="7"/>
        <v>0.20919594901675931</v>
      </c>
      <c r="R35" s="77">
        <f t="shared" si="8"/>
        <v>4.3579580925686812E-2</v>
      </c>
      <c r="S35" s="30">
        <f t="shared" si="13"/>
        <v>0.25277552994244612</v>
      </c>
      <c r="T35" s="3">
        <f t="shared" si="9"/>
        <v>0.33673914430093865</v>
      </c>
      <c r="U35" s="30">
        <f t="shared" si="10"/>
        <v>1.393322693438825</v>
      </c>
      <c r="V35" s="30">
        <f t="shared" si="11"/>
        <v>4.1607167940634238E-2</v>
      </c>
      <c r="W35" s="30">
        <f t="shared" si="12"/>
        <v>-9.2909791956099386E-2</v>
      </c>
    </row>
    <row r="36" spans="1:29" x14ac:dyDescent="0.5">
      <c r="A36">
        <v>2013</v>
      </c>
      <c r="B36" s="73">
        <f>'Minimum Deflation Total'!D36</f>
        <v>16217.909324248605</v>
      </c>
      <c r="C36" s="73">
        <f>Data!AD556*251.1 / CPI!B102</f>
        <v>29936.736795134439</v>
      </c>
      <c r="D36" s="73">
        <f>Data!Y115*251.1 / CPI!B102</f>
        <v>630491.55545454542</v>
      </c>
      <c r="E36" s="3">
        <f t="shared" si="0"/>
        <v>10.120752657505058</v>
      </c>
      <c r="F36" s="3">
        <f t="shared" si="1"/>
        <v>0.6100639360756922</v>
      </c>
      <c r="G36" s="73">
        <f t="shared" si="14"/>
        <v>54316.376305075974</v>
      </c>
      <c r="H36" s="73">
        <f t="shared" si="14"/>
        <v>102741.7254508508</v>
      </c>
      <c r="I36" s="75">
        <f t="shared" si="15"/>
        <v>0.67148762946890928</v>
      </c>
      <c r="J36" s="75">
        <f t="shared" si="15"/>
        <v>1.7162839379651493</v>
      </c>
      <c r="K36" s="76">
        <f t="shared" si="16"/>
        <v>0.74904503126665511</v>
      </c>
      <c r="L36" s="76">
        <f t="shared" si="16"/>
        <v>0.95694495667495882</v>
      </c>
      <c r="M36" s="30">
        <f>Data!L232</f>
        <v>0.1079</v>
      </c>
      <c r="N36" s="30">
        <f>Data!L349 - M36</f>
        <v>0.21839999999999998</v>
      </c>
      <c r="O36" s="30">
        <f t="shared" si="5"/>
        <v>0.67370000000000008</v>
      </c>
      <c r="P36" s="77">
        <f t="shared" si="6"/>
        <v>0.74904503126665511</v>
      </c>
      <c r="Q36" s="77">
        <f t="shared" si="7"/>
        <v>0.20789992540830371</v>
      </c>
      <c r="R36" s="77">
        <f t="shared" si="8"/>
        <v>4.3055043325041176E-2</v>
      </c>
      <c r="S36" s="30">
        <f t="shared" si="13"/>
        <v>0.25095496873334489</v>
      </c>
      <c r="T36" s="3">
        <f t="shared" si="9"/>
        <v>0.3338081618983868</v>
      </c>
      <c r="U36" s="30">
        <f t="shared" si="10"/>
        <v>1.5060943310500501</v>
      </c>
      <c r="V36" s="30">
        <f t="shared" si="11"/>
        <v>5.0505427412129711E-2</v>
      </c>
      <c r="W36" s="30">
        <f t="shared" si="12"/>
        <v>-0.10058811970122084</v>
      </c>
    </row>
    <row r="37" spans="1:29" x14ac:dyDescent="0.5">
      <c r="A37" s="1">
        <v>2014</v>
      </c>
      <c r="B37" s="73">
        <f>'Minimum Deflation Total'!D37</f>
        <v>16542.267510733578</v>
      </c>
      <c r="C37" s="73">
        <f>Data!AD557*251.1 / CPI!B103</f>
        <v>29802.504182509507</v>
      </c>
      <c r="D37" s="73">
        <f>Data!Y116*251.1 / CPI!B103</f>
        <v>627765.05326996197</v>
      </c>
      <c r="E37" s="89">
        <f t="shared" si="0"/>
        <v>10.118704733407087</v>
      </c>
      <c r="F37" s="90">
        <f t="shared" si="1"/>
        <v>0.60604120078745927</v>
      </c>
      <c r="G37" s="73">
        <f t="shared" si="14"/>
        <v>53926.526735612111</v>
      </c>
      <c r="H37" s="73">
        <f t="shared" si="14"/>
        <v>101576.49027709996</v>
      </c>
      <c r="I37" s="75">
        <f t="shared" si="15"/>
        <v>0.67551036475714277</v>
      </c>
      <c r="J37" s="75">
        <f t="shared" si="15"/>
        <v>1.7203066732533832</v>
      </c>
      <c r="K37" s="76">
        <f t="shared" si="16"/>
        <v>0.75032421573405272</v>
      </c>
      <c r="L37" s="76">
        <f t="shared" si="16"/>
        <v>0.95731164446397876</v>
      </c>
      <c r="M37" s="30">
        <f>Data!L233</f>
        <v>0.108</v>
      </c>
      <c r="N37" s="30">
        <f>Data!L350 - M37</f>
        <v>0.21829999999999999</v>
      </c>
      <c r="O37" s="30">
        <f t="shared" si="5"/>
        <v>0.67370000000000008</v>
      </c>
      <c r="P37" s="77">
        <f t="shared" si="6"/>
        <v>0.75032421573405272</v>
      </c>
      <c r="Q37" s="77">
        <f t="shared" si="7"/>
        <v>0.20698742872992604</v>
      </c>
      <c r="R37" s="77">
        <f t="shared" si="8"/>
        <v>4.2688355536021239E-2</v>
      </c>
      <c r="S37" s="30">
        <f t="shared" si="13"/>
        <v>0.24967578426594728</v>
      </c>
      <c r="T37" s="3">
        <f t="shared" si="9"/>
        <v>0.33173895603667991</v>
      </c>
      <c r="U37" s="30">
        <f t="shared" si="10"/>
        <v>1.5299639361574275</v>
      </c>
      <c r="V37" s="30">
        <f t="shared" si="11"/>
        <v>5.4653421898556154E-2</v>
      </c>
      <c r="W37" s="30">
        <f t="shared" si="12"/>
        <v>-0.10212147512670922</v>
      </c>
    </row>
    <row r="38" spans="1:29" x14ac:dyDescent="0.5">
      <c r="A38">
        <v>2015</v>
      </c>
      <c r="B38" s="73">
        <f>'Minimum Deflation Total'!D38</f>
        <v>16873.112860948251</v>
      </c>
      <c r="C38" s="73"/>
      <c r="D38" s="73"/>
      <c r="E38" s="3"/>
      <c r="F38" s="3"/>
      <c r="G38" s="73"/>
      <c r="H38" s="73"/>
      <c r="I38" s="75"/>
      <c r="J38" s="75"/>
      <c r="K38" s="76"/>
      <c r="L38" s="76"/>
      <c r="M38" s="30"/>
      <c r="N38" s="30"/>
      <c r="O38" s="30"/>
      <c r="P38" s="30"/>
      <c r="Q38" s="30"/>
      <c r="R38" s="30"/>
      <c r="S38" s="77"/>
      <c r="T38" s="77"/>
      <c r="U38" s="77"/>
      <c r="V38" s="30"/>
      <c r="W38" s="3"/>
      <c r="X38" s="30"/>
      <c r="Y38" s="30"/>
      <c r="Z38" s="30"/>
      <c r="AA38" s="30"/>
      <c r="AB38" s="30"/>
      <c r="AC38" s="30"/>
    </row>
    <row r="39" spans="1:29" x14ac:dyDescent="0.5">
      <c r="A39" s="1">
        <v>2016</v>
      </c>
      <c r="B39" s="73">
        <f>'Minimum Deflation Total'!D39</f>
        <v>17210.575118167217</v>
      </c>
      <c r="C39" s="73"/>
      <c r="D39" s="73"/>
      <c r="E39" s="3"/>
      <c r="F39" s="3"/>
      <c r="G39" s="73"/>
      <c r="H39" s="73"/>
      <c r="I39" s="75"/>
      <c r="J39" s="75"/>
      <c r="K39" s="76"/>
      <c r="L39" s="76"/>
      <c r="M39" s="30"/>
      <c r="N39" s="30"/>
      <c r="O39" s="30"/>
      <c r="P39" s="30"/>
      <c r="Q39" s="30"/>
      <c r="R39" s="30"/>
      <c r="S39" s="77"/>
      <c r="T39" s="77"/>
      <c r="U39" s="77"/>
      <c r="V39" s="30"/>
      <c r="W39" s="3"/>
      <c r="X39" s="30"/>
      <c r="Y39" s="30"/>
      <c r="Z39" s="30"/>
      <c r="AA39" s="30"/>
      <c r="AB39" s="30"/>
      <c r="AC39" s="30"/>
    </row>
    <row r="40" spans="1:29" x14ac:dyDescent="0.5">
      <c r="A40" s="1">
        <v>2017</v>
      </c>
      <c r="B40" s="73">
        <f>'Minimum Deflation Total'!D40</f>
        <v>17554.786620530562</v>
      </c>
      <c r="C40" s="73"/>
      <c r="D40" s="73"/>
      <c r="E40" s="3"/>
      <c r="F40" s="3"/>
    </row>
    <row r="41" spans="1:29" x14ac:dyDescent="0.5">
      <c r="A41">
        <v>2018</v>
      </c>
      <c r="B41" s="73">
        <f>'Minimum Deflation Total'!D41</f>
        <v>17905.882352941175</v>
      </c>
      <c r="C41" s="73"/>
      <c r="D41" s="73"/>
      <c r="E41" s="3"/>
      <c r="F41" s="3"/>
    </row>
    <row r="42" spans="1:29" x14ac:dyDescent="0.5">
      <c r="A42" s="1">
        <v>2019</v>
      </c>
      <c r="B42" s="73">
        <f>'Minimum Deflation Total'!D42</f>
        <v>18264</v>
      </c>
      <c r="C42" s="73"/>
      <c r="D42" s="73"/>
      <c r="E42" s="3"/>
    </row>
    <row r="48" spans="1:29" x14ac:dyDescent="0.5">
      <c r="A48" t="s">
        <v>131</v>
      </c>
    </row>
    <row r="66" spans="34:34" x14ac:dyDescent="0.5">
      <c r="AH66">
        <v>0</v>
      </c>
    </row>
  </sheetData>
  <mergeCells count="8">
    <mergeCell ref="M1:R1"/>
    <mergeCell ref="S1:W1"/>
    <mergeCell ref="A1:A2"/>
    <mergeCell ref="B1:D1"/>
    <mergeCell ref="E1:F1"/>
    <mergeCell ref="G1:H1"/>
    <mergeCell ref="I1:J1"/>
    <mergeCell ref="K1:L1"/>
  </mergeCells>
  <hyperlinks>
    <hyperlink ref="H1" location="Index" display="Back to Index" xr:uid="{8A5D7AF5-E1BF-4626-89C0-F47B048647E6}"/>
  </hyperlinks>
  <pageMargins left="0.7" right="0.7" top="0.75" bottom="0.75" header="0.3" footer="0.3"/>
  <pageSetup orientation="portrait" horizontalDpi="4294967293"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6C7D79-2A29-486D-959B-189BC4F880A7}">
  <sheetPr codeName="Sheet15"/>
  <dimension ref="A1:AC42"/>
  <sheetViews>
    <sheetView zoomScale="85" zoomScaleNormal="85" workbookViewId="0">
      <pane xSplit="1" ySplit="2" topLeftCell="O14" activePane="bottomRight" state="frozen"/>
      <selection pane="topRight" activeCell="B1" sqref="B1"/>
      <selection pane="bottomLeft" activeCell="A3" sqref="A3"/>
      <selection pane="bottomRight" activeCell="X29" sqref="X29"/>
    </sheetView>
  </sheetViews>
  <sheetFormatPr defaultRowHeight="15.75" x14ac:dyDescent="0.5"/>
  <cols>
    <col min="2" max="2" width="17" customWidth="1"/>
    <col min="3" max="3" width="25.125" customWidth="1"/>
    <col min="4" max="4" width="26" customWidth="1"/>
    <col min="7" max="7" width="15.375" customWidth="1"/>
    <col min="8" max="8" width="10.875" customWidth="1"/>
    <col min="9" max="9" width="22.75" customWidth="1"/>
    <col min="10" max="10" width="18.75" customWidth="1"/>
    <col min="11" max="11" width="15.25" customWidth="1"/>
    <col min="12" max="12" width="26" customWidth="1"/>
    <col min="13" max="13" width="21.125" customWidth="1"/>
    <col min="14" max="14" width="17.375" customWidth="1"/>
    <col min="15" max="18" width="19.625" customWidth="1"/>
    <col min="19" max="19" width="23.25" customWidth="1"/>
    <col min="20" max="20" width="14.125" customWidth="1"/>
    <col min="22" max="22" width="14.875" customWidth="1"/>
    <col min="23" max="23" width="18.75" customWidth="1"/>
    <col min="24" max="24" width="18.5" customWidth="1"/>
    <col min="25" max="25" width="17.25" customWidth="1"/>
    <col min="26" max="26" width="13.625" customWidth="1"/>
    <col min="27" max="27" width="18.375" customWidth="1"/>
    <col min="28" max="28" width="24" customWidth="1"/>
    <col min="29" max="29" width="20.5" customWidth="1"/>
  </cols>
  <sheetData>
    <row r="1" spans="1:29" x14ac:dyDescent="0.5">
      <c r="A1" s="105" t="s">
        <v>5</v>
      </c>
      <c r="B1" s="106" t="s">
        <v>12</v>
      </c>
      <c r="C1" s="106"/>
      <c r="D1" s="106"/>
      <c r="E1" s="107" t="s">
        <v>13</v>
      </c>
      <c r="F1" s="107"/>
      <c r="G1" s="106" t="s">
        <v>18</v>
      </c>
      <c r="H1" s="108"/>
      <c r="I1" s="109" t="s">
        <v>19</v>
      </c>
      <c r="J1" s="109"/>
      <c r="K1" s="103" t="s">
        <v>20</v>
      </c>
      <c r="L1" s="103"/>
      <c r="M1" s="104" t="s">
        <v>116</v>
      </c>
      <c r="N1" s="104"/>
      <c r="O1" s="104"/>
      <c r="P1" s="104"/>
      <c r="Q1" s="104"/>
      <c r="R1" s="104"/>
      <c r="S1" s="103" t="s">
        <v>21</v>
      </c>
      <c r="T1" s="103"/>
      <c r="U1" s="103"/>
      <c r="V1" s="103"/>
      <c r="W1" s="103"/>
    </row>
    <row r="2" spans="1:29" x14ac:dyDescent="0.5">
      <c r="A2" s="105"/>
      <c r="B2" s="13" t="s">
        <v>9</v>
      </c>
      <c r="C2" s="13" t="s">
        <v>10</v>
      </c>
      <c r="D2" s="13" t="s">
        <v>119</v>
      </c>
      <c r="E2" s="8" t="s">
        <v>3</v>
      </c>
      <c r="F2" s="8" t="s">
        <v>4</v>
      </c>
      <c r="G2" s="14">
        <v>0.9</v>
      </c>
      <c r="H2" s="14">
        <v>0.99</v>
      </c>
      <c r="I2" s="15" t="s">
        <v>14</v>
      </c>
      <c r="J2" s="15" t="s">
        <v>15</v>
      </c>
      <c r="K2" s="16" t="s">
        <v>16</v>
      </c>
      <c r="L2" s="16" t="s">
        <v>17</v>
      </c>
      <c r="M2" s="29" t="s">
        <v>117</v>
      </c>
      <c r="N2" s="29" t="s">
        <v>120</v>
      </c>
      <c r="O2" s="29" t="s">
        <v>124</v>
      </c>
      <c r="P2" s="29" t="s">
        <v>125</v>
      </c>
      <c r="Q2" s="29" t="s">
        <v>126</v>
      </c>
      <c r="R2" s="29" t="s">
        <v>127</v>
      </c>
      <c r="S2" s="16" t="s">
        <v>0</v>
      </c>
      <c r="T2" s="16" t="s">
        <v>1</v>
      </c>
      <c r="U2" s="16" t="s">
        <v>2</v>
      </c>
      <c r="V2" s="29" t="s">
        <v>118</v>
      </c>
      <c r="W2" s="9" t="s">
        <v>25</v>
      </c>
      <c r="X2" s="29" t="s">
        <v>121</v>
      </c>
      <c r="Y2" s="29" t="s">
        <v>122</v>
      </c>
      <c r="Z2" s="29" t="s">
        <v>123</v>
      </c>
      <c r="AA2" s="29" t="s">
        <v>128</v>
      </c>
      <c r="AB2" s="29" t="s">
        <v>129</v>
      </c>
      <c r="AC2" s="29" t="s">
        <v>130</v>
      </c>
    </row>
    <row r="3" spans="1:29" x14ac:dyDescent="0.5">
      <c r="A3" s="10">
        <v>1980</v>
      </c>
      <c r="B3" s="12">
        <f>'Minimum Deflation Total'!D3</f>
        <v>8437.0223538020127</v>
      </c>
      <c r="C3" s="12">
        <f>Data!AD524</f>
        <v>18730.599999999999</v>
      </c>
      <c r="D3" s="12">
        <f>Data!Y82</f>
        <v>322530.40999999997</v>
      </c>
      <c r="E3" s="11">
        <f>LN(C3)-F3^2/2</f>
        <v>9.6535306674673524</v>
      </c>
      <c r="F3" s="11">
        <f>(LN(D3)-LN(B3))/6</f>
        <v>0.6072613302812554</v>
      </c>
      <c r="G3" s="12">
        <f>_xlfn.LOGNORM.INV(G$2,$E3,$F3)</f>
        <v>33920.247144671266</v>
      </c>
      <c r="H3" s="12">
        <f>_xlfn.LOGNORM.INV(H$2,$E3,$F3)</f>
        <v>63973.98351738519</v>
      </c>
      <c r="I3" s="17">
        <f>(LN(G3)-($E3+$F3^2))/$F3</f>
        <v>0.67429023526334442</v>
      </c>
      <c r="J3" s="17">
        <f>(LN(H3)-($E3+$F3^2))/$F3</f>
        <v>1.7190865437595859</v>
      </c>
      <c r="K3" s="18">
        <f>_xlfn.NORM.DIST(I3,0,1,TRUE)</f>
        <v>0.74993659456273221</v>
      </c>
      <c r="L3" s="18">
        <f>_xlfn.NORM.DIST(J3,0,1,TRUE)</f>
        <v>0.9572006926886838</v>
      </c>
      <c r="M3" s="30">
        <f>Data!L199</f>
        <v>8.1699996999999996E-2</v>
      </c>
      <c r="N3" s="30">
        <f>Data!L316 - M3</f>
        <v>0.22460001300000002</v>
      </c>
      <c r="O3" s="30">
        <f t="shared" ref="O3:O37" si="0">1-N3 - M3</f>
        <v>0.69369999000000004</v>
      </c>
      <c r="P3" s="30">
        <f>Data!Q199</f>
        <v>0</v>
      </c>
      <c r="Q3" s="30">
        <f>Data!Q316 - P3</f>
        <v>0</v>
      </c>
      <c r="R3" s="30">
        <f>1-Q3 - P3</f>
        <v>1</v>
      </c>
      <c r="S3" s="19">
        <f t="shared" ref="S3:S37" si="1">K3</f>
        <v>0.74993659456273221</v>
      </c>
      <c r="T3" s="19">
        <f t="shared" ref="T3:T37" si="2">L3-K3</f>
        <v>0.20726409812595159</v>
      </c>
      <c r="U3" s="19">
        <f t="shared" ref="U3:U37" si="3">1-L3</f>
        <v>4.2799307311316204E-2</v>
      </c>
      <c r="V3" s="30">
        <f>T3+U3</f>
        <v>0.25006340543726779</v>
      </c>
      <c r="W3" s="11">
        <f t="shared" ref="W3:W37" si="4">2*_xlfn.NORM.DIST(F3/SQRT(2),0,1,TRUE)-1</f>
        <v>0.3323668308889749</v>
      </c>
      <c r="X3" s="30">
        <f t="shared" ref="X3:X37" si="5">M3/U3 - 1</f>
        <v>0.90890932896940568</v>
      </c>
      <c r="Y3" s="30">
        <f t="shared" ref="Y3:Y37" si="6">N3/T3 - 1</f>
        <v>8.3641667953094467E-2</v>
      </c>
      <c r="Z3" s="30">
        <f>O3/S3 - 1</f>
        <v>-7.4988478986709795E-2</v>
      </c>
      <c r="AA3" s="30">
        <f>P3/U3 - 1</f>
        <v>-1</v>
      </c>
      <c r="AB3" s="30">
        <f>Q3/T3 - 1</f>
        <v>-1</v>
      </c>
      <c r="AC3" s="30">
        <f>R3/S3 - 1</f>
        <v>0.33344606364098417</v>
      </c>
    </row>
    <row r="4" spans="1:29" x14ac:dyDescent="0.5">
      <c r="A4">
        <v>1981</v>
      </c>
      <c r="B4" s="12">
        <f>'Minimum Deflation Total'!D4</f>
        <v>8605.7628008780539</v>
      </c>
      <c r="C4" s="12">
        <f>Data!AD525</f>
        <v>18971.099999999999</v>
      </c>
      <c r="D4" s="12">
        <f>Data!Y83</f>
        <v>321500.19</v>
      </c>
      <c r="E4" s="11">
        <f t="shared" ref="E4:E37" si="7">LN(C4)-F4^2/2</f>
        <v>9.6686095667884064</v>
      </c>
      <c r="F4" s="11">
        <f t="shared" ref="F4:F37" si="8">(LN(D4)-LN(B4))/6</f>
        <v>0.60342767711410283</v>
      </c>
      <c r="G4" s="12">
        <f t="shared" ref="G4:H37" si="9">_xlfn.LOGNORM.INV(G$2,$E4,$F4)</f>
        <v>34266.834839375515</v>
      </c>
      <c r="H4" s="12">
        <f t="shared" si="9"/>
        <v>64369.3109571819</v>
      </c>
      <c r="I4" s="17">
        <f t="shared" ref="I4:J37" si="10">(LN(G4)-($E4+$F4^2))/$F4</f>
        <v>0.67812388843049642</v>
      </c>
      <c r="J4" s="17">
        <f t="shared" si="10"/>
        <v>1.7229201969267363</v>
      </c>
      <c r="K4" s="18">
        <f t="shared" ref="K4:L37" si="11">_xlfn.NORM.DIST(I4,0,1,TRUE)</f>
        <v>0.75115342724076806</v>
      </c>
      <c r="L4" s="18">
        <f t="shared" si="11"/>
        <v>0.95754852128701884</v>
      </c>
      <c r="M4" s="30">
        <f>Data!L200</f>
        <v>8.2099996999999994E-2</v>
      </c>
      <c r="N4" s="30">
        <f>Data!L317 - M4</f>
        <v>0.21980000300000002</v>
      </c>
      <c r="O4" s="30">
        <f t="shared" si="0"/>
        <v>0.69809999999999994</v>
      </c>
      <c r="P4" s="30">
        <f>Data!Q200</f>
        <v>0</v>
      </c>
      <c r="Q4" s="30">
        <f>Data!Q317 - P4</f>
        <v>0</v>
      </c>
      <c r="R4" s="30">
        <f t="shared" ref="R4:R37" si="12">1-Q4 - P4</f>
        <v>1</v>
      </c>
      <c r="S4" s="19">
        <f t="shared" si="1"/>
        <v>0.75115342724076806</v>
      </c>
      <c r="T4" s="19">
        <f t="shared" si="2"/>
        <v>0.20639509404625078</v>
      </c>
      <c r="U4" s="19">
        <f t="shared" si="3"/>
        <v>4.2451478712981161E-2</v>
      </c>
      <c r="V4" s="30">
        <f t="shared" ref="V4:V37" si="13">T4+U4</f>
        <v>0.24884657275923194</v>
      </c>
      <c r="W4" s="11">
        <f t="shared" si="4"/>
        <v>0.33039326403166291</v>
      </c>
      <c r="X4" s="30">
        <f t="shared" si="5"/>
        <v>0.93397260799998438</v>
      </c>
      <c r="Y4" s="30">
        <f t="shared" si="6"/>
        <v>6.494780806536693E-2</v>
      </c>
      <c r="Z4" s="30">
        <f t="shared" ref="Z4:Z37" si="14">O4/S4 - 1</f>
        <v>-7.0629282003878635E-2</v>
      </c>
      <c r="AA4" s="30">
        <f t="shared" ref="AA4:AA37" si="15">P4/U4 - 1</f>
        <v>-1</v>
      </c>
      <c r="AB4" s="30">
        <f t="shared" ref="AB4:AB37" si="16">Q4/T4 - 1</f>
        <v>-1</v>
      </c>
      <c r="AC4" s="30">
        <f t="shared" ref="AC4:AC37" si="17">R4/S4 - 1</f>
        <v>0.33128594470150619</v>
      </c>
    </row>
    <row r="5" spans="1:29" x14ac:dyDescent="0.5">
      <c r="A5" s="10">
        <v>1982</v>
      </c>
      <c r="B5" s="12">
        <f>'Minimum Deflation Total'!D5</f>
        <v>8777.8780568956154</v>
      </c>
      <c r="C5" s="12">
        <f>Data!AD526</f>
        <v>18963.300999999999</v>
      </c>
      <c r="D5" s="12">
        <f>Data!Y84</f>
        <v>293593.5</v>
      </c>
      <c r="E5" s="11">
        <f t="shared" si="7"/>
        <v>9.6791521218291425</v>
      </c>
      <c r="F5" s="11">
        <f t="shared" si="8"/>
        <v>0.58499357637697802</v>
      </c>
      <c r="G5" s="12">
        <f t="shared" si="9"/>
        <v>33821.48584724051</v>
      </c>
      <c r="H5" s="12">
        <f t="shared" si="9"/>
        <v>62320.810415586595</v>
      </c>
      <c r="I5" s="17">
        <f t="shared" si="10"/>
        <v>0.69655798916762168</v>
      </c>
      <c r="J5" s="17">
        <f t="shared" si="10"/>
        <v>1.741354297663863</v>
      </c>
      <c r="K5" s="18">
        <f t="shared" si="11"/>
        <v>0.75696027264812082</v>
      </c>
      <c r="L5" s="18">
        <f t="shared" si="11"/>
        <v>0.9591892530132281</v>
      </c>
      <c r="M5" s="30">
        <f>Data!L201</f>
        <v>7.5199999000000003E-2</v>
      </c>
      <c r="N5" s="30">
        <f>Data!L318 - M5</f>
        <v>0.21760001099999998</v>
      </c>
      <c r="O5" s="30">
        <f t="shared" si="0"/>
        <v>0.70719999</v>
      </c>
      <c r="P5" s="30">
        <f>Data!Q201</f>
        <v>0</v>
      </c>
      <c r="Q5" s="30">
        <f>Data!Q318 - P5</f>
        <v>0</v>
      </c>
      <c r="R5" s="30">
        <f t="shared" si="12"/>
        <v>1</v>
      </c>
      <c r="S5" s="19">
        <f t="shared" si="1"/>
        <v>0.75696027264812082</v>
      </c>
      <c r="T5" s="19">
        <f t="shared" si="2"/>
        <v>0.20222898036510728</v>
      </c>
      <c r="U5" s="19">
        <f t="shared" si="3"/>
        <v>4.0810746986771895E-2</v>
      </c>
      <c r="V5" s="30">
        <f t="shared" si="13"/>
        <v>0.24303972735187918</v>
      </c>
      <c r="W5" s="11">
        <f t="shared" si="4"/>
        <v>0.32087169251469194</v>
      </c>
      <c r="X5" s="30">
        <f t="shared" si="5"/>
        <v>0.84265186384299207</v>
      </c>
      <c r="Y5" s="30">
        <f t="shared" si="6"/>
        <v>7.6008050909130764E-2</v>
      </c>
      <c r="Z5" s="30">
        <f t="shared" si="14"/>
        <v>-6.5736980454788374E-2</v>
      </c>
      <c r="AA5" s="30">
        <f t="shared" si="15"/>
        <v>-1</v>
      </c>
      <c r="AB5" s="30">
        <f t="shared" si="16"/>
        <v>-1</v>
      </c>
      <c r="AC5" s="30">
        <f t="shared" si="17"/>
        <v>0.32107329292412978</v>
      </c>
    </row>
    <row r="6" spans="1:29" x14ac:dyDescent="0.5">
      <c r="A6">
        <v>1983</v>
      </c>
      <c r="B6" s="12">
        <f>'Minimum Deflation Total'!D6</f>
        <v>8953.4356180335271</v>
      </c>
      <c r="C6" s="12">
        <f>Data!AD527</f>
        <v>19132</v>
      </c>
      <c r="D6" s="12">
        <f>Data!Y85</f>
        <v>284042.59000000003</v>
      </c>
      <c r="E6" s="11">
        <f t="shared" si="7"/>
        <v>9.693125249340012</v>
      </c>
      <c r="F6" s="11">
        <f t="shared" si="8"/>
        <v>0.57618114419021982</v>
      </c>
      <c r="G6" s="12">
        <f t="shared" si="9"/>
        <v>33912.233440220443</v>
      </c>
      <c r="H6" s="12">
        <f t="shared" si="9"/>
        <v>61915.326512099295</v>
      </c>
      <c r="I6" s="17">
        <f t="shared" si="10"/>
        <v>0.70537042135438</v>
      </c>
      <c r="J6" s="17">
        <f t="shared" si="10"/>
        <v>1.7501667298506209</v>
      </c>
      <c r="K6" s="18">
        <f t="shared" si="11"/>
        <v>0.75971012682964822</v>
      </c>
      <c r="L6" s="18">
        <f t="shared" si="11"/>
        <v>0.95995522604219186</v>
      </c>
      <c r="M6" s="30">
        <f>Data!L202</f>
        <v>7.3299997000000006E-2</v>
      </c>
      <c r="N6" s="30">
        <f>Data!L319 - M6</f>
        <v>0.22090000300000001</v>
      </c>
      <c r="O6" s="30">
        <f t="shared" si="0"/>
        <v>0.70579999999999998</v>
      </c>
      <c r="P6" s="30">
        <f>Data!Q202</f>
        <v>0</v>
      </c>
      <c r="Q6" s="30">
        <f>Data!Q319 - P6</f>
        <v>0</v>
      </c>
      <c r="R6" s="30">
        <f t="shared" si="12"/>
        <v>1</v>
      </c>
      <c r="S6" s="19">
        <f t="shared" si="1"/>
        <v>0.75971012682964822</v>
      </c>
      <c r="T6" s="19">
        <f t="shared" si="2"/>
        <v>0.20024509921254363</v>
      </c>
      <c r="U6" s="19">
        <f t="shared" si="3"/>
        <v>4.0044773957808144E-2</v>
      </c>
      <c r="V6" s="30">
        <f t="shared" si="13"/>
        <v>0.24028987317035178</v>
      </c>
      <c r="W6" s="11">
        <f t="shared" si="4"/>
        <v>0.31630163054865879</v>
      </c>
      <c r="X6" s="30">
        <f t="shared" si="5"/>
        <v>0.83045101159092893</v>
      </c>
      <c r="Y6" s="30">
        <f t="shared" si="6"/>
        <v>0.10314811133296664</v>
      </c>
      <c r="Z6" s="30">
        <f t="shared" si="14"/>
        <v>-7.0961442958014764E-2</v>
      </c>
      <c r="AA6" s="30">
        <f t="shared" si="15"/>
        <v>-1</v>
      </c>
      <c r="AB6" s="30">
        <f t="shared" si="16"/>
        <v>-1</v>
      </c>
      <c r="AC6" s="30">
        <f t="shared" si="17"/>
        <v>0.31629152315384701</v>
      </c>
    </row>
    <row r="7" spans="1:29" x14ac:dyDescent="0.5">
      <c r="A7" s="10">
        <v>1984</v>
      </c>
      <c r="B7" s="12">
        <f>'Minimum Deflation Total'!D7</f>
        <v>9132.5043303941984</v>
      </c>
      <c r="C7" s="12">
        <f>Data!AD528</f>
        <v>19483.400000000001</v>
      </c>
      <c r="D7" s="12">
        <f>Data!Y86</f>
        <v>278475.40999999997</v>
      </c>
      <c r="E7" s="11">
        <f t="shared" si="7"/>
        <v>9.7151064807579086</v>
      </c>
      <c r="F7" s="11">
        <f t="shared" si="8"/>
        <v>0.56958163452891364</v>
      </c>
      <c r="G7" s="12">
        <f t="shared" si="9"/>
        <v>34373.964682701328</v>
      </c>
      <c r="H7" s="12">
        <f t="shared" si="9"/>
        <v>62327.093964784537</v>
      </c>
      <c r="I7" s="17">
        <f t="shared" si="10"/>
        <v>0.7119699310156864</v>
      </c>
      <c r="J7" s="17">
        <f t="shared" si="10"/>
        <v>1.7567662395119266</v>
      </c>
      <c r="K7" s="18">
        <f t="shared" si="11"/>
        <v>0.76175830194009664</v>
      </c>
      <c r="L7" s="18">
        <f t="shared" si="11"/>
        <v>0.96052116912162055</v>
      </c>
      <c r="M7" s="30">
        <f>Data!L203</f>
        <v>7.4699998000000004E-2</v>
      </c>
      <c r="N7" s="30">
        <f>Data!L320 - M7</f>
        <v>0.22249999200000004</v>
      </c>
      <c r="O7" s="30">
        <f t="shared" si="0"/>
        <v>0.70280000999999992</v>
      </c>
      <c r="P7" s="30">
        <f>Data!Q203</f>
        <v>0</v>
      </c>
      <c r="Q7" s="30">
        <f>Data!Q320 - P7</f>
        <v>0</v>
      </c>
      <c r="R7" s="30">
        <f t="shared" si="12"/>
        <v>1</v>
      </c>
      <c r="S7" s="19">
        <f t="shared" si="1"/>
        <v>0.76175830194009664</v>
      </c>
      <c r="T7" s="19">
        <f t="shared" si="2"/>
        <v>0.19876286718152392</v>
      </c>
      <c r="U7" s="19">
        <f t="shared" si="3"/>
        <v>3.9478830878379445E-2</v>
      </c>
      <c r="V7" s="30">
        <f t="shared" si="13"/>
        <v>0.23824169805990336</v>
      </c>
      <c r="W7" s="11">
        <f t="shared" si="4"/>
        <v>0.31287155811181511</v>
      </c>
      <c r="X7" s="30">
        <f t="shared" si="5"/>
        <v>0.8921532461314452</v>
      </c>
      <c r="Y7" s="30">
        <f t="shared" si="6"/>
        <v>0.11942434296239912</v>
      </c>
      <c r="Z7" s="30">
        <f t="shared" si="14"/>
        <v>-7.7397636218650701E-2</v>
      </c>
      <c r="AA7" s="30">
        <f t="shared" si="15"/>
        <v>-1</v>
      </c>
      <c r="AB7" s="30">
        <f t="shared" si="16"/>
        <v>-1</v>
      </c>
      <c r="AC7" s="30">
        <f t="shared" si="17"/>
        <v>0.3127523486821655</v>
      </c>
    </row>
    <row r="8" spans="1:29" x14ac:dyDescent="0.5">
      <c r="A8">
        <v>1985</v>
      </c>
      <c r="B8" s="12">
        <f>'Minimum Deflation Total'!D8</f>
        <v>9315.1544170020825</v>
      </c>
      <c r="C8" s="12">
        <f>Data!AD529</f>
        <v>20007.599999999999</v>
      </c>
      <c r="D8" s="12">
        <f>Data!Y87</f>
        <v>290521.59000000003</v>
      </c>
      <c r="E8" s="11">
        <f t="shared" si="7"/>
        <v>9.7395085504749641</v>
      </c>
      <c r="F8" s="11">
        <f t="shared" si="8"/>
        <v>0.57333921875177862</v>
      </c>
      <c r="G8" s="12">
        <f t="shared" si="9"/>
        <v>35393.105626981065</v>
      </c>
      <c r="H8" s="12">
        <f t="shared" si="9"/>
        <v>64427.447397733362</v>
      </c>
      <c r="I8" s="17">
        <f t="shared" si="10"/>
        <v>0.70821234679282363</v>
      </c>
      <c r="J8" s="17">
        <f t="shared" si="10"/>
        <v>1.7530086552890636</v>
      </c>
      <c r="K8" s="18">
        <f t="shared" si="11"/>
        <v>0.76059330003843018</v>
      </c>
      <c r="L8" s="18">
        <f t="shared" si="11"/>
        <v>0.96019973929546976</v>
      </c>
      <c r="M8" s="30">
        <f>Data!L204</f>
        <v>7.7399998999999997E-2</v>
      </c>
      <c r="N8" s="30">
        <f>Data!L321 - M8</f>
        <v>0.22540000100000002</v>
      </c>
      <c r="O8" s="30">
        <f t="shared" si="0"/>
        <v>0.69720000000000004</v>
      </c>
      <c r="P8" s="30">
        <f>Data!Q204</f>
        <v>0</v>
      </c>
      <c r="Q8" s="30">
        <f>Data!Q321 - P8</f>
        <v>0</v>
      </c>
      <c r="R8" s="30">
        <f t="shared" si="12"/>
        <v>1</v>
      </c>
      <c r="S8" s="19">
        <f t="shared" si="1"/>
        <v>0.76059330003843018</v>
      </c>
      <c r="T8" s="19">
        <f t="shared" si="2"/>
        <v>0.19960643925703958</v>
      </c>
      <c r="U8" s="19">
        <f t="shared" si="3"/>
        <v>3.9800260704530244E-2</v>
      </c>
      <c r="V8" s="30">
        <f t="shared" si="13"/>
        <v>0.23940669996156982</v>
      </c>
      <c r="W8" s="11">
        <f t="shared" si="4"/>
        <v>0.31482534466757905</v>
      </c>
      <c r="X8" s="30">
        <f t="shared" si="5"/>
        <v>0.94471085439874969</v>
      </c>
      <c r="Y8" s="30">
        <f t="shared" si="6"/>
        <v>0.12922209242831717</v>
      </c>
      <c r="Z8" s="30">
        <f t="shared" si="14"/>
        <v>-8.3347171261207609E-2</v>
      </c>
      <c r="AA8" s="30">
        <f t="shared" si="15"/>
        <v>-1</v>
      </c>
      <c r="AB8" s="30">
        <f t="shared" si="16"/>
        <v>-1</v>
      </c>
      <c r="AC8" s="30">
        <f t="shared" si="17"/>
        <v>0.31476309342913411</v>
      </c>
    </row>
    <row r="9" spans="1:29" x14ac:dyDescent="0.5">
      <c r="A9" s="10">
        <v>1986</v>
      </c>
      <c r="B9" s="12">
        <f>'Minimum Deflation Total'!D9</f>
        <v>9501.4575053421249</v>
      </c>
      <c r="C9" s="12">
        <f>Data!AD530</f>
        <v>20467.400000000001</v>
      </c>
      <c r="D9" s="12">
        <f>Data!Y88</f>
        <v>320101.59000000003</v>
      </c>
      <c r="E9" s="11">
        <f t="shared" si="7"/>
        <v>9.7547740992458358</v>
      </c>
      <c r="F9" s="11">
        <f t="shared" si="8"/>
        <v>0.58619886761794471</v>
      </c>
      <c r="G9" s="12">
        <f t="shared" si="9"/>
        <v>36534.714718909578</v>
      </c>
      <c r="H9" s="12">
        <f t="shared" si="9"/>
        <v>67405.142263041867</v>
      </c>
      <c r="I9" s="17">
        <f t="shared" si="10"/>
        <v>0.69535269792665477</v>
      </c>
      <c r="J9" s="17">
        <f t="shared" si="10"/>
        <v>1.7401490064228964</v>
      </c>
      <c r="K9" s="18">
        <f t="shared" si="11"/>
        <v>0.75658285174221884</v>
      </c>
      <c r="L9" s="18">
        <f t="shared" si="11"/>
        <v>0.95908357150380097</v>
      </c>
      <c r="M9" s="30">
        <f>Data!L205</f>
        <v>8.2500003000000002E-2</v>
      </c>
      <c r="N9" s="30">
        <f>Data!L322 - M9</f>
        <v>0.22959998700000001</v>
      </c>
      <c r="O9" s="30">
        <f t="shared" si="0"/>
        <v>0.6879000099999999</v>
      </c>
      <c r="P9" s="30">
        <f>Data!Q205</f>
        <v>0</v>
      </c>
      <c r="Q9" s="30">
        <f>Data!Q322 - P9</f>
        <v>0</v>
      </c>
      <c r="R9" s="30">
        <f t="shared" si="12"/>
        <v>1</v>
      </c>
      <c r="S9" s="19">
        <f t="shared" si="1"/>
        <v>0.75658285174221884</v>
      </c>
      <c r="T9" s="19">
        <f t="shared" si="2"/>
        <v>0.20250071976158213</v>
      </c>
      <c r="U9" s="19">
        <f t="shared" si="3"/>
        <v>4.0916428496199031E-2</v>
      </c>
      <c r="V9" s="30">
        <f t="shared" si="13"/>
        <v>0.24341714825778116</v>
      </c>
      <c r="W9" s="11">
        <f t="shared" si="4"/>
        <v>0.32149583632600565</v>
      </c>
      <c r="X9" s="30">
        <f t="shared" si="5"/>
        <v>1.0163050889855629</v>
      </c>
      <c r="Y9" s="30">
        <f t="shared" si="6"/>
        <v>0.13382306626032592</v>
      </c>
      <c r="Z9" s="30">
        <f t="shared" si="14"/>
        <v>-9.0780331042475737E-2</v>
      </c>
      <c r="AA9" s="30">
        <f t="shared" si="15"/>
        <v>-1</v>
      </c>
      <c r="AB9" s="30">
        <f t="shared" si="16"/>
        <v>-1</v>
      </c>
      <c r="AC9" s="30">
        <f t="shared" si="17"/>
        <v>0.32173230955109955</v>
      </c>
    </row>
    <row r="10" spans="1:29" x14ac:dyDescent="0.5">
      <c r="A10">
        <v>1987</v>
      </c>
      <c r="B10" s="12">
        <f>'Minimum Deflation Total'!D10</f>
        <v>9691.4866554489672</v>
      </c>
      <c r="C10" s="12">
        <f>Data!AD531</f>
        <v>21319.300999999999</v>
      </c>
      <c r="D10" s="12">
        <f>Data!Y89</f>
        <v>359533</v>
      </c>
      <c r="E10" s="11">
        <f t="shared" si="7"/>
        <v>9.7860097253940808</v>
      </c>
      <c r="F10" s="11">
        <f t="shared" si="8"/>
        <v>0.60225968855951406</v>
      </c>
      <c r="G10" s="12">
        <f t="shared" si="9"/>
        <v>38477.793902957288</v>
      </c>
      <c r="H10" s="12">
        <f t="shared" si="9"/>
        <v>72191.332665818889</v>
      </c>
      <c r="I10" s="17">
        <f t="shared" si="10"/>
        <v>0.67929187698508708</v>
      </c>
      <c r="J10" s="17">
        <f t="shared" si="10"/>
        <v>1.7240881854813264</v>
      </c>
      <c r="K10" s="18">
        <f t="shared" si="11"/>
        <v>0.75152352885659446</v>
      </c>
      <c r="L10" s="18">
        <f t="shared" si="11"/>
        <v>0.95765403770847735</v>
      </c>
      <c r="M10" s="30">
        <f>Data!L206</f>
        <v>9.0200000000000002E-2</v>
      </c>
      <c r="N10" s="30">
        <f>Data!L323 - M10</f>
        <v>0.23069999000000002</v>
      </c>
      <c r="O10" s="30">
        <f t="shared" si="0"/>
        <v>0.67910000999999998</v>
      </c>
      <c r="P10" s="30">
        <f>Data!Q206</f>
        <v>0</v>
      </c>
      <c r="Q10" s="30">
        <f>Data!Q323 - P10</f>
        <v>0</v>
      </c>
      <c r="R10" s="30">
        <f t="shared" si="12"/>
        <v>1</v>
      </c>
      <c r="S10" s="19">
        <f t="shared" si="1"/>
        <v>0.75152352885659446</v>
      </c>
      <c r="T10" s="19">
        <f t="shared" si="2"/>
        <v>0.20613050885188289</v>
      </c>
      <c r="U10" s="19">
        <f t="shared" si="3"/>
        <v>4.2345962291522654E-2</v>
      </c>
      <c r="V10" s="30">
        <f t="shared" si="13"/>
        <v>0.24847647114340554</v>
      </c>
      <c r="W10" s="11">
        <f t="shared" si="4"/>
        <v>0.32979152835623649</v>
      </c>
      <c r="X10" s="30">
        <f t="shared" si="5"/>
        <v>1.1300732140418819</v>
      </c>
      <c r="Y10" s="30">
        <f t="shared" si="6"/>
        <v>0.11919381213856006</v>
      </c>
      <c r="Z10" s="30">
        <f t="shared" si="14"/>
        <v>-9.6368930679766263E-2</v>
      </c>
      <c r="AA10" s="30">
        <f t="shared" si="15"/>
        <v>-1</v>
      </c>
      <c r="AB10" s="30">
        <f t="shared" si="16"/>
        <v>-1</v>
      </c>
      <c r="AC10" s="30">
        <f t="shared" si="17"/>
        <v>0.33063032839630457</v>
      </c>
    </row>
    <row r="11" spans="1:29" x14ac:dyDescent="0.5">
      <c r="A11" s="10">
        <v>1988</v>
      </c>
      <c r="B11" s="12">
        <f>'Minimum Deflation Total'!D11</f>
        <v>9885.316388557947</v>
      </c>
      <c r="C11" s="12">
        <f>Data!AD532</f>
        <v>22064.800999999999</v>
      </c>
      <c r="D11" s="12">
        <f>Data!Y90</f>
        <v>346362.91</v>
      </c>
      <c r="E11" s="11">
        <f t="shared" si="7"/>
        <v>9.82606888146716</v>
      </c>
      <c r="F11" s="11">
        <f t="shared" si="8"/>
        <v>0.59273943919356553</v>
      </c>
      <c r="G11" s="12">
        <f t="shared" si="9"/>
        <v>39564.797019505197</v>
      </c>
      <c r="H11" s="12">
        <f t="shared" si="9"/>
        <v>73496.055397187651</v>
      </c>
      <c r="I11" s="17">
        <f t="shared" si="10"/>
        <v>0.68881212635103561</v>
      </c>
      <c r="J11" s="17">
        <f t="shared" si="10"/>
        <v>1.7336084348472758</v>
      </c>
      <c r="K11" s="18">
        <f t="shared" si="11"/>
        <v>0.7545292482234609</v>
      </c>
      <c r="L11" s="18">
        <f t="shared" si="11"/>
        <v>0.95850620857934221</v>
      </c>
      <c r="M11" s="30">
        <f>Data!L207</f>
        <v>9.1600001E-2</v>
      </c>
      <c r="N11" s="30">
        <f>Data!L324 - M11</f>
        <v>0.23399999900000001</v>
      </c>
      <c r="O11" s="30">
        <f t="shared" si="0"/>
        <v>0.6744</v>
      </c>
      <c r="P11" s="30">
        <f>Data!Q207</f>
        <v>0</v>
      </c>
      <c r="Q11" s="30">
        <f>Data!Q324 - P11</f>
        <v>0</v>
      </c>
      <c r="R11" s="30">
        <f t="shared" si="12"/>
        <v>1</v>
      </c>
      <c r="S11" s="19">
        <f t="shared" si="1"/>
        <v>0.7545292482234609</v>
      </c>
      <c r="T11" s="19">
        <f t="shared" si="2"/>
        <v>0.20397696035588131</v>
      </c>
      <c r="U11" s="19">
        <f t="shared" si="3"/>
        <v>4.1493791420657788E-2</v>
      </c>
      <c r="V11" s="30">
        <f t="shared" si="13"/>
        <v>0.2454707517765391</v>
      </c>
      <c r="W11" s="11">
        <f t="shared" si="4"/>
        <v>0.32487892942310204</v>
      </c>
      <c r="X11" s="30">
        <f t="shared" si="5"/>
        <v>1.2075592001553446</v>
      </c>
      <c r="Y11" s="30">
        <f t="shared" si="6"/>
        <v>0.14718838143159463</v>
      </c>
      <c r="Z11" s="30">
        <f t="shared" si="14"/>
        <v>-0.10619767015278103</v>
      </c>
      <c r="AA11" s="30">
        <f t="shared" si="15"/>
        <v>-1</v>
      </c>
      <c r="AB11" s="30">
        <f t="shared" si="16"/>
        <v>-1</v>
      </c>
      <c r="AC11" s="30">
        <f t="shared" si="17"/>
        <v>0.32532967059196172</v>
      </c>
    </row>
    <row r="12" spans="1:29" x14ac:dyDescent="0.5">
      <c r="A12">
        <v>1989</v>
      </c>
      <c r="B12" s="12">
        <f>'Minimum Deflation Total'!D12</f>
        <v>10083.022716329106</v>
      </c>
      <c r="C12" s="12">
        <f>Data!AD533</f>
        <v>22526.9</v>
      </c>
      <c r="D12" s="12">
        <f>Data!Y91</f>
        <v>406652</v>
      </c>
      <c r="E12" s="11">
        <f t="shared" si="7"/>
        <v>9.8326239975954532</v>
      </c>
      <c r="F12" s="11">
        <f t="shared" si="8"/>
        <v>0.61618411541549012</v>
      </c>
      <c r="G12" s="12">
        <f t="shared" si="9"/>
        <v>41039.722386894711</v>
      </c>
      <c r="H12" s="12">
        <f t="shared" si="9"/>
        <v>78126.345126526037</v>
      </c>
      <c r="I12" s="17">
        <f t="shared" si="10"/>
        <v>0.66536745012911003</v>
      </c>
      <c r="J12" s="17">
        <f t="shared" si="10"/>
        <v>1.7101637586253506</v>
      </c>
      <c r="K12" s="18">
        <f t="shared" si="11"/>
        <v>0.74709225064747453</v>
      </c>
      <c r="L12" s="18">
        <f t="shared" si="11"/>
        <v>0.95638220233674087</v>
      </c>
      <c r="M12" s="30">
        <f>Data!L208</f>
        <v>9.5200002000000006E-2</v>
      </c>
      <c r="N12" s="30">
        <f>Data!L325 - M12</f>
        <v>0.232399998</v>
      </c>
      <c r="O12" s="30">
        <f t="shared" si="0"/>
        <v>0.6724</v>
      </c>
      <c r="P12" s="30">
        <f>Data!Q208</f>
        <v>0</v>
      </c>
      <c r="Q12" s="30">
        <f>Data!Q325 - P12</f>
        <v>0</v>
      </c>
      <c r="R12" s="30">
        <f t="shared" si="12"/>
        <v>1</v>
      </c>
      <c r="S12" s="19">
        <f t="shared" si="1"/>
        <v>0.74709225064747453</v>
      </c>
      <c r="T12" s="19">
        <f t="shared" si="2"/>
        <v>0.20928995168926634</v>
      </c>
      <c r="U12" s="19">
        <f t="shared" si="3"/>
        <v>4.3617797663259128E-2</v>
      </c>
      <c r="V12" s="30">
        <f t="shared" si="13"/>
        <v>0.25290774935252547</v>
      </c>
      <c r="W12" s="11">
        <f t="shared" si="4"/>
        <v>0.3369513749942068</v>
      </c>
      <c r="X12" s="30">
        <f t="shared" si="5"/>
        <v>1.1825953418136574</v>
      </c>
      <c r="Y12" s="30">
        <f t="shared" si="6"/>
        <v>0.11042119377544335</v>
      </c>
      <c r="Z12" s="30">
        <f t="shared" si="14"/>
        <v>-9.9977279355717874E-2</v>
      </c>
      <c r="AA12" s="30">
        <f t="shared" si="15"/>
        <v>-1</v>
      </c>
      <c r="AB12" s="30">
        <f t="shared" si="16"/>
        <v>-1</v>
      </c>
      <c r="AC12" s="30">
        <f t="shared" si="17"/>
        <v>0.33852278501529165</v>
      </c>
    </row>
    <row r="13" spans="1:29" x14ac:dyDescent="0.5">
      <c r="A13" s="10">
        <v>1990</v>
      </c>
      <c r="B13" s="12">
        <f>'Minimum Deflation Total'!D13</f>
        <v>10284.683170655688</v>
      </c>
      <c r="C13" s="12">
        <f>Data!AD534</f>
        <v>22483.1</v>
      </c>
      <c r="D13" s="12">
        <f>Data!Y92</f>
        <v>406495</v>
      </c>
      <c r="E13" s="11">
        <f t="shared" si="7"/>
        <v>9.8327454362773015</v>
      </c>
      <c r="F13" s="11">
        <f t="shared" si="8"/>
        <v>0.61281931852515559</v>
      </c>
      <c r="G13" s="12">
        <f t="shared" si="9"/>
        <v>40868.096187768548</v>
      </c>
      <c r="H13" s="12">
        <f t="shared" si="9"/>
        <v>77526.59789438275</v>
      </c>
      <c r="I13" s="17">
        <f t="shared" si="10"/>
        <v>0.66873224701944445</v>
      </c>
      <c r="J13" s="17">
        <f t="shared" si="10"/>
        <v>1.7135285555156841</v>
      </c>
      <c r="K13" s="18">
        <f t="shared" si="11"/>
        <v>0.74816685339543731</v>
      </c>
      <c r="L13" s="18">
        <f t="shared" si="11"/>
        <v>0.95669232770376755</v>
      </c>
      <c r="M13" s="30">
        <f>Data!L209</f>
        <v>9.3299999999999994E-2</v>
      </c>
      <c r="N13" s="30">
        <f>Data!L326 - M13</f>
        <v>0.22860001000000002</v>
      </c>
      <c r="O13" s="30">
        <f t="shared" si="0"/>
        <v>0.67809998999999999</v>
      </c>
      <c r="P13" s="30">
        <f>Data!Q209</f>
        <v>0</v>
      </c>
      <c r="Q13" s="30">
        <f>Data!Q326 - P13</f>
        <v>0</v>
      </c>
      <c r="R13" s="30">
        <f t="shared" si="12"/>
        <v>1</v>
      </c>
      <c r="S13" s="19">
        <f t="shared" si="1"/>
        <v>0.74816685339543731</v>
      </c>
      <c r="T13" s="19">
        <f t="shared" si="2"/>
        <v>0.20852547430833024</v>
      </c>
      <c r="U13" s="19">
        <f t="shared" si="3"/>
        <v>4.3307672296232447E-2</v>
      </c>
      <c r="V13" s="30">
        <f t="shared" si="13"/>
        <v>0.25183314660456269</v>
      </c>
      <c r="W13" s="11">
        <f t="shared" si="4"/>
        <v>0.33522400610505021</v>
      </c>
      <c r="X13" s="30">
        <f t="shared" si="5"/>
        <v>1.1543526828643853</v>
      </c>
      <c r="Y13" s="30">
        <f t="shared" si="6"/>
        <v>9.6268984680438319E-2</v>
      </c>
      <c r="Z13" s="30">
        <f t="shared" si="14"/>
        <v>-9.3651386822939164E-2</v>
      </c>
      <c r="AA13" s="30">
        <f t="shared" si="15"/>
        <v>-1</v>
      </c>
      <c r="AB13" s="30">
        <f t="shared" si="16"/>
        <v>-1</v>
      </c>
      <c r="AC13" s="30">
        <f t="shared" si="17"/>
        <v>0.33660024560251189</v>
      </c>
    </row>
    <row r="14" spans="1:29" x14ac:dyDescent="0.5">
      <c r="A14">
        <v>1991</v>
      </c>
      <c r="B14" s="12">
        <f>'Minimum Deflation Total'!D14</f>
        <v>10490.376834068802</v>
      </c>
      <c r="C14" s="12">
        <f>Data!AD535</f>
        <v>22789</v>
      </c>
      <c r="D14" s="12">
        <f>Data!Y93</f>
        <v>437227.69</v>
      </c>
      <c r="E14" s="11">
        <f t="shared" si="7"/>
        <v>9.8407989611063353</v>
      </c>
      <c r="F14" s="11">
        <f t="shared" si="8"/>
        <v>0.62166595737009034</v>
      </c>
      <c r="G14" s="12">
        <f t="shared" si="9"/>
        <v>41668.300632180166</v>
      </c>
      <c r="H14" s="12">
        <f t="shared" si="9"/>
        <v>79778.573062767609</v>
      </c>
      <c r="I14" s="17">
        <f t="shared" si="10"/>
        <v>0.65988560817451081</v>
      </c>
      <c r="J14" s="17">
        <f t="shared" si="10"/>
        <v>1.7046819166707503</v>
      </c>
      <c r="K14" s="18">
        <f t="shared" si="11"/>
        <v>0.74533637974690448</v>
      </c>
      <c r="L14" s="18">
        <f t="shared" si="11"/>
        <v>0.95587311787558937</v>
      </c>
      <c r="M14" s="30">
        <f>Data!L210</f>
        <v>9.1499998999999999E-2</v>
      </c>
      <c r="N14" s="30">
        <f>Data!L327 - M14</f>
        <v>0.22930001100000003</v>
      </c>
      <c r="O14" s="30">
        <f t="shared" si="0"/>
        <v>0.67919998999999986</v>
      </c>
      <c r="P14" s="30">
        <f>Data!Q210</f>
        <v>0</v>
      </c>
      <c r="Q14" s="30">
        <f>Data!Q327 - P14</f>
        <v>0</v>
      </c>
      <c r="R14" s="30">
        <f t="shared" si="12"/>
        <v>1</v>
      </c>
      <c r="S14" s="19">
        <f t="shared" si="1"/>
        <v>0.74533637974690448</v>
      </c>
      <c r="T14" s="19">
        <f t="shared" si="2"/>
        <v>0.2105367381286849</v>
      </c>
      <c r="U14" s="19">
        <f t="shared" si="3"/>
        <v>4.4126882124410627E-2</v>
      </c>
      <c r="V14" s="30">
        <f t="shared" si="13"/>
        <v>0.25466362025309552</v>
      </c>
      <c r="W14" s="11">
        <f t="shared" si="4"/>
        <v>0.33976172397573512</v>
      </c>
      <c r="X14" s="30">
        <f t="shared" si="5"/>
        <v>1.0735659216082016</v>
      </c>
      <c r="Y14" s="30">
        <f t="shared" si="6"/>
        <v>8.9121134097967181E-2</v>
      </c>
      <c r="Z14" s="30">
        <f t="shared" si="14"/>
        <v>-8.8733612827757935E-2</v>
      </c>
      <c r="AA14" s="30">
        <f t="shared" si="15"/>
        <v>-1</v>
      </c>
      <c r="AB14" s="30">
        <f t="shared" si="16"/>
        <v>-1</v>
      </c>
      <c r="AC14" s="30">
        <f t="shared" si="17"/>
        <v>0.34167609038428015</v>
      </c>
    </row>
    <row r="15" spans="1:29" x14ac:dyDescent="0.5">
      <c r="A15" s="10">
        <v>1992</v>
      </c>
      <c r="B15" s="12">
        <f>'Minimum Deflation Total'!D15</f>
        <v>10700.184370750178</v>
      </c>
      <c r="C15" s="12">
        <f>Data!AD536</f>
        <v>22525.300999999999</v>
      </c>
      <c r="D15" s="12">
        <f>Data!Y94</f>
        <v>403493.09</v>
      </c>
      <c r="E15" s="11">
        <f t="shared" si="7"/>
        <v>9.8393921908310062</v>
      </c>
      <c r="F15" s="11">
        <f t="shared" si="8"/>
        <v>0.60498306502963806</v>
      </c>
      <c r="G15" s="12">
        <f t="shared" si="9"/>
        <v>40729.551333224095</v>
      </c>
      <c r="H15" s="12">
        <f t="shared" si="9"/>
        <v>76633.780559894105</v>
      </c>
      <c r="I15" s="17">
        <f t="shared" si="10"/>
        <v>0.6765685005149642</v>
      </c>
      <c r="J15" s="17">
        <f t="shared" si="10"/>
        <v>1.721364809011205</v>
      </c>
      <c r="K15" s="18">
        <f t="shared" si="11"/>
        <v>0.75066011479599104</v>
      </c>
      <c r="L15" s="18">
        <f t="shared" si="11"/>
        <v>0.95740767705791585</v>
      </c>
      <c r="M15" s="30">
        <f>Data!L211</f>
        <v>8.6199998999999999E-2</v>
      </c>
      <c r="N15" s="30">
        <f>Data!L328 - M15</f>
        <v>0.22760001100000002</v>
      </c>
      <c r="O15" s="30">
        <f t="shared" si="0"/>
        <v>0.68619998999999998</v>
      </c>
      <c r="P15" s="30">
        <f>Data!Q211</f>
        <v>0</v>
      </c>
      <c r="Q15" s="30">
        <f>Data!Q328 - P15</f>
        <v>0</v>
      </c>
      <c r="R15" s="30">
        <f t="shared" si="12"/>
        <v>1</v>
      </c>
      <c r="S15" s="19">
        <f t="shared" si="1"/>
        <v>0.75066011479599104</v>
      </c>
      <c r="T15" s="19">
        <f t="shared" si="2"/>
        <v>0.20674756226192481</v>
      </c>
      <c r="U15" s="19">
        <f t="shared" si="3"/>
        <v>4.2592322942084149E-2</v>
      </c>
      <c r="V15" s="30">
        <f t="shared" si="13"/>
        <v>0.24933988520400896</v>
      </c>
      <c r="W15" s="11">
        <f t="shared" si="4"/>
        <v>0.33119425465446461</v>
      </c>
      <c r="X15" s="30">
        <f t="shared" si="5"/>
        <v>1.0238388762503599</v>
      </c>
      <c r="Y15" s="30">
        <f t="shared" si="6"/>
        <v>0.10085946605579621</v>
      </c>
      <c r="Z15" s="30">
        <f t="shared" si="14"/>
        <v>-8.5871253214924836E-2</v>
      </c>
      <c r="AA15" s="30">
        <f t="shared" si="15"/>
        <v>-1</v>
      </c>
      <c r="AB15" s="30">
        <f t="shared" si="16"/>
        <v>-1</v>
      </c>
      <c r="AC15" s="30">
        <f t="shared" si="17"/>
        <v>0.33216082790248258</v>
      </c>
    </row>
    <row r="16" spans="1:29" x14ac:dyDescent="0.5">
      <c r="A16">
        <v>1993</v>
      </c>
      <c r="B16" s="12">
        <f>'Minimum Deflation Total'!D16</f>
        <v>10914.188058165182</v>
      </c>
      <c r="C16" s="12">
        <f>Data!AD537</f>
        <v>22963</v>
      </c>
      <c r="D16" s="12">
        <f>Data!Y95</f>
        <v>403966.5</v>
      </c>
      <c r="E16" s="11">
        <f t="shared" si="7"/>
        <v>9.8605109049455901</v>
      </c>
      <c r="F16" s="11">
        <f t="shared" si="8"/>
        <v>0.6018780590340217</v>
      </c>
      <c r="G16" s="12">
        <f t="shared" si="9"/>
        <v>41433.65174710875</v>
      </c>
      <c r="H16" s="12">
        <f t="shared" si="9"/>
        <v>77706.069512677219</v>
      </c>
      <c r="I16" s="17">
        <f t="shared" si="10"/>
        <v>0.67967350651057679</v>
      </c>
      <c r="J16" s="17">
        <f t="shared" si="10"/>
        <v>1.7244698150068187</v>
      </c>
      <c r="K16" s="18">
        <f t="shared" si="11"/>
        <v>0.75164439254987392</v>
      </c>
      <c r="L16" s="18">
        <f t="shared" si="11"/>
        <v>0.95768846820687392</v>
      </c>
      <c r="M16" s="30">
        <f>Data!L212</f>
        <v>9.0899995999999997E-2</v>
      </c>
      <c r="N16" s="30">
        <f>Data!L329 - M16</f>
        <v>0.22650001400000003</v>
      </c>
      <c r="O16" s="30">
        <f t="shared" si="0"/>
        <v>0.68259999000000005</v>
      </c>
      <c r="P16" s="30">
        <f>Data!Q212</f>
        <v>0</v>
      </c>
      <c r="Q16" s="30">
        <f>Data!Q329 - P16</f>
        <v>0</v>
      </c>
      <c r="R16" s="30">
        <f t="shared" si="12"/>
        <v>1</v>
      </c>
      <c r="S16" s="19">
        <f t="shared" si="1"/>
        <v>0.75164439254987392</v>
      </c>
      <c r="T16" s="19">
        <f t="shared" si="2"/>
        <v>0.206044075657</v>
      </c>
      <c r="U16" s="19">
        <f t="shared" si="3"/>
        <v>4.2311531793126078E-2</v>
      </c>
      <c r="V16" s="30">
        <f t="shared" si="13"/>
        <v>0.24835560745012608</v>
      </c>
      <c r="W16" s="11">
        <f t="shared" si="4"/>
        <v>0.32959487085724293</v>
      </c>
      <c r="X16" s="30">
        <f t="shared" si="5"/>
        <v>1.1483503940353108</v>
      </c>
      <c r="Y16" s="30">
        <f t="shared" si="6"/>
        <v>9.9279429790803064E-2</v>
      </c>
      <c r="Z16" s="30">
        <f t="shared" si="14"/>
        <v>-9.1857803017259321E-2</v>
      </c>
      <c r="AA16" s="30">
        <f t="shared" si="15"/>
        <v>-1</v>
      </c>
      <c r="AB16" s="30">
        <f t="shared" si="16"/>
        <v>-1</v>
      </c>
      <c r="AC16" s="30">
        <f t="shared" si="17"/>
        <v>0.33041636432303578</v>
      </c>
    </row>
    <row r="17" spans="1:29" x14ac:dyDescent="0.5">
      <c r="A17" s="10">
        <v>1994</v>
      </c>
      <c r="B17" s="12">
        <f>'Minimum Deflation Total'!D17</f>
        <v>11132.471819328486</v>
      </c>
      <c r="C17" s="12">
        <f>Data!AD538</f>
        <v>23413.1</v>
      </c>
      <c r="D17" s="12">
        <f>Data!Y96</f>
        <v>419183.41</v>
      </c>
      <c r="E17" s="11">
        <f t="shared" si="7"/>
        <v>9.8781955051171018</v>
      </c>
      <c r="F17" s="11">
        <f t="shared" si="8"/>
        <v>0.60474038833650423</v>
      </c>
      <c r="G17" s="12">
        <f t="shared" si="9"/>
        <v>42327.890453323511</v>
      </c>
      <c r="H17" s="12">
        <f t="shared" si="9"/>
        <v>79620.909688860847</v>
      </c>
      <c r="I17" s="17">
        <f t="shared" si="10"/>
        <v>0.67681117720809758</v>
      </c>
      <c r="J17" s="17">
        <f t="shared" si="10"/>
        <v>1.7216074857043375</v>
      </c>
      <c r="K17" s="18">
        <f t="shared" si="11"/>
        <v>0.75073711722546688</v>
      </c>
      <c r="L17" s="18">
        <f t="shared" si="11"/>
        <v>0.95742967687789082</v>
      </c>
      <c r="M17" s="30">
        <f>Data!L213</f>
        <v>9.1799996999999994E-2</v>
      </c>
      <c r="N17" s="30">
        <f>Data!L330 - M17</f>
        <v>0.22570000300000001</v>
      </c>
      <c r="O17" s="30">
        <f t="shared" si="0"/>
        <v>0.6825</v>
      </c>
      <c r="P17" s="30">
        <f>Data!Q213</f>
        <v>0</v>
      </c>
      <c r="Q17" s="30">
        <f>Data!Q330 - P17</f>
        <v>0</v>
      </c>
      <c r="R17" s="30">
        <f t="shared" si="12"/>
        <v>1</v>
      </c>
      <c r="S17" s="19">
        <f t="shared" si="1"/>
        <v>0.75073711722546688</v>
      </c>
      <c r="T17" s="19">
        <f t="shared" si="2"/>
        <v>0.20669255965242395</v>
      </c>
      <c r="U17" s="19">
        <f t="shared" si="3"/>
        <v>4.2570323122109177E-2</v>
      </c>
      <c r="V17" s="30">
        <f t="shared" si="13"/>
        <v>0.24926288277453312</v>
      </c>
      <c r="W17" s="11">
        <f t="shared" si="4"/>
        <v>0.33106930627277853</v>
      </c>
      <c r="X17" s="30">
        <f t="shared" si="5"/>
        <v>1.1564317643697439</v>
      </c>
      <c r="Y17" s="30">
        <f t="shared" si="6"/>
        <v>9.1959978528202146E-2</v>
      </c>
      <c r="Z17" s="30">
        <f t="shared" si="14"/>
        <v>-9.0893490756996154E-2</v>
      </c>
      <c r="AA17" s="30">
        <f t="shared" si="15"/>
        <v>-1</v>
      </c>
      <c r="AB17" s="30">
        <f t="shared" si="16"/>
        <v>-1</v>
      </c>
      <c r="AC17" s="30">
        <f t="shared" si="17"/>
        <v>0.33202418936703859</v>
      </c>
    </row>
    <row r="18" spans="1:29" x14ac:dyDescent="0.5">
      <c r="A18">
        <v>1995</v>
      </c>
      <c r="B18" s="12">
        <f>'Minimum Deflation Total'!D18</f>
        <v>11355.121255715056</v>
      </c>
      <c r="C18" s="12">
        <f>Data!AD539</f>
        <v>23798.199000000001</v>
      </c>
      <c r="D18" s="12">
        <f>Data!Y97</f>
        <v>433590.81</v>
      </c>
      <c r="E18" s="11">
        <f t="shared" si="7"/>
        <v>9.8930969373493447</v>
      </c>
      <c r="F18" s="11">
        <f t="shared" si="8"/>
        <v>0.60707206685536674</v>
      </c>
      <c r="G18" s="12">
        <f t="shared" si="9"/>
        <v>43091.933251067399</v>
      </c>
      <c r="H18" s="12">
        <f t="shared" si="9"/>
        <v>81255.821712226869</v>
      </c>
      <c r="I18" s="17">
        <f t="shared" si="10"/>
        <v>0.67447949868923429</v>
      </c>
      <c r="J18" s="17">
        <f t="shared" si="10"/>
        <v>1.7192758071854732</v>
      </c>
      <c r="K18" s="18">
        <f t="shared" si="11"/>
        <v>0.74999674230002655</v>
      </c>
      <c r="L18" s="18">
        <f t="shared" si="11"/>
        <v>0.95721791850737592</v>
      </c>
      <c r="M18" s="30">
        <f>Data!L214</f>
        <v>9.2299997999999994E-2</v>
      </c>
      <c r="N18" s="30">
        <f>Data!L331 - M18</f>
        <v>0.224799992</v>
      </c>
      <c r="O18" s="30">
        <f t="shared" si="0"/>
        <v>0.68290001</v>
      </c>
      <c r="P18" s="30">
        <f>Data!Q214</f>
        <v>0</v>
      </c>
      <c r="Q18" s="30">
        <f>Data!Q331 - P18</f>
        <v>0</v>
      </c>
      <c r="R18" s="30">
        <f t="shared" si="12"/>
        <v>1</v>
      </c>
      <c r="S18" s="19">
        <f t="shared" si="1"/>
        <v>0.74999674230002655</v>
      </c>
      <c r="T18" s="19">
        <f t="shared" si="2"/>
        <v>0.20722117620734937</v>
      </c>
      <c r="U18" s="19">
        <f t="shared" si="3"/>
        <v>4.278208149262408E-2</v>
      </c>
      <c r="V18" s="30">
        <f t="shared" si="13"/>
        <v>0.25000325769997345</v>
      </c>
      <c r="W18" s="11">
        <f t="shared" si="4"/>
        <v>0.33226945174706835</v>
      </c>
      <c r="X18" s="30">
        <f t="shared" si="5"/>
        <v>1.1574452382807308</v>
      </c>
      <c r="Y18" s="30">
        <f t="shared" si="6"/>
        <v>8.4831174662675091E-2</v>
      </c>
      <c r="Z18" s="30">
        <f t="shared" si="14"/>
        <v>-8.9462698323542034E-2</v>
      </c>
      <c r="AA18" s="30">
        <f t="shared" si="15"/>
        <v>-1</v>
      </c>
      <c r="AB18" s="30">
        <f t="shared" si="16"/>
        <v>-1</v>
      </c>
      <c r="AC18" s="30">
        <f t="shared" si="17"/>
        <v>0.33333912482510875</v>
      </c>
    </row>
    <row r="19" spans="1:29" x14ac:dyDescent="0.5">
      <c r="A19" s="10">
        <v>1996</v>
      </c>
      <c r="B19" s="12">
        <f>'Minimum Deflation Total'!D19</f>
        <v>11582.223680829356</v>
      </c>
      <c r="C19" s="12">
        <f>Data!AD540</f>
        <v>24399.300999999999</v>
      </c>
      <c r="D19" s="12">
        <f>Data!Y98</f>
        <v>484647.59</v>
      </c>
      <c r="E19" s="11">
        <f t="shared" si="7"/>
        <v>9.9086655058721149</v>
      </c>
      <c r="F19" s="11">
        <f t="shared" si="8"/>
        <v>0.62232508780836826</v>
      </c>
      <c r="G19" s="12">
        <f t="shared" si="9"/>
        <v>44632.036906450165</v>
      </c>
      <c r="H19" s="12">
        <f t="shared" si="9"/>
        <v>85511.842222263149</v>
      </c>
      <c r="I19" s="17">
        <f t="shared" si="10"/>
        <v>0.65922647773623011</v>
      </c>
      <c r="J19" s="17">
        <f t="shared" si="10"/>
        <v>1.7040227862324726</v>
      </c>
      <c r="K19" s="18">
        <f t="shared" si="11"/>
        <v>0.74512482669187263</v>
      </c>
      <c r="L19" s="18">
        <f t="shared" si="11"/>
        <v>0.95581158482238604</v>
      </c>
      <c r="M19" s="30">
        <f>Data!L215</f>
        <v>0.1003</v>
      </c>
      <c r="N19" s="30">
        <f>Data!L332 - M19</f>
        <v>0.22199998999999998</v>
      </c>
      <c r="O19" s="30">
        <f t="shared" si="0"/>
        <v>0.67770000999999991</v>
      </c>
      <c r="P19" s="30">
        <f>Data!Q215</f>
        <v>0</v>
      </c>
      <c r="Q19" s="30">
        <f>Data!Q332 - P19</f>
        <v>0</v>
      </c>
      <c r="R19" s="30">
        <f t="shared" si="12"/>
        <v>1</v>
      </c>
      <c r="S19" s="19">
        <f t="shared" si="1"/>
        <v>0.74512482669187263</v>
      </c>
      <c r="T19" s="19">
        <f t="shared" si="2"/>
        <v>0.21068675813051341</v>
      </c>
      <c r="U19" s="19">
        <f t="shared" si="3"/>
        <v>4.418841517761396E-2</v>
      </c>
      <c r="V19" s="30">
        <f t="shared" si="13"/>
        <v>0.25487517330812737</v>
      </c>
      <c r="W19" s="11">
        <f t="shared" si="4"/>
        <v>0.34009931557908368</v>
      </c>
      <c r="X19" s="30">
        <f t="shared" si="5"/>
        <v>1.2698256906668246</v>
      </c>
      <c r="Y19" s="30">
        <f t="shared" si="6"/>
        <v>5.3696928890416551E-2</v>
      </c>
      <c r="Z19" s="30">
        <f t="shared" si="14"/>
        <v>-9.0487948161945386E-2</v>
      </c>
      <c r="AA19" s="30">
        <f t="shared" si="15"/>
        <v>-1</v>
      </c>
      <c r="AB19" s="30">
        <f t="shared" si="16"/>
        <v>-1</v>
      </c>
      <c r="AC19" s="30">
        <f t="shared" si="17"/>
        <v>0.34205701404380195</v>
      </c>
    </row>
    <row r="20" spans="1:29" x14ac:dyDescent="0.5">
      <c r="A20">
        <v>1997</v>
      </c>
      <c r="B20" s="12">
        <f>'Minimum Deflation Total'!D20</f>
        <v>11813.868154445943</v>
      </c>
      <c r="C20" s="12">
        <f>Data!AD541</f>
        <v>25262.800999999999</v>
      </c>
      <c r="D20" s="12">
        <f>Data!Y99</f>
        <v>524003.41</v>
      </c>
      <c r="E20" s="11">
        <f t="shared" si="7"/>
        <v>9.9373526724043959</v>
      </c>
      <c r="F20" s="11">
        <f t="shared" si="8"/>
        <v>0.63203734720365257</v>
      </c>
      <c r="G20" s="12">
        <f t="shared" si="9"/>
        <v>46506.209681439002</v>
      </c>
      <c r="H20" s="12">
        <f t="shared" si="9"/>
        <v>90011.382306325962</v>
      </c>
      <c r="I20" s="17">
        <f t="shared" si="10"/>
        <v>0.64951421834094791</v>
      </c>
      <c r="J20" s="17">
        <f t="shared" si="10"/>
        <v>1.6943105268371876</v>
      </c>
      <c r="K20" s="18">
        <f t="shared" si="11"/>
        <v>0.74199697037871104</v>
      </c>
      <c r="L20" s="18">
        <f t="shared" si="11"/>
        <v>0.9548968543627202</v>
      </c>
      <c r="M20" s="30">
        <f>Data!L216</f>
        <v>0.10440000000000001</v>
      </c>
      <c r="N20" s="30">
        <f>Data!L333 - M20</f>
        <v>0.22050000000000003</v>
      </c>
      <c r="O20" s="30">
        <f t="shared" si="0"/>
        <v>0.67509999999999992</v>
      </c>
      <c r="P20" s="30">
        <f>Data!Q216</f>
        <v>0</v>
      </c>
      <c r="Q20" s="30">
        <f>Data!Q333 - P20</f>
        <v>0</v>
      </c>
      <c r="R20" s="30">
        <f t="shared" si="12"/>
        <v>1</v>
      </c>
      <c r="S20" s="19">
        <f t="shared" si="1"/>
        <v>0.74199697037871104</v>
      </c>
      <c r="T20" s="19">
        <f t="shared" si="2"/>
        <v>0.21289988398400916</v>
      </c>
      <c r="U20" s="19">
        <f t="shared" si="3"/>
        <v>4.5103145637279796E-2</v>
      </c>
      <c r="V20" s="30">
        <f t="shared" si="13"/>
        <v>0.25800302962128896</v>
      </c>
      <c r="W20" s="11">
        <f t="shared" si="4"/>
        <v>0.34506565657686883</v>
      </c>
      <c r="X20" s="30">
        <f t="shared" si="5"/>
        <v>1.3146944303970822</v>
      </c>
      <c r="Y20" s="30">
        <f t="shared" si="6"/>
        <v>3.5698074953209868E-2</v>
      </c>
      <c r="Z20" s="30">
        <f t="shared" si="14"/>
        <v>-9.0158010139269495E-2</v>
      </c>
      <c r="AA20" s="30">
        <f t="shared" si="15"/>
        <v>-1</v>
      </c>
      <c r="AB20" s="30">
        <f t="shared" si="16"/>
        <v>-1</v>
      </c>
      <c r="AC20" s="30">
        <f t="shared" si="17"/>
        <v>0.34771439766068823</v>
      </c>
    </row>
    <row r="21" spans="1:29" x14ac:dyDescent="0.5">
      <c r="A21" s="10">
        <v>1998</v>
      </c>
      <c r="B21" s="12">
        <f>'Minimum Deflation Total'!D21</f>
        <v>12050.145517534862</v>
      </c>
      <c r="C21" s="12">
        <f>Data!AD542</f>
        <v>26220.9</v>
      </c>
      <c r="D21" s="12">
        <f>Data!Y100</f>
        <v>560395.13</v>
      </c>
      <c r="E21" s="11">
        <f t="shared" si="7"/>
        <v>9.9695584376403747</v>
      </c>
      <c r="F21" s="11">
        <f t="shared" si="8"/>
        <v>0.63992756469935019</v>
      </c>
      <c r="G21" s="12">
        <f t="shared" si="9"/>
        <v>48516.470150806614</v>
      </c>
      <c r="H21" s="12">
        <f t="shared" si="9"/>
        <v>94679.479610886454</v>
      </c>
      <c r="I21" s="17">
        <f t="shared" si="10"/>
        <v>0.64162400084525073</v>
      </c>
      <c r="J21" s="17">
        <f t="shared" si="10"/>
        <v>1.68642030934149</v>
      </c>
      <c r="K21" s="18">
        <f t="shared" si="11"/>
        <v>0.73944132722198841</v>
      </c>
      <c r="L21" s="18">
        <f t="shared" si="11"/>
        <v>0.95414256381108165</v>
      </c>
      <c r="M21" s="30">
        <f>Data!L217</f>
        <v>0.1067</v>
      </c>
      <c r="N21" s="30">
        <f>Data!L334 - M21</f>
        <v>0.22099998999999998</v>
      </c>
      <c r="O21" s="30">
        <f t="shared" si="0"/>
        <v>0.67230001000000006</v>
      </c>
      <c r="P21" s="30">
        <f>Data!Q217</f>
        <v>0</v>
      </c>
      <c r="Q21" s="30">
        <f>Data!Q334 - P21</f>
        <v>0</v>
      </c>
      <c r="R21" s="30">
        <f t="shared" si="12"/>
        <v>1</v>
      </c>
      <c r="S21" s="19">
        <f t="shared" si="1"/>
        <v>0.73944132722198841</v>
      </c>
      <c r="T21" s="19">
        <f t="shared" si="2"/>
        <v>0.21470123658909324</v>
      </c>
      <c r="U21" s="19">
        <f t="shared" si="3"/>
        <v>4.5857436188918355E-2</v>
      </c>
      <c r="V21" s="30">
        <f t="shared" si="13"/>
        <v>0.26055867277801159</v>
      </c>
      <c r="W21" s="11">
        <f t="shared" si="4"/>
        <v>0.34908910479951905</v>
      </c>
      <c r="X21" s="30">
        <f t="shared" si="5"/>
        <v>1.3267763937004511</v>
      </c>
      <c r="Y21" s="30">
        <f t="shared" si="6"/>
        <v>2.9337294516666557E-2</v>
      </c>
      <c r="Z21" s="30">
        <f t="shared" si="14"/>
        <v>-9.0800060464880872E-2</v>
      </c>
      <c r="AA21" s="30">
        <f t="shared" si="15"/>
        <v>-1</v>
      </c>
      <c r="AB21" s="30">
        <f t="shared" si="16"/>
        <v>-1</v>
      </c>
      <c r="AC21" s="30">
        <f t="shared" si="17"/>
        <v>0.35237234272110007</v>
      </c>
    </row>
    <row r="22" spans="1:29" x14ac:dyDescent="0.5">
      <c r="A22">
        <v>1999</v>
      </c>
      <c r="B22" s="12">
        <f>'Minimum Deflation Total'!D22</f>
        <v>12291.148427885559</v>
      </c>
      <c r="C22" s="12">
        <f>Data!AD543</f>
        <v>26965.5</v>
      </c>
      <c r="D22" s="12">
        <f>Data!Y101</f>
        <v>573516.13</v>
      </c>
      <c r="E22" s="11">
        <f t="shared" si="7"/>
        <v>9.9972033849778832</v>
      </c>
      <c r="F22" s="11">
        <f t="shared" si="8"/>
        <v>0.64048444973581853</v>
      </c>
      <c r="G22" s="12">
        <f t="shared" si="9"/>
        <v>49912.024978624933</v>
      </c>
      <c r="H22" s="12">
        <f t="shared" si="9"/>
        <v>97459.581564138804</v>
      </c>
      <c r="I22" s="17">
        <f t="shared" si="10"/>
        <v>0.64106711580878351</v>
      </c>
      <c r="J22" s="17">
        <f t="shared" si="10"/>
        <v>1.6858634243050239</v>
      </c>
      <c r="K22" s="18">
        <f t="shared" si="11"/>
        <v>0.73926046089789399</v>
      </c>
      <c r="L22" s="18">
        <f t="shared" si="11"/>
        <v>0.95408894590323035</v>
      </c>
      <c r="M22" s="30">
        <f>Data!L218</f>
        <v>0.106</v>
      </c>
      <c r="N22" s="30">
        <f>Data!L335 - M22</f>
        <v>0.22140000000000004</v>
      </c>
      <c r="O22" s="30">
        <f t="shared" si="0"/>
        <v>0.67259999999999998</v>
      </c>
      <c r="P22" s="30">
        <f>Data!Q218</f>
        <v>0</v>
      </c>
      <c r="Q22" s="30">
        <f>Data!Q335 - P22</f>
        <v>0</v>
      </c>
      <c r="R22" s="30">
        <f t="shared" si="12"/>
        <v>1</v>
      </c>
      <c r="S22" s="19">
        <f t="shared" si="1"/>
        <v>0.73926046089789399</v>
      </c>
      <c r="T22" s="19">
        <f t="shared" si="2"/>
        <v>0.21482848500533636</v>
      </c>
      <c r="U22" s="19">
        <f t="shared" si="3"/>
        <v>4.5911054096769655E-2</v>
      </c>
      <c r="V22" s="30">
        <f t="shared" si="13"/>
        <v>0.26073953910210601</v>
      </c>
      <c r="W22" s="11">
        <f t="shared" si="4"/>
        <v>0.34937269434770801</v>
      </c>
      <c r="X22" s="30">
        <f t="shared" si="5"/>
        <v>1.3088121605001062</v>
      </c>
      <c r="Y22" s="30">
        <f t="shared" si="6"/>
        <v>3.05895886874612E-2</v>
      </c>
      <c r="Z22" s="30">
        <f t="shared" si="14"/>
        <v>-9.0171819573481971E-2</v>
      </c>
      <c r="AA22" s="30">
        <f t="shared" si="15"/>
        <v>-1</v>
      </c>
      <c r="AB22" s="30">
        <f t="shared" si="16"/>
        <v>-1</v>
      </c>
      <c r="AC22" s="30">
        <f t="shared" si="17"/>
        <v>0.35270321205250976</v>
      </c>
    </row>
    <row r="23" spans="1:29" x14ac:dyDescent="0.5">
      <c r="A23" s="10">
        <v>2000</v>
      </c>
      <c r="B23" s="12">
        <f>'Minimum Deflation Total'!D23</f>
        <v>12536.97139644327</v>
      </c>
      <c r="C23" s="12">
        <f>Data!AD544</f>
        <v>27209.4</v>
      </c>
      <c r="D23" s="12">
        <f>Data!Y102</f>
        <v>617913.88</v>
      </c>
      <c r="E23" s="11">
        <f t="shared" si="7"/>
        <v>10.000320435585675</v>
      </c>
      <c r="F23" s="11">
        <f t="shared" si="8"/>
        <v>0.64961118406605112</v>
      </c>
      <c r="G23" s="12">
        <f t="shared" si="9"/>
        <v>50656.896763003962</v>
      </c>
      <c r="H23" s="12">
        <f t="shared" si="9"/>
        <v>99861.752412209491</v>
      </c>
      <c r="I23" s="17">
        <f t="shared" si="10"/>
        <v>0.63194038147855025</v>
      </c>
      <c r="J23" s="17">
        <f t="shared" si="10"/>
        <v>1.6767366899747889</v>
      </c>
      <c r="K23" s="18">
        <f t="shared" si="11"/>
        <v>0.73628708243423202</v>
      </c>
      <c r="L23" s="18">
        <f t="shared" si="11"/>
        <v>0.95320300868361785</v>
      </c>
      <c r="M23" s="30">
        <f>Data!L219</f>
        <v>0.1103</v>
      </c>
      <c r="N23" s="30">
        <f>Data!L336 - M23</f>
        <v>0.22060001000000001</v>
      </c>
      <c r="O23" s="30">
        <f t="shared" si="0"/>
        <v>0.66909998999999998</v>
      </c>
      <c r="P23" s="30">
        <f>Data!Q219</f>
        <v>0</v>
      </c>
      <c r="Q23" s="30">
        <f>Data!Q336 - P23</f>
        <v>0</v>
      </c>
      <c r="R23" s="30">
        <f t="shared" si="12"/>
        <v>1</v>
      </c>
      <c r="S23" s="19">
        <f t="shared" si="1"/>
        <v>0.73628708243423202</v>
      </c>
      <c r="T23" s="19">
        <f t="shared" si="2"/>
        <v>0.21691592624938583</v>
      </c>
      <c r="U23" s="19">
        <f t="shared" si="3"/>
        <v>4.6796991316382153E-2</v>
      </c>
      <c r="V23" s="30">
        <f t="shared" si="13"/>
        <v>0.26371291756576798</v>
      </c>
      <c r="W23" s="11">
        <f t="shared" si="4"/>
        <v>0.35401318431109008</v>
      </c>
      <c r="X23" s="30">
        <f t="shared" si="5"/>
        <v>1.3569891332177897</v>
      </c>
      <c r="Y23" s="30">
        <f t="shared" si="6"/>
        <v>1.6983924667562933E-2</v>
      </c>
      <c r="Z23" s="30">
        <f t="shared" si="14"/>
        <v>-9.1251217136806728E-2</v>
      </c>
      <c r="AA23" s="30">
        <f t="shared" si="15"/>
        <v>-1</v>
      </c>
      <c r="AB23" s="30">
        <f t="shared" si="16"/>
        <v>-1</v>
      </c>
      <c r="AC23" s="30">
        <f t="shared" si="17"/>
        <v>0.35816588917180114</v>
      </c>
    </row>
    <row r="24" spans="1:29" x14ac:dyDescent="0.5">
      <c r="A24">
        <v>2001</v>
      </c>
      <c r="B24" s="12">
        <f>'Minimum Deflation Total'!D24</f>
        <v>12787.710824372136</v>
      </c>
      <c r="C24" s="12">
        <f>Data!AD545</f>
        <v>27010.5</v>
      </c>
      <c r="D24" s="12">
        <f>Data!Y103</f>
        <v>633582.81000000006</v>
      </c>
      <c r="E24" s="11">
        <f t="shared" si="7"/>
        <v>9.9924160143958645</v>
      </c>
      <c r="F24" s="11">
        <f t="shared" si="8"/>
        <v>0.65048434859234927</v>
      </c>
      <c r="G24" s="12">
        <f t="shared" si="9"/>
        <v>50314.332190001332</v>
      </c>
      <c r="H24" s="12">
        <f t="shared" si="9"/>
        <v>99276.969619760232</v>
      </c>
      <c r="I24" s="17">
        <f t="shared" si="10"/>
        <v>0.63106721695225154</v>
      </c>
      <c r="J24" s="17">
        <f t="shared" si="10"/>
        <v>1.6758635254484926</v>
      </c>
      <c r="K24" s="18">
        <f t="shared" si="11"/>
        <v>0.73600171233763401</v>
      </c>
      <c r="L24" s="18">
        <f t="shared" si="11"/>
        <v>0.95311753619978401</v>
      </c>
      <c r="M24" s="30">
        <f>Data!L220</f>
        <v>0.1132</v>
      </c>
      <c r="N24" s="30">
        <f>Data!L337 - M24</f>
        <v>0.22099999000000001</v>
      </c>
      <c r="O24" s="30">
        <f t="shared" si="0"/>
        <v>0.66580001</v>
      </c>
      <c r="P24" s="30">
        <f>Data!Q220</f>
        <v>0</v>
      </c>
      <c r="Q24" s="30">
        <f>Data!Q337 - P24</f>
        <v>0</v>
      </c>
      <c r="R24" s="30">
        <f t="shared" si="12"/>
        <v>1</v>
      </c>
      <c r="S24" s="19">
        <f t="shared" si="1"/>
        <v>0.73600171233763401</v>
      </c>
      <c r="T24" s="19">
        <f t="shared" si="2"/>
        <v>0.21711582386215</v>
      </c>
      <c r="U24" s="19">
        <f t="shared" si="3"/>
        <v>4.688246380021599E-2</v>
      </c>
      <c r="V24" s="30">
        <f t="shared" si="13"/>
        <v>0.26399828766236599</v>
      </c>
      <c r="W24" s="11">
        <f t="shared" si="4"/>
        <v>0.35445642747351136</v>
      </c>
      <c r="X24" s="30">
        <f t="shared" si="5"/>
        <v>1.4145488701785864</v>
      </c>
      <c r="Y24" s="30">
        <f t="shared" si="6"/>
        <v>1.7889834415367734E-2</v>
      </c>
      <c r="Z24" s="30">
        <f t="shared" si="14"/>
        <v>-9.5382525829545428E-2</v>
      </c>
      <c r="AA24" s="30">
        <f t="shared" si="15"/>
        <v>-1</v>
      </c>
      <c r="AB24" s="30">
        <f t="shared" si="16"/>
        <v>-1</v>
      </c>
      <c r="AC24" s="30">
        <f t="shared" si="17"/>
        <v>0.35869249111374235</v>
      </c>
    </row>
    <row r="25" spans="1:29" x14ac:dyDescent="0.5">
      <c r="A25" s="10">
        <v>2002</v>
      </c>
      <c r="B25" s="12">
        <f>'Minimum Deflation Total'!D25</f>
        <v>13043.465040859579</v>
      </c>
      <c r="C25" s="12">
        <f>Data!AD546</f>
        <v>27066.800999999999</v>
      </c>
      <c r="D25" s="12">
        <f>Data!Y104</f>
        <v>598555.13</v>
      </c>
      <c r="E25" s="11">
        <f t="shared" si="7"/>
        <v>10.002729219363083</v>
      </c>
      <c r="F25" s="11">
        <f t="shared" si="8"/>
        <v>0.63770523153012793</v>
      </c>
      <c r="G25" s="12">
        <f t="shared" si="9"/>
        <v>50010.154669844414</v>
      </c>
      <c r="H25" s="12">
        <f t="shared" si="9"/>
        <v>97368.05213507908</v>
      </c>
      <c r="I25" s="17">
        <f t="shared" si="10"/>
        <v>0.64384633401447178</v>
      </c>
      <c r="J25" s="17">
        <f t="shared" si="10"/>
        <v>1.6886426425107128</v>
      </c>
      <c r="K25" s="18">
        <f t="shared" si="11"/>
        <v>0.74016245763464616</v>
      </c>
      <c r="L25" s="18">
        <f t="shared" si="11"/>
        <v>0.95435603321303386</v>
      </c>
      <c r="M25" s="30">
        <f>Data!L221</f>
        <v>0.1095</v>
      </c>
      <c r="N25" s="30">
        <f>Data!L338 - M25</f>
        <v>0.21900000000000003</v>
      </c>
      <c r="O25" s="30">
        <f t="shared" si="0"/>
        <v>0.67149999999999987</v>
      </c>
      <c r="P25" s="30">
        <f>Data!Q221</f>
        <v>0</v>
      </c>
      <c r="Q25" s="30">
        <f>Data!Q338 - P25</f>
        <v>0</v>
      </c>
      <c r="R25" s="30">
        <f t="shared" si="12"/>
        <v>1</v>
      </c>
      <c r="S25" s="19">
        <f t="shared" si="1"/>
        <v>0.74016245763464616</v>
      </c>
      <c r="T25" s="19">
        <f t="shared" si="2"/>
        <v>0.2141935755783877</v>
      </c>
      <c r="U25" s="19">
        <f t="shared" si="3"/>
        <v>4.5643966786966139E-2</v>
      </c>
      <c r="V25" s="30">
        <f t="shared" si="13"/>
        <v>0.25983754236535384</v>
      </c>
      <c r="W25" s="11">
        <f t="shared" si="4"/>
        <v>0.3479568953387544</v>
      </c>
      <c r="X25" s="30">
        <f t="shared" si="5"/>
        <v>1.3990027096257607</v>
      </c>
      <c r="Y25" s="30">
        <f t="shared" si="6"/>
        <v>2.2439629240202486E-2</v>
      </c>
      <c r="Z25" s="30">
        <f t="shared" si="14"/>
        <v>-9.2766739148149258E-2</v>
      </c>
      <c r="AA25" s="30">
        <f t="shared" si="15"/>
        <v>-1</v>
      </c>
      <c r="AB25" s="30">
        <f t="shared" si="16"/>
        <v>-1</v>
      </c>
      <c r="AC25" s="30">
        <f t="shared" si="17"/>
        <v>0.35105474438101414</v>
      </c>
    </row>
    <row r="26" spans="1:29" x14ac:dyDescent="0.5">
      <c r="A26">
        <v>2003</v>
      </c>
      <c r="B26" s="12">
        <f>'Minimum Deflation Total'!D26</f>
        <v>13304.334341676771</v>
      </c>
      <c r="C26" s="12">
        <f>Data!AD547</f>
        <v>27674.400000000001</v>
      </c>
      <c r="D26" s="12">
        <f>Data!Y105</f>
        <v>630166.88</v>
      </c>
      <c r="E26" s="11">
        <f t="shared" si="7"/>
        <v>10.021549850828663</v>
      </c>
      <c r="F26" s="11">
        <f t="shared" si="8"/>
        <v>0.64298246678483029</v>
      </c>
      <c r="G26" s="12">
        <f t="shared" si="9"/>
        <v>51306.105401640183</v>
      </c>
      <c r="H26" s="12">
        <f t="shared" si="9"/>
        <v>100443.50865221019</v>
      </c>
      <c r="I26" s="17">
        <f t="shared" si="10"/>
        <v>0.63856909875977019</v>
      </c>
      <c r="J26" s="17">
        <f t="shared" si="10"/>
        <v>1.6833654072560102</v>
      </c>
      <c r="K26" s="18">
        <f t="shared" si="11"/>
        <v>0.73844835542556941</v>
      </c>
      <c r="L26" s="18">
        <f t="shared" si="11"/>
        <v>0.9538478121926165</v>
      </c>
      <c r="M26" s="30">
        <f>Data!L222</f>
        <v>0.1135</v>
      </c>
      <c r="N26" s="30">
        <f>Data!L339 - M26</f>
        <v>0.21900001000000002</v>
      </c>
      <c r="O26" s="30">
        <f t="shared" si="0"/>
        <v>0.66749998999999993</v>
      </c>
      <c r="P26" s="30">
        <f>Data!Q222</f>
        <v>0</v>
      </c>
      <c r="Q26" s="30">
        <f>Data!Q339 - P26</f>
        <v>0</v>
      </c>
      <c r="R26" s="30">
        <f t="shared" si="12"/>
        <v>1</v>
      </c>
      <c r="S26" s="19">
        <f t="shared" si="1"/>
        <v>0.73844835542556941</v>
      </c>
      <c r="T26" s="19">
        <f t="shared" si="2"/>
        <v>0.21539945676704708</v>
      </c>
      <c r="U26" s="19">
        <f t="shared" si="3"/>
        <v>4.6152187807383505E-2</v>
      </c>
      <c r="V26" s="30">
        <f t="shared" si="13"/>
        <v>0.26155164457443059</v>
      </c>
      <c r="W26" s="11">
        <f t="shared" si="4"/>
        <v>0.35064416818920963</v>
      </c>
      <c r="X26" s="30">
        <f t="shared" si="5"/>
        <v>1.4592550297657199</v>
      </c>
      <c r="Y26" s="30">
        <f t="shared" si="6"/>
        <v>1.6715702476663763E-2</v>
      </c>
      <c r="Z26" s="30">
        <f t="shared" si="14"/>
        <v>-9.6077626694261897E-2</v>
      </c>
      <c r="AA26" s="30">
        <f t="shared" si="15"/>
        <v>-1</v>
      </c>
      <c r="AB26" s="30">
        <f t="shared" si="16"/>
        <v>-1</v>
      </c>
      <c r="AC26" s="30">
        <f t="shared" si="17"/>
        <v>0.35419084171932069</v>
      </c>
    </row>
    <row r="27" spans="1:29" x14ac:dyDescent="0.5">
      <c r="A27" s="10">
        <v>2004</v>
      </c>
      <c r="B27" s="12">
        <f>'Minimum Deflation Total'!D27</f>
        <v>13570.421028510307</v>
      </c>
      <c r="C27" s="12">
        <f>Data!AD548</f>
        <v>27960</v>
      </c>
      <c r="D27" s="12">
        <f>Data!Y106</f>
        <v>663634.13</v>
      </c>
      <c r="E27" s="11">
        <f t="shared" si="7"/>
        <v>10.028379592612955</v>
      </c>
      <c r="F27" s="11">
        <f t="shared" si="8"/>
        <v>0.64830641479903761</v>
      </c>
      <c r="G27" s="12">
        <f t="shared" si="9"/>
        <v>52011.373429776468</v>
      </c>
      <c r="H27" s="12">
        <f t="shared" si="9"/>
        <v>102392.20262087339</v>
      </c>
      <c r="I27" s="17">
        <f t="shared" si="10"/>
        <v>0.63324515074556342</v>
      </c>
      <c r="J27" s="17">
        <f t="shared" si="10"/>
        <v>1.678041459241804</v>
      </c>
      <c r="K27" s="18">
        <f t="shared" si="11"/>
        <v>0.73671321740020146</v>
      </c>
      <c r="L27" s="18">
        <f t="shared" si="11"/>
        <v>0.95333049716760832</v>
      </c>
      <c r="M27" s="30">
        <f>Data!L223</f>
        <v>0.1162</v>
      </c>
      <c r="N27" s="30">
        <f>Data!L340 - M27</f>
        <v>0.21909999999999999</v>
      </c>
      <c r="O27" s="30">
        <f t="shared" si="0"/>
        <v>0.66470000000000007</v>
      </c>
      <c r="P27" s="30">
        <f>Data!Q223</f>
        <v>0</v>
      </c>
      <c r="Q27" s="30">
        <f>Data!Q340 - P27</f>
        <v>0</v>
      </c>
      <c r="R27" s="30">
        <f t="shared" si="12"/>
        <v>1</v>
      </c>
      <c r="S27" s="19">
        <f t="shared" si="1"/>
        <v>0.73671321740020146</v>
      </c>
      <c r="T27" s="19">
        <f t="shared" si="2"/>
        <v>0.21661727976740686</v>
      </c>
      <c r="U27" s="19">
        <f t="shared" si="3"/>
        <v>4.6669502832391685E-2</v>
      </c>
      <c r="V27" s="30">
        <f t="shared" si="13"/>
        <v>0.26328678259979854</v>
      </c>
      <c r="W27" s="11">
        <f t="shared" si="4"/>
        <v>0.35335061203660345</v>
      </c>
      <c r="X27" s="30">
        <f t="shared" si="5"/>
        <v>1.489848679496744</v>
      </c>
      <c r="Y27" s="30">
        <f t="shared" si="6"/>
        <v>1.1461321254052192E-2</v>
      </c>
      <c r="Z27" s="30">
        <f t="shared" si="14"/>
        <v>-9.7749321851900439E-2</v>
      </c>
      <c r="AA27" s="30">
        <f t="shared" si="15"/>
        <v>-1</v>
      </c>
      <c r="AB27" s="30">
        <f t="shared" si="16"/>
        <v>-1</v>
      </c>
      <c r="AC27" s="30">
        <f t="shared" si="17"/>
        <v>0.35738028907492025</v>
      </c>
    </row>
    <row r="28" spans="1:29" x14ac:dyDescent="0.5">
      <c r="A28">
        <v>2005</v>
      </c>
      <c r="B28" s="12">
        <f>'Minimum Deflation Total'!D28</f>
        <v>13841.829449080513</v>
      </c>
      <c r="C28" s="12">
        <f>Data!AD549</f>
        <v>28449</v>
      </c>
      <c r="D28" s="12">
        <f>Data!Y107</f>
        <v>676250.31</v>
      </c>
      <c r="E28" s="11">
        <f t="shared" si="7"/>
        <v>10.045822517642804</v>
      </c>
      <c r="F28" s="11">
        <f t="shared" si="8"/>
        <v>0.64814469358165994</v>
      </c>
      <c r="G28" s="12">
        <f t="shared" si="9"/>
        <v>52915.594390865073</v>
      </c>
      <c r="H28" s="12">
        <f t="shared" si="9"/>
        <v>104154.69736864412</v>
      </c>
      <c r="I28" s="17">
        <f t="shared" si="10"/>
        <v>0.63340687196294099</v>
      </c>
      <c r="J28" s="17">
        <f t="shared" si="10"/>
        <v>1.6782031804591822</v>
      </c>
      <c r="K28" s="18">
        <f t="shared" si="11"/>
        <v>0.73676601071242431</v>
      </c>
      <c r="L28" s="18">
        <f t="shared" si="11"/>
        <v>0.95334627945375316</v>
      </c>
      <c r="M28" s="30">
        <f>Data!L224</f>
        <v>0.1147</v>
      </c>
      <c r="N28" s="30">
        <f>Data!L341 - M28</f>
        <v>0.21909998999999999</v>
      </c>
      <c r="O28" s="30">
        <f t="shared" si="0"/>
        <v>0.66620000999999995</v>
      </c>
      <c r="P28" s="30">
        <f>Data!Q224</f>
        <v>0</v>
      </c>
      <c r="Q28" s="30">
        <f>Data!Q341 - P28</f>
        <v>0</v>
      </c>
      <c r="R28" s="30">
        <f t="shared" si="12"/>
        <v>1</v>
      </c>
      <c r="S28" s="19">
        <f t="shared" si="1"/>
        <v>0.73676601071242431</v>
      </c>
      <c r="T28" s="19">
        <f t="shared" si="2"/>
        <v>0.21658026874132885</v>
      </c>
      <c r="U28" s="19">
        <f t="shared" si="3"/>
        <v>4.6653720546246835E-2</v>
      </c>
      <c r="V28" s="30">
        <f t="shared" si="13"/>
        <v>0.26323398928757569</v>
      </c>
      <c r="W28" s="11">
        <f t="shared" si="4"/>
        <v>0.35326846917575927</v>
      </c>
      <c r="X28" s="30">
        <f t="shared" si="5"/>
        <v>1.4585391830925967</v>
      </c>
      <c r="Y28" s="30">
        <f t="shared" si="6"/>
        <v>1.1634121950788501E-2</v>
      </c>
      <c r="Z28" s="30">
        <f t="shared" si="14"/>
        <v>-9.5778034934306699E-2</v>
      </c>
      <c r="AA28" s="30">
        <f t="shared" si="15"/>
        <v>-1</v>
      </c>
      <c r="AB28" s="30">
        <f t="shared" si="16"/>
        <v>-1</v>
      </c>
      <c r="AC28" s="30">
        <f t="shared" si="17"/>
        <v>0.3572830253570447</v>
      </c>
    </row>
    <row r="29" spans="1:29" x14ac:dyDescent="0.5">
      <c r="A29" s="10">
        <v>2006</v>
      </c>
      <c r="B29" s="12">
        <f>'Minimum Deflation Total'!D29</f>
        <v>14118.666038062123</v>
      </c>
      <c r="C29" s="12">
        <f>Data!AD550</f>
        <v>28925.699000000001</v>
      </c>
      <c r="D29" s="12">
        <f>Data!Y108</f>
        <v>654055.13</v>
      </c>
      <c r="E29" s="11">
        <f t="shared" si="7"/>
        <v>10.068144778563013</v>
      </c>
      <c r="F29" s="11">
        <f t="shared" si="8"/>
        <v>0.63928231502722743</v>
      </c>
      <c r="G29" s="12">
        <f t="shared" si="9"/>
        <v>53498.988716554406</v>
      </c>
      <c r="H29" s="12">
        <f t="shared" si="9"/>
        <v>104332.46238153373</v>
      </c>
      <c r="I29" s="17">
        <f t="shared" si="10"/>
        <v>0.64226925051737227</v>
      </c>
      <c r="J29" s="17">
        <f t="shared" si="10"/>
        <v>1.6870655590136119</v>
      </c>
      <c r="K29" s="18">
        <f t="shared" si="11"/>
        <v>0.7396508119945272</v>
      </c>
      <c r="L29" s="18">
        <f t="shared" si="11"/>
        <v>0.95420462668497563</v>
      </c>
      <c r="M29" s="30">
        <f>Data!L225</f>
        <v>0.1124</v>
      </c>
      <c r="N29" s="30">
        <f>Data!L342 - M29</f>
        <v>0.21940000999999998</v>
      </c>
      <c r="O29" s="30">
        <f t="shared" si="0"/>
        <v>0.66819998999999997</v>
      </c>
      <c r="P29" s="30">
        <f>Data!Q225</f>
        <v>0</v>
      </c>
      <c r="Q29" s="30">
        <f>Data!Q342 - P29</f>
        <v>0</v>
      </c>
      <c r="R29" s="30">
        <f t="shared" si="12"/>
        <v>1</v>
      </c>
      <c r="S29" s="19">
        <f t="shared" si="1"/>
        <v>0.7396508119945272</v>
      </c>
      <c r="T29" s="19">
        <f t="shared" si="2"/>
        <v>0.21455381469044843</v>
      </c>
      <c r="U29" s="19">
        <f t="shared" si="3"/>
        <v>4.5795373315024368E-2</v>
      </c>
      <c r="V29" s="30">
        <f t="shared" si="13"/>
        <v>0.2603491880054728</v>
      </c>
      <c r="W29" s="11">
        <f t="shared" si="4"/>
        <v>0.3487604530227828</v>
      </c>
      <c r="X29" s="30">
        <f t="shared" si="5"/>
        <v>1.4543964130787912</v>
      </c>
      <c r="Y29" s="30">
        <f t="shared" si="6"/>
        <v>2.2587318321715566E-2</v>
      </c>
      <c r="Z29" s="30">
        <f t="shared" si="14"/>
        <v>-9.6600748401606484E-2</v>
      </c>
      <c r="AA29" s="30">
        <f t="shared" si="15"/>
        <v>-1</v>
      </c>
      <c r="AB29" s="30">
        <f t="shared" si="16"/>
        <v>-1</v>
      </c>
      <c r="AC29" s="30">
        <f t="shared" si="17"/>
        <v>0.35198932223628687</v>
      </c>
    </row>
    <row r="30" spans="1:29" x14ac:dyDescent="0.5">
      <c r="A30">
        <v>2007</v>
      </c>
      <c r="B30" s="12">
        <f>'Minimum Deflation Total'!D30</f>
        <v>14401.039358823366</v>
      </c>
      <c r="C30" s="12">
        <f>Data!AD551</f>
        <v>28646.699000000001</v>
      </c>
      <c r="D30" s="12">
        <f>Data!Y109</f>
        <v>687554.88</v>
      </c>
      <c r="E30" s="11">
        <f t="shared" si="7"/>
        <v>10.055227820606245</v>
      </c>
      <c r="F30" s="11">
        <f t="shared" si="8"/>
        <v>0.64430687835600864</v>
      </c>
      <c r="G30" s="12">
        <f t="shared" si="9"/>
        <v>53153.557208531071</v>
      </c>
      <c r="H30" s="12">
        <f t="shared" si="9"/>
        <v>104204.41285905513</v>
      </c>
      <c r="I30" s="17">
        <f t="shared" si="10"/>
        <v>0.63724468718859317</v>
      </c>
      <c r="J30" s="17">
        <f t="shared" si="10"/>
        <v>1.6820409956848308</v>
      </c>
      <c r="K30" s="18">
        <f t="shared" si="11"/>
        <v>0.73801726306364546</v>
      </c>
      <c r="L30" s="18">
        <f t="shared" si="11"/>
        <v>0.95371955467347835</v>
      </c>
      <c r="M30" s="30">
        <f>Data!L226</f>
        <v>0.1169</v>
      </c>
      <c r="N30" s="30">
        <f>Data!L343 - M30</f>
        <v>0.2218</v>
      </c>
      <c r="O30" s="30">
        <f t="shared" si="0"/>
        <v>0.6613</v>
      </c>
      <c r="P30" s="30">
        <f>Data!Q226</f>
        <v>0</v>
      </c>
      <c r="Q30" s="30">
        <f>Data!Q343 - P30</f>
        <v>0</v>
      </c>
      <c r="R30" s="30">
        <f t="shared" si="12"/>
        <v>1</v>
      </c>
      <c r="S30" s="19">
        <f t="shared" si="1"/>
        <v>0.73801726306364546</v>
      </c>
      <c r="T30" s="19">
        <f t="shared" si="2"/>
        <v>0.2157022916098329</v>
      </c>
      <c r="U30" s="19">
        <f t="shared" si="3"/>
        <v>4.6280445326521646E-2</v>
      </c>
      <c r="V30" s="30">
        <f t="shared" si="13"/>
        <v>0.26198273693635454</v>
      </c>
      <c r="W30" s="11">
        <f t="shared" si="4"/>
        <v>0.35131787091538214</v>
      </c>
      <c r="X30" s="30">
        <f t="shared" si="5"/>
        <v>1.5259048216852151</v>
      </c>
      <c r="Y30" s="30">
        <f t="shared" si="6"/>
        <v>2.8269094151288643E-2</v>
      </c>
      <c r="Z30" s="30">
        <f t="shared" si="14"/>
        <v>-0.10395049940319545</v>
      </c>
      <c r="AA30" s="30">
        <f t="shared" si="15"/>
        <v>-1</v>
      </c>
      <c r="AB30" s="30">
        <f t="shared" si="16"/>
        <v>-1</v>
      </c>
      <c r="AC30" s="30">
        <f t="shared" si="17"/>
        <v>0.35498185482656064</v>
      </c>
    </row>
    <row r="31" spans="1:29" x14ac:dyDescent="0.5">
      <c r="A31" s="10">
        <v>2008</v>
      </c>
      <c r="B31" s="12">
        <f>'Minimum Deflation Total'!D31</f>
        <v>14689.060145999832</v>
      </c>
      <c r="C31" s="12">
        <f>Data!AD552</f>
        <v>27322</v>
      </c>
      <c r="D31" s="12">
        <f>Data!Y110</f>
        <v>655314.81000000006</v>
      </c>
      <c r="E31" s="11">
        <f t="shared" si="7"/>
        <v>10.015101673675192</v>
      </c>
      <c r="F31" s="11">
        <f t="shared" si="8"/>
        <v>0.63300212285937929</v>
      </c>
      <c r="G31" s="12">
        <f t="shared" si="9"/>
        <v>50328.486873857757</v>
      </c>
      <c r="H31" s="12">
        <f t="shared" si="9"/>
        <v>97507.523338229206</v>
      </c>
      <c r="I31" s="17">
        <f t="shared" si="10"/>
        <v>0.64854944268522297</v>
      </c>
      <c r="J31" s="17">
        <f t="shared" si="10"/>
        <v>1.6933457511814607</v>
      </c>
      <c r="K31" s="18">
        <f t="shared" si="11"/>
        <v>0.7416851785095967</v>
      </c>
      <c r="L31" s="18">
        <f t="shared" si="11"/>
        <v>0.95480516281056316</v>
      </c>
      <c r="M31" s="30">
        <f>Data!L227</f>
        <v>0.1157</v>
      </c>
      <c r="N31" s="30">
        <f>Data!L344 - M31</f>
        <v>0.22159999999999999</v>
      </c>
      <c r="O31" s="30">
        <f t="shared" si="0"/>
        <v>0.66269999999999996</v>
      </c>
      <c r="P31" s="30">
        <f>Data!Q227</f>
        <v>0</v>
      </c>
      <c r="Q31" s="30">
        <f>Data!Q344 - P31</f>
        <v>0</v>
      </c>
      <c r="R31" s="30">
        <f t="shared" si="12"/>
        <v>1</v>
      </c>
      <c r="S31" s="19">
        <f t="shared" si="1"/>
        <v>0.7416851785095967</v>
      </c>
      <c r="T31" s="19">
        <f t="shared" si="2"/>
        <v>0.21311998430096646</v>
      </c>
      <c r="U31" s="19">
        <f t="shared" si="3"/>
        <v>4.5194837189436843E-2</v>
      </c>
      <c r="V31" s="30">
        <f t="shared" si="13"/>
        <v>0.2583148214904033</v>
      </c>
      <c r="W31" s="11">
        <f t="shared" si="4"/>
        <v>0.3455581643930774</v>
      </c>
      <c r="X31" s="30">
        <f t="shared" si="5"/>
        <v>1.5600269233195063</v>
      </c>
      <c r="Y31" s="30">
        <f t="shared" si="6"/>
        <v>3.9789866383708627E-2</v>
      </c>
      <c r="Z31" s="30">
        <f t="shared" si="14"/>
        <v>-0.10649421182760599</v>
      </c>
      <c r="AA31" s="30">
        <f t="shared" si="15"/>
        <v>-1</v>
      </c>
      <c r="AB31" s="30">
        <f t="shared" si="16"/>
        <v>-1</v>
      </c>
      <c r="AC31" s="30">
        <f t="shared" si="17"/>
        <v>0.34828095393450131</v>
      </c>
    </row>
    <row r="32" spans="1:29" x14ac:dyDescent="0.5">
      <c r="A32">
        <v>2009</v>
      </c>
      <c r="B32" s="12">
        <f>'Minimum Deflation Total'!D32</f>
        <v>14982.84134891983</v>
      </c>
      <c r="C32" s="12">
        <f>Data!AD553</f>
        <v>27861.699000000001</v>
      </c>
      <c r="D32" s="12">
        <f>Data!Y111</f>
        <v>547654.88</v>
      </c>
      <c r="E32" s="11">
        <f t="shared" si="7"/>
        <v>10.05513423977524</v>
      </c>
      <c r="F32" s="11">
        <f t="shared" si="8"/>
        <v>0.59978994521084206</v>
      </c>
      <c r="G32" s="12">
        <f t="shared" si="9"/>
        <v>50201.289020939133</v>
      </c>
      <c r="H32" s="12">
        <f t="shared" si="9"/>
        <v>93944.015467189311</v>
      </c>
      <c r="I32" s="17">
        <f t="shared" si="10"/>
        <v>0.68176162033375898</v>
      </c>
      <c r="J32" s="17">
        <f t="shared" si="10"/>
        <v>1.7265579288300008</v>
      </c>
      <c r="K32" s="18">
        <f t="shared" si="11"/>
        <v>0.75230515185051017</v>
      </c>
      <c r="L32" s="18">
        <f t="shared" si="11"/>
        <v>0.95787645641262287</v>
      </c>
      <c r="M32" s="30">
        <f>Data!L228</f>
        <v>0.1018</v>
      </c>
      <c r="N32" s="30">
        <f>Data!L345 - M32</f>
        <v>0.21990000999999998</v>
      </c>
      <c r="O32" s="30">
        <f t="shared" si="0"/>
        <v>0.67829999000000007</v>
      </c>
      <c r="P32" s="30">
        <f>Data!Q228</f>
        <v>0</v>
      </c>
      <c r="Q32" s="30">
        <f>Data!Q345 - P32</f>
        <v>0</v>
      </c>
      <c r="R32" s="30">
        <f t="shared" si="12"/>
        <v>1</v>
      </c>
      <c r="S32" s="19">
        <f t="shared" si="1"/>
        <v>0.75230515185051017</v>
      </c>
      <c r="T32" s="19">
        <f t="shared" si="2"/>
        <v>0.2055713045621127</v>
      </c>
      <c r="U32" s="19">
        <f t="shared" si="3"/>
        <v>4.2123543587377132E-2</v>
      </c>
      <c r="V32" s="30">
        <f t="shared" si="13"/>
        <v>0.24769484814948983</v>
      </c>
      <c r="W32" s="11">
        <f t="shared" si="4"/>
        <v>0.32851844540031006</v>
      </c>
      <c r="X32" s="30">
        <f t="shared" si="5"/>
        <v>1.4167007647121523</v>
      </c>
      <c r="Y32" s="30">
        <f t="shared" si="6"/>
        <v>6.9701875309926331E-2</v>
      </c>
      <c r="Z32" s="30">
        <f t="shared" si="14"/>
        <v>-9.8371201723759572E-2</v>
      </c>
      <c r="AA32" s="30">
        <f t="shared" si="15"/>
        <v>-1</v>
      </c>
      <c r="AB32" s="30">
        <f t="shared" si="16"/>
        <v>-1</v>
      </c>
      <c r="AC32" s="30">
        <f t="shared" si="17"/>
        <v>0.32924784250142825</v>
      </c>
    </row>
    <row r="33" spans="1:29" x14ac:dyDescent="0.5">
      <c r="A33" s="10">
        <v>2010</v>
      </c>
      <c r="B33" s="12">
        <f>'Minimum Deflation Total'!D33</f>
        <v>15282.498175898227</v>
      </c>
      <c r="C33" s="12">
        <f>Data!AD554</f>
        <v>28336.699000000001</v>
      </c>
      <c r="D33" s="12">
        <f>Data!Y112</f>
        <v>588092.18999999994</v>
      </c>
      <c r="E33" s="11">
        <f t="shared" si="7"/>
        <v>10.066860515867598</v>
      </c>
      <c r="F33" s="11">
        <f t="shared" si="8"/>
        <v>0.60836257629357338</v>
      </c>
      <c r="G33" s="12">
        <f t="shared" si="9"/>
        <v>51354.535051162755</v>
      </c>
      <c r="H33" s="12">
        <f t="shared" si="9"/>
        <v>96966.758402895633</v>
      </c>
      <c r="I33" s="17">
        <f t="shared" si="10"/>
        <v>0.6731889892510271</v>
      </c>
      <c r="J33" s="17">
        <f t="shared" si="10"/>
        <v>1.7179852977472674</v>
      </c>
      <c r="K33" s="18">
        <f t="shared" si="11"/>
        <v>0.74958646738170875</v>
      </c>
      <c r="L33" s="18">
        <f t="shared" si="11"/>
        <v>0.95710035149993078</v>
      </c>
      <c r="M33" s="30">
        <f>Data!L229</f>
        <v>0.1084</v>
      </c>
      <c r="N33" s="30">
        <f>Data!L346 - M33</f>
        <v>0.21760001000000001</v>
      </c>
      <c r="O33" s="30">
        <f t="shared" si="0"/>
        <v>0.67399998999999999</v>
      </c>
      <c r="P33" s="30">
        <f>Data!Q229</f>
        <v>0</v>
      </c>
      <c r="Q33" s="30">
        <f>Data!Q346 - P33</f>
        <v>0</v>
      </c>
      <c r="R33" s="30">
        <f t="shared" si="12"/>
        <v>1</v>
      </c>
      <c r="S33" s="19">
        <f t="shared" si="1"/>
        <v>0.74958646738170875</v>
      </c>
      <c r="T33" s="19">
        <f t="shared" si="2"/>
        <v>0.20751388411822203</v>
      </c>
      <c r="U33" s="19">
        <f t="shared" si="3"/>
        <v>4.2899648500069221E-2</v>
      </c>
      <c r="V33" s="30">
        <f t="shared" si="13"/>
        <v>0.25041353261829125</v>
      </c>
      <c r="W33" s="11">
        <f t="shared" si="4"/>
        <v>0.33293332900228512</v>
      </c>
      <c r="X33" s="30">
        <f t="shared" si="5"/>
        <v>1.5268272302936254</v>
      </c>
      <c r="Y33" s="30">
        <f t="shared" si="6"/>
        <v>4.8604583373476062E-2</v>
      </c>
      <c r="Z33" s="30">
        <f t="shared" si="14"/>
        <v>-0.1008375693410406</v>
      </c>
      <c r="AA33" s="30">
        <f t="shared" si="15"/>
        <v>-1</v>
      </c>
      <c r="AB33" s="30">
        <f t="shared" si="16"/>
        <v>-1</v>
      </c>
      <c r="AC33" s="30">
        <f t="shared" si="17"/>
        <v>0.33406890801134792</v>
      </c>
    </row>
    <row r="34" spans="1:29" x14ac:dyDescent="0.5">
      <c r="A34">
        <v>2011</v>
      </c>
      <c r="B34" s="12">
        <f>'Minimum Deflation Total'!D34</f>
        <v>15588.148139416191</v>
      </c>
      <c r="C34" s="12">
        <f>Data!AD555</f>
        <v>27867.599999999999</v>
      </c>
      <c r="D34" s="12">
        <f>Data!Y113</f>
        <v>630611.63</v>
      </c>
      <c r="E34" s="11">
        <f t="shared" si="7"/>
        <v>10.045062685395488</v>
      </c>
      <c r="F34" s="11">
        <f t="shared" si="8"/>
        <v>0.61669654980596211</v>
      </c>
      <c r="G34" s="12">
        <f t="shared" si="9"/>
        <v>50786.767343250001</v>
      </c>
      <c r="H34" s="12">
        <f t="shared" si="9"/>
        <v>96733.339350223672</v>
      </c>
      <c r="I34" s="17">
        <f t="shared" si="10"/>
        <v>0.6648550157386397</v>
      </c>
      <c r="J34" s="17">
        <f t="shared" si="10"/>
        <v>1.7096513242348792</v>
      </c>
      <c r="K34" s="18">
        <f t="shared" si="11"/>
        <v>0.74692838486899449</v>
      </c>
      <c r="L34" s="18">
        <f t="shared" si="11"/>
        <v>0.95633481560483358</v>
      </c>
      <c r="M34" s="30">
        <f>Data!L230</f>
        <v>0.1145</v>
      </c>
      <c r="N34" s="30">
        <f>Data!L347 - M34</f>
        <v>0.21789998999999999</v>
      </c>
      <c r="O34" s="30">
        <f t="shared" si="0"/>
        <v>0.66760000999999991</v>
      </c>
      <c r="P34" s="30">
        <f>Data!Q230</f>
        <v>0</v>
      </c>
      <c r="Q34" s="30">
        <f>Data!Q347 - P34</f>
        <v>0</v>
      </c>
      <c r="R34" s="30">
        <f t="shared" si="12"/>
        <v>1</v>
      </c>
      <c r="S34" s="19">
        <f t="shared" si="1"/>
        <v>0.74692838486899449</v>
      </c>
      <c r="T34" s="19">
        <f t="shared" si="2"/>
        <v>0.20940643073583909</v>
      </c>
      <c r="U34" s="19">
        <f t="shared" si="3"/>
        <v>4.3665184395166423E-2</v>
      </c>
      <c r="V34" s="30">
        <f t="shared" si="13"/>
        <v>0.25307161513100551</v>
      </c>
      <c r="W34" s="11">
        <f t="shared" si="4"/>
        <v>0.33721428402082743</v>
      </c>
      <c r="X34" s="30">
        <f t="shared" si="5"/>
        <v>1.622226416446205</v>
      </c>
      <c r="Y34" s="30">
        <f t="shared" si="6"/>
        <v>4.0560164433895984E-2</v>
      </c>
      <c r="Z34" s="30">
        <f t="shared" si="14"/>
        <v>-0.10620613230933529</v>
      </c>
      <c r="AA34" s="30">
        <f t="shared" si="15"/>
        <v>-1</v>
      </c>
      <c r="AB34" s="30">
        <f t="shared" si="16"/>
        <v>-1</v>
      </c>
      <c r="AC34" s="30">
        <f t="shared" si="17"/>
        <v>0.33881643843993459</v>
      </c>
    </row>
    <row r="35" spans="1:29" x14ac:dyDescent="0.5">
      <c r="A35" s="10">
        <v>2012</v>
      </c>
      <c r="B35" s="12">
        <f>'Minimum Deflation Total'!D35</f>
        <v>15899.911102204514</v>
      </c>
      <c r="C35" s="12">
        <f>Data!AD556</f>
        <v>27933.800999999999</v>
      </c>
      <c r="D35" s="12">
        <f>Data!Y114</f>
        <v>584890.13</v>
      </c>
      <c r="E35" s="11">
        <f t="shared" si="7"/>
        <v>10.057081327219104</v>
      </c>
      <c r="F35" s="11">
        <f t="shared" si="8"/>
        <v>0.6008517499121554</v>
      </c>
      <c r="G35" s="12">
        <f t="shared" si="9"/>
        <v>50367.622050128673</v>
      </c>
      <c r="H35" s="12">
        <f t="shared" si="9"/>
        <v>94359.904198166885</v>
      </c>
      <c r="I35" s="17">
        <f t="shared" si="10"/>
        <v>0.68069981563244653</v>
      </c>
      <c r="J35" s="17">
        <f t="shared" si="10"/>
        <v>1.7254961241286857</v>
      </c>
      <c r="K35" s="18">
        <f t="shared" si="11"/>
        <v>0.75196927348605236</v>
      </c>
      <c r="L35" s="18">
        <f t="shared" si="11"/>
        <v>0.95778094915892775</v>
      </c>
      <c r="M35" s="30">
        <f>Data!L231</f>
        <v>0.1043</v>
      </c>
      <c r="N35" s="30">
        <f>Data!L348 - M35</f>
        <v>0.21789999999999998</v>
      </c>
      <c r="O35" s="30">
        <f t="shared" si="0"/>
        <v>0.67779999999999996</v>
      </c>
      <c r="P35" s="30">
        <f>Data!Q231</f>
        <v>0</v>
      </c>
      <c r="Q35" s="30">
        <f>Data!Q348 - P35</f>
        <v>0</v>
      </c>
      <c r="R35" s="30">
        <f t="shared" si="12"/>
        <v>1</v>
      </c>
      <c r="S35" s="19">
        <f t="shared" si="1"/>
        <v>0.75196927348605236</v>
      </c>
      <c r="T35" s="19">
        <f t="shared" si="2"/>
        <v>0.20581167567287539</v>
      </c>
      <c r="U35" s="19">
        <f t="shared" si="3"/>
        <v>4.2219050841072248E-2</v>
      </c>
      <c r="V35" s="30">
        <f t="shared" si="13"/>
        <v>0.24803072651394764</v>
      </c>
      <c r="W35" s="11">
        <f t="shared" si="4"/>
        <v>0.32906589152017252</v>
      </c>
      <c r="X35" s="30">
        <f t="shared" si="5"/>
        <v>1.4704487173959184</v>
      </c>
      <c r="Y35" s="30">
        <f t="shared" si="6"/>
        <v>5.873488123355175E-2</v>
      </c>
      <c r="Z35" s="30">
        <f t="shared" si="14"/>
        <v>-9.8633383172973654E-2</v>
      </c>
      <c r="AA35" s="30">
        <f t="shared" si="15"/>
        <v>-1</v>
      </c>
      <c r="AB35" s="30">
        <f t="shared" si="16"/>
        <v>-1</v>
      </c>
      <c r="AC35" s="30">
        <f t="shared" si="17"/>
        <v>0.32984157100476019</v>
      </c>
    </row>
    <row r="36" spans="1:29" x14ac:dyDescent="0.5">
      <c r="A36">
        <v>2013</v>
      </c>
      <c r="B36" s="12">
        <f>'Minimum Deflation Total'!D36</f>
        <v>16217.909324248605</v>
      </c>
      <c r="C36" s="12">
        <f>Data!AD557</f>
        <v>28093.4</v>
      </c>
      <c r="D36" s="12">
        <f>Data!Y115</f>
        <v>588308.13</v>
      </c>
      <c r="E36" s="11">
        <f t="shared" si="7"/>
        <v>10.06417539113097</v>
      </c>
      <c r="F36" s="11">
        <f t="shared" si="8"/>
        <v>0.59852244930072729</v>
      </c>
      <c r="G36" s="12">
        <f t="shared" si="9"/>
        <v>50575.005614328998</v>
      </c>
      <c r="H36" s="12">
        <f t="shared" si="9"/>
        <v>94518.117872848408</v>
      </c>
      <c r="I36" s="17">
        <f t="shared" si="10"/>
        <v>0.68302911624387186</v>
      </c>
      <c r="J36" s="17">
        <f t="shared" si="10"/>
        <v>1.7278254247401128</v>
      </c>
      <c r="K36" s="18">
        <f t="shared" si="11"/>
        <v>0.75270577780910519</v>
      </c>
      <c r="L36" s="18">
        <f t="shared" si="11"/>
        <v>0.95799023616285017</v>
      </c>
      <c r="M36" s="30">
        <f>Data!L232</f>
        <v>0.1079</v>
      </c>
      <c r="N36" s="30">
        <f>Data!L349 - M36</f>
        <v>0.21839999999999998</v>
      </c>
      <c r="O36" s="30">
        <f t="shared" si="0"/>
        <v>0.67370000000000008</v>
      </c>
      <c r="P36" s="30">
        <f>Data!Q232</f>
        <v>0</v>
      </c>
      <c r="Q36" s="30">
        <f>Data!Q349 - P36</f>
        <v>0</v>
      </c>
      <c r="R36" s="30">
        <f t="shared" si="12"/>
        <v>1</v>
      </c>
      <c r="S36" s="19">
        <f t="shared" si="1"/>
        <v>0.75270577780910519</v>
      </c>
      <c r="T36" s="19">
        <f t="shared" si="2"/>
        <v>0.20528445835374498</v>
      </c>
      <c r="U36" s="19">
        <f t="shared" si="3"/>
        <v>4.2009763837149827E-2</v>
      </c>
      <c r="V36" s="30">
        <f t="shared" si="13"/>
        <v>0.24729422219089481</v>
      </c>
      <c r="W36" s="11">
        <f t="shared" si="4"/>
        <v>0.32786472057849481</v>
      </c>
      <c r="X36" s="30">
        <f t="shared" si="5"/>
        <v>1.5684505254129162</v>
      </c>
      <c r="Y36" s="30">
        <f t="shared" si="6"/>
        <v>6.3889598615665122E-2</v>
      </c>
      <c r="Z36" s="30">
        <f t="shared" si="14"/>
        <v>-0.10496236396519587</v>
      </c>
      <c r="AA36" s="30">
        <f t="shared" si="15"/>
        <v>-1</v>
      </c>
      <c r="AB36" s="30">
        <f t="shared" si="16"/>
        <v>-1</v>
      </c>
      <c r="AC36" s="30">
        <f t="shared" si="17"/>
        <v>0.32854035332463116</v>
      </c>
    </row>
    <row r="37" spans="1:29" x14ac:dyDescent="0.5">
      <c r="A37" s="10">
        <v>2014</v>
      </c>
      <c r="B37" s="12">
        <f>'Minimum Deflation Total'!D37</f>
        <v>16542.267510733578</v>
      </c>
      <c r="C37" s="12">
        <f>Data!AD558</f>
        <v>28331.199000000001</v>
      </c>
      <c r="D37" s="12">
        <f>Data!Y116</f>
        <v>591764.18999999994</v>
      </c>
      <c r="E37" s="11">
        <f t="shared" si="7"/>
        <v>10.073992742367068</v>
      </c>
      <c r="F37" s="11">
        <f t="shared" si="8"/>
        <v>0.59619824251352593</v>
      </c>
      <c r="G37" s="12">
        <f t="shared" si="9"/>
        <v>50922.061322218098</v>
      </c>
      <c r="H37" s="12">
        <f t="shared" si="9"/>
        <v>94935.904779270029</v>
      </c>
      <c r="I37" s="17">
        <f t="shared" si="10"/>
        <v>0.68535332303107266</v>
      </c>
      <c r="J37" s="17">
        <f t="shared" si="10"/>
        <v>1.7301496315273126</v>
      </c>
      <c r="K37" s="18">
        <f t="shared" si="11"/>
        <v>0.75343950451763586</v>
      </c>
      <c r="L37" s="18">
        <f t="shared" si="11"/>
        <v>0.95819822763329099</v>
      </c>
      <c r="M37" s="30">
        <f>Data!L233</f>
        <v>0.108</v>
      </c>
      <c r="N37" s="30">
        <f>Data!L350 - M37</f>
        <v>0.21829999999999999</v>
      </c>
      <c r="O37" s="30">
        <f t="shared" si="0"/>
        <v>0.67370000000000008</v>
      </c>
      <c r="P37" s="30">
        <f>Data!Q233</f>
        <v>0</v>
      </c>
      <c r="Q37" s="30">
        <f>Data!Q350 - P37</f>
        <v>0</v>
      </c>
      <c r="R37" s="30">
        <f t="shared" si="12"/>
        <v>1</v>
      </c>
      <c r="S37" s="19">
        <f t="shared" si="1"/>
        <v>0.75343950451763586</v>
      </c>
      <c r="T37" s="19">
        <f t="shared" si="2"/>
        <v>0.20475872311565513</v>
      </c>
      <c r="U37" s="19">
        <f t="shared" si="3"/>
        <v>4.1801772366709011E-2</v>
      </c>
      <c r="V37" s="30">
        <f t="shared" si="13"/>
        <v>0.24656049548236414</v>
      </c>
      <c r="W37" s="11">
        <f t="shared" si="4"/>
        <v>0.32666534156639582</v>
      </c>
      <c r="X37" s="30">
        <f t="shared" si="5"/>
        <v>1.5836225089348446</v>
      </c>
      <c r="Y37" s="30">
        <f t="shared" si="6"/>
        <v>6.6132844932307311E-2</v>
      </c>
      <c r="Z37" s="30">
        <f t="shared" si="14"/>
        <v>-0.10583398406841737</v>
      </c>
      <c r="AA37" s="30">
        <f t="shared" si="15"/>
        <v>-1</v>
      </c>
      <c r="AB37" s="30">
        <f t="shared" si="16"/>
        <v>-1</v>
      </c>
      <c r="AC37" s="30">
        <f t="shared" si="17"/>
        <v>0.32724657255689849</v>
      </c>
    </row>
    <row r="38" spans="1:29" x14ac:dyDescent="0.5">
      <c r="A38">
        <v>2015</v>
      </c>
      <c r="B38" s="12">
        <f>'Minimum Deflation Total'!D38</f>
        <v>16873.112860948251</v>
      </c>
      <c r="C38" s="12">
        <f>Data!AD559</f>
        <v>28324.699000000001</v>
      </c>
      <c r="D38" s="12">
        <f>Data!Y117</f>
        <v>0</v>
      </c>
      <c r="E38" s="11"/>
      <c r="F38" s="11"/>
      <c r="G38" s="12"/>
      <c r="H38" s="12"/>
      <c r="I38" s="17"/>
      <c r="J38" s="17"/>
      <c r="K38" s="18"/>
      <c r="L38" s="18"/>
      <c r="M38" s="30"/>
      <c r="N38" s="30"/>
      <c r="O38" s="30"/>
      <c r="P38" s="30"/>
      <c r="Q38" s="30"/>
      <c r="R38" s="30"/>
      <c r="S38" s="19"/>
      <c r="T38" s="19"/>
      <c r="U38" s="19"/>
      <c r="V38" s="30"/>
      <c r="W38" s="11"/>
      <c r="X38" s="30"/>
      <c r="Y38" s="30"/>
      <c r="Z38" s="30"/>
      <c r="AA38" s="30"/>
      <c r="AB38" s="30"/>
      <c r="AC38" s="30"/>
    </row>
    <row r="39" spans="1:29" x14ac:dyDescent="0.5">
      <c r="A39" s="10">
        <v>2016</v>
      </c>
      <c r="B39" s="12">
        <f>'Minimum Deflation Total'!D39</f>
        <v>17210.575118167217</v>
      </c>
      <c r="C39" s="12">
        <f>Data!AD560</f>
        <v>29313</v>
      </c>
      <c r="D39" s="12">
        <f>Data!Y118</f>
        <v>0</v>
      </c>
      <c r="E39" s="11"/>
      <c r="F39" s="11"/>
      <c r="G39" s="12"/>
      <c r="H39" s="12"/>
      <c r="I39" s="17"/>
      <c r="J39" s="17"/>
      <c r="K39" s="18"/>
      <c r="L39" s="18"/>
      <c r="M39" s="30"/>
      <c r="N39" s="30"/>
      <c r="O39" s="30"/>
      <c r="P39" s="30"/>
      <c r="Q39" s="30"/>
      <c r="R39" s="30"/>
      <c r="S39" s="19"/>
      <c r="T39" s="19"/>
      <c r="U39" s="19"/>
      <c r="V39" s="30"/>
      <c r="W39" s="11"/>
      <c r="X39" s="30"/>
      <c r="Y39" s="30"/>
      <c r="Z39" s="30"/>
      <c r="AA39" s="30"/>
      <c r="AB39" s="30"/>
      <c r="AC39" s="30"/>
    </row>
    <row r="40" spans="1:29" x14ac:dyDescent="0.5">
      <c r="A40" s="10">
        <v>2017</v>
      </c>
      <c r="B40" s="12">
        <f>'Minimum Deflation Total'!D40</f>
        <v>17554.786620530562</v>
      </c>
      <c r="C40" s="12">
        <f>Data!AD561</f>
        <v>29772.5</v>
      </c>
      <c r="D40" s="12">
        <f>Data!Y119</f>
        <v>0</v>
      </c>
      <c r="E40" s="11"/>
      <c r="F40" s="11"/>
    </row>
    <row r="41" spans="1:29" x14ac:dyDescent="0.5">
      <c r="A41">
        <v>2018</v>
      </c>
      <c r="B41" s="12">
        <f>'Minimum Deflation Total'!D41</f>
        <v>17905.882352941175</v>
      </c>
      <c r="C41" s="12">
        <f>Data!AD562</f>
        <v>0</v>
      </c>
      <c r="D41" s="12">
        <f>Data!Y120</f>
        <v>0</v>
      </c>
      <c r="E41" s="11"/>
      <c r="F41" s="11"/>
    </row>
    <row r="42" spans="1:29" x14ac:dyDescent="0.5">
      <c r="A42" s="10">
        <v>2019</v>
      </c>
      <c r="B42" s="12">
        <f>'Minimum Deflation Total'!D42</f>
        <v>18264</v>
      </c>
      <c r="C42" s="12">
        <f>Data!AD563</f>
        <v>0</v>
      </c>
      <c r="D42" s="12">
        <f>Data!Y121</f>
        <v>0</v>
      </c>
      <c r="E42" s="11"/>
    </row>
  </sheetData>
  <mergeCells count="8">
    <mergeCell ref="M1:R1"/>
    <mergeCell ref="S1:W1"/>
    <mergeCell ref="A1:A2"/>
    <mergeCell ref="B1:D1"/>
    <mergeCell ref="E1:F1"/>
    <mergeCell ref="G1:H1"/>
    <mergeCell ref="I1:J1"/>
    <mergeCell ref="K1:L1"/>
  </mergeCells>
  <hyperlinks>
    <hyperlink ref="H1" location="Index" display="Back to Index" xr:uid="{9C1125DC-A01F-4243-B984-A274E10890A2}"/>
  </hyperlinks>
  <pageMargins left="0.7" right="0.7" top="0.75" bottom="0.75" header="0.3" footer="0.3"/>
  <pageSetup orientation="portrait" horizontalDpi="4294967293"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21DA-8C95-44DE-A140-A9109A387401}">
  <sheetPr codeName="Sheet16"/>
  <dimension ref="A1:I76"/>
  <sheetViews>
    <sheetView topLeftCell="A46" zoomScale="55" zoomScaleNormal="55" workbookViewId="0">
      <selection activeCell="A70" sqref="A70:XFD73"/>
    </sheetView>
  </sheetViews>
  <sheetFormatPr defaultRowHeight="15.75" x14ac:dyDescent="0.5"/>
  <cols>
    <col min="1" max="1" width="14.25" style="52" customWidth="1"/>
    <col min="3" max="3" width="10.75" customWidth="1"/>
    <col min="4" max="4" width="17.5" customWidth="1"/>
    <col min="5" max="5" width="16.875" style="32" customWidth="1"/>
    <col min="6" max="6" width="13.625" style="54" customWidth="1"/>
    <col min="7" max="7" width="16.25" style="54" customWidth="1"/>
    <col min="8" max="8" width="18.625" style="54" customWidth="1"/>
    <col min="9" max="9" width="17.875" style="54" customWidth="1"/>
  </cols>
  <sheetData>
    <row r="1" spans="1:9" x14ac:dyDescent="0.5">
      <c r="B1" s="50" t="s">
        <v>2</v>
      </c>
      <c r="C1" s="50" t="s">
        <v>139</v>
      </c>
      <c r="D1" s="50" t="s">
        <v>141</v>
      </c>
      <c r="E1" s="51" t="s">
        <v>142</v>
      </c>
      <c r="F1" s="53" t="s">
        <v>152</v>
      </c>
      <c r="G1" s="53" t="s">
        <v>153</v>
      </c>
      <c r="H1" s="100" t="s">
        <v>543</v>
      </c>
      <c r="I1" s="53" t="s">
        <v>154</v>
      </c>
    </row>
    <row r="2" spans="1:9" x14ac:dyDescent="0.5">
      <c r="A2" s="52" t="s">
        <v>541</v>
      </c>
      <c r="B2" s="50">
        <f>0.072300002*100</f>
        <v>7.2300002000000001</v>
      </c>
      <c r="C2" s="50">
        <f>0.217899998*100</f>
        <v>21.7899998</v>
      </c>
      <c r="D2" s="50">
        <v>48.66</v>
      </c>
      <c r="E2" s="51">
        <v>20.64</v>
      </c>
      <c r="F2" s="53">
        <f>B2/(B2+C2+D2+E2)</f>
        <v>7.3535396663954436E-2</v>
      </c>
      <c r="G2" s="53">
        <f>C2/(B2+C2+D2+E2)</f>
        <v>0.22162326891781939</v>
      </c>
      <c r="H2" s="53">
        <f>D2/(B2+C2+D2+E2)</f>
        <v>0.49491456468673717</v>
      </c>
      <c r="I2" s="53">
        <f>E2/(B2+C2+D2+E2)</f>
        <v>0.20992676973148905</v>
      </c>
    </row>
    <row r="3" spans="1:9" x14ac:dyDescent="0.5">
      <c r="A3" s="52">
        <v>1981</v>
      </c>
      <c r="B3" s="50">
        <f>B2+$B$2*(1-0.35)*($D$74)+B2*(0.09)*(1-$D$76)</f>
        <v>9.6628952672999997</v>
      </c>
      <c r="C3" s="50">
        <f>C2+$C$2*(1-0.24)*(0.2) + C2*(0.09) *(1-$D$76)</f>
        <v>26.769014754299999</v>
      </c>
      <c r="D3" s="50">
        <f>D2+$D$2*(1-0.22)*(0.1)+ D2*(0.09)*(1-$D$76)</f>
        <v>56.177969999999995</v>
      </c>
      <c r="E3" s="50">
        <f>E2  + E2*0.09 * 0.85</f>
        <v>22.218959999999999</v>
      </c>
      <c r="F3" s="53">
        <f>B3/(B3+C3+D3+E3)</f>
        <v>8.415042131821894E-2</v>
      </c>
      <c r="G3" s="53">
        <f t="shared" ref="G3:G53" si="0">C3/(B3+C3+D3+E3)</f>
        <v>0.23312100644110476</v>
      </c>
      <c r="H3" s="53">
        <f t="shared" ref="H3:H53" si="1">D3/(B3+C3+D3+E3)</f>
        <v>0.48923223459744597</v>
      </c>
      <c r="I3" s="53">
        <f t="shared" ref="I3:I53" si="2">E3/(B3+C3+D3+E3)</f>
        <v>0.1934963376432304</v>
      </c>
    </row>
    <row r="4" spans="1:9" x14ac:dyDescent="0.5">
      <c r="A4" s="52">
        <v>1982</v>
      </c>
      <c r="B4" s="50">
        <f>B3+$B$2*(1-0.35)*($D$74)+B3*(0.09)*(1-$D$76)</f>
        <v>12.281906807248451</v>
      </c>
      <c r="C4" s="50">
        <f>C3+$C$2*(1-0.24)*(0.2) + C3*(0.09) *(1-$D$76)</f>
        <v>32.128924352603946</v>
      </c>
      <c r="D4" s="50">
        <f>D3+$D$2*(1-0.22)*(0.1)+ D3*(0.09)*(1-$D$76)</f>
        <v>64.271064704999986</v>
      </c>
      <c r="E4" s="50">
        <f t="shared" ref="E4:E53" si="3">E3  + E3*0.09 * 0.85</f>
        <v>23.918710439999998</v>
      </c>
      <c r="F4" s="53">
        <f t="shared" ref="F4:F53" si="4">B4/(B4+C4+D4+E4)</f>
        <v>9.2623308064007009E-2</v>
      </c>
      <c r="G4" s="53">
        <f t="shared" si="0"/>
        <v>0.24229847244241617</v>
      </c>
      <c r="H4" s="53">
        <f t="shared" si="1"/>
        <v>0.48469661260250257</v>
      </c>
      <c r="I4" s="53">
        <f t="shared" si="2"/>
        <v>0.18038160689107438</v>
      </c>
    </row>
    <row r="5" spans="1:9" x14ac:dyDescent="0.5">
      <c r="A5" s="52">
        <v>1983</v>
      </c>
      <c r="B5" s="50">
        <f>B4+$B$2*(1-0.35)*($D$74)+B4*(0.09)*(1-$D$76)</f>
        <v>15.101272730002957</v>
      </c>
      <c r="C5" s="50">
        <f>C4+$C$2*(1-0.24)*(0.2) + C4*(0.09) *(1-$D$76)</f>
        <v>37.898867035178149</v>
      </c>
      <c r="D5" s="50">
        <f>D4+$D$2*(1-0.22)*(0.1)+ D4*(0.09)*(1-$D$76)</f>
        <v>72.983281154932484</v>
      </c>
      <c r="E5" s="50">
        <f t="shared" si="3"/>
        <v>25.748491788659997</v>
      </c>
      <c r="F5" s="53">
        <f t="shared" si="4"/>
        <v>9.9526015723452724E-2</v>
      </c>
      <c r="G5" s="53">
        <f t="shared" si="0"/>
        <v>0.24977518808399443</v>
      </c>
      <c r="H5" s="53">
        <f t="shared" si="1"/>
        <v>0.48100152335792951</v>
      </c>
      <c r="I5" s="53">
        <f t="shared" si="2"/>
        <v>0.1696972728346233</v>
      </c>
    </row>
    <row r="6" spans="1:9" x14ac:dyDescent="0.5">
      <c r="A6" s="52">
        <v>1984</v>
      </c>
      <c r="B6" s="50">
        <f>B5+$B$2*(1-0.35)*($D$74)+B5*(0.09)*(1-$D$76)</f>
        <v>18.136320145848185</v>
      </c>
      <c r="C6" s="50">
        <f>C5+$C$2*(1-0.24)*(0.2) + C5*(0.09) *(1-$D$76)</f>
        <v>44.110210332969274</v>
      </c>
      <c r="D6" s="50">
        <f>D5+$D$2*(1-0.22)*(0.1)+ D5*(0.09)*(1-$D$76)</f>
        <v>82.361982163284821</v>
      </c>
      <c r="E6" s="50">
        <f t="shared" si="3"/>
        <v>27.718251410492488</v>
      </c>
      <c r="F6" s="53">
        <f t="shared" si="4"/>
        <v>0.10524378059065109</v>
      </c>
      <c r="G6" s="53">
        <f t="shared" si="0"/>
        <v>0.25596842472772641</v>
      </c>
      <c r="H6" s="53">
        <f t="shared" si="1"/>
        <v>0.47794074597807479</v>
      </c>
      <c r="I6" s="53">
        <f t="shared" si="2"/>
        <v>0.16084704870354774</v>
      </c>
    </row>
    <row r="7" spans="1:9" x14ac:dyDescent="0.5">
      <c r="A7" s="52">
        <v>1985</v>
      </c>
      <c r="B7" s="50">
        <f>B6+$B$2*(1-0.35)*($D$74)+B6*(0.09)*(1-$D$76)</f>
        <v>21.403548689005572</v>
      </c>
      <c r="C7" s="50">
        <f>C6+$C$2*(1-0.24)*(0.2) + C6*(0.09) *(1-$D$76)</f>
        <v>50.796721393041423</v>
      </c>
      <c r="D7" s="50">
        <f>D6+$D$2*(1-0.22)*(0.1)+ D6*(0.09)*(1-$D$76)</f>
        <v>92.45815379877611</v>
      </c>
      <c r="E7" s="50">
        <f t="shared" si="3"/>
        <v>29.838697643395165</v>
      </c>
      <c r="F7" s="53">
        <f t="shared" si="4"/>
        <v>0.11004558073287711</v>
      </c>
      <c r="G7" s="53">
        <f t="shared" si="0"/>
        <v>0.26116952783137382</v>
      </c>
      <c r="H7" s="53">
        <f t="shared" si="1"/>
        <v>0.47537029378228335</v>
      </c>
      <c r="I7" s="53">
        <f t="shared" si="2"/>
        <v>0.15341459765346568</v>
      </c>
    </row>
    <row r="8" spans="1:9" x14ac:dyDescent="0.5">
      <c r="A8" s="52">
        <v>1986</v>
      </c>
      <c r="B8" s="50">
        <f>B7+$B$2*(1-0.35)*($D$74)+B7*(0.09)*(1-$D$76)</f>
        <v>24.920720215714496</v>
      </c>
      <c r="C8" s="50">
        <f>C7+$C$2*(1-0.24)*(0.2) + C7*(0.09) *(1-$D$76)</f>
        <v>57.994750549209094</v>
      </c>
      <c r="D8" s="50">
        <f>D7+$D$2*(1-0.22)*(0.1)+ D7*(0.09)*(1-$D$76)</f>
        <v>103.32668256438248</v>
      </c>
      <c r="E8" s="50">
        <f t="shared" si="3"/>
        <v>32.121358013114893</v>
      </c>
      <c r="F8" s="53">
        <f t="shared" si="4"/>
        <v>0.11412492894307662</v>
      </c>
      <c r="G8" s="53">
        <f t="shared" si="0"/>
        <v>0.26558810211778544</v>
      </c>
      <c r="H8" s="53">
        <f t="shared" si="1"/>
        <v>0.47318657741472875</v>
      </c>
      <c r="I8" s="53">
        <f t="shared" si="2"/>
        <v>0.14710039152440921</v>
      </c>
    </row>
    <row r="9" spans="1:9" x14ac:dyDescent="0.5">
      <c r="A9" s="52">
        <v>1987</v>
      </c>
      <c r="B9" s="50">
        <f>B8+$B$2*(1-0.35)*($D$74)+B8*(0.09)*(1-$D$76)</f>
        <v>28.706955364216654</v>
      </c>
      <c r="C9" s="50">
        <f>C8+$C$2*(1-0.24)*(0.2) + C8*(0.09) *(1-$D$76)</f>
        <v>65.743428935823587</v>
      </c>
      <c r="D9" s="50">
        <f>D8+$D$2*(1-0.22)*(0.1)+ D8*(0.09)*(1-$D$76)</f>
        <v>115.02665378055774</v>
      </c>
      <c r="E9" s="50">
        <f t="shared" si="3"/>
        <v>34.578641901118182</v>
      </c>
      <c r="F9" s="53">
        <f t="shared" si="4"/>
        <v>0.11762461486807962</v>
      </c>
      <c r="G9" s="53">
        <f t="shared" si="0"/>
        <v>0.26937881118255008</v>
      </c>
      <c r="H9" s="53">
        <f t="shared" si="1"/>
        <v>0.47131316013286456</v>
      </c>
      <c r="I9" s="53">
        <f t="shared" si="2"/>
        <v>0.1416834138165057</v>
      </c>
    </row>
    <row r="10" spans="1:9" x14ac:dyDescent="0.5">
      <c r="A10" s="52">
        <v>1988</v>
      </c>
      <c r="B10" s="50">
        <f>B9+$B$2*(1-0.35)*($D$74)+B9*(0.09)*(1-$D$76)</f>
        <v>32.78283750157923</v>
      </c>
      <c r="C10" s="50">
        <f>C9+$C$2*(1-0.24)*(0.2) + C9*(0.09) *(1-$D$76)</f>
        <v>74.084881219014093</v>
      </c>
      <c r="D10" s="50">
        <f>D9+$D$2*(1-0.22)*(0.1)+ D9*(0.09)*(1-$D$76)</f>
        <v>127.6216727947704</v>
      </c>
      <c r="E10" s="50">
        <f t="shared" si="3"/>
        <v>37.223908006553721</v>
      </c>
      <c r="F10" s="53">
        <f t="shared" si="4"/>
        <v>0.12065231094414956</v>
      </c>
      <c r="G10" s="53">
        <f t="shared" si="0"/>
        <v>0.27265828117124652</v>
      </c>
      <c r="H10" s="53">
        <f t="shared" si="1"/>
        <v>0.46969240379224036</v>
      </c>
      <c r="I10" s="53">
        <f t="shared" si="2"/>
        <v>0.13699700409236351</v>
      </c>
    </row>
    <row r="11" spans="1:9" x14ac:dyDescent="0.5">
      <c r="A11" s="52">
        <v>1989</v>
      </c>
      <c r="B11" s="50">
        <f>B10+$B$2*(1-0.35)*($D$74)+B10*(0.09)*(1-$D$76)</f>
        <v>37.170524622450039</v>
      </c>
      <c r="C11" s="50">
        <f>C10+$C$2*(1-0.24)*(0.2) + C10*(0.09) *(1-$D$76)</f>
        <v>83.064454601868675</v>
      </c>
      <c r="D11" s="50">
        <f>D10+$D$2*(1-0.22)*(0.1)+ D10*(0.09)*(1-$D$76)</f>
        <v>141.18021076357033</v>
      </c>
      <c r="E11" s="50">
        <f t="shared" si="3"/>
        <v>40.071536969055082</v>
      </c>
      <c r="F11" s="53">
        <f t="shared" si="4"/>
        <v>0.12329074980391566</v>
      </c>
      <c r="G11" s="53">
        <f t="shared" si="0"/>
        <v>0.27551612450829804</v>
      </c>
      <c r="H11" s="53">
        <f t="shared" si="1"/>
        <v>0.46828002077760633</v>
      </c>
      <c r="I11" s="53">
        <f t="shared" si="2"/>
        <v>0.13291310491017991</v>
      </c>
    </row>
    <row r="12" spans="1:9" x14ac:dyDescent="0.5">
      <c r="A12" s="52">
        <v>1990</v>
      </c>
      <c r="B12" s="50">
        <f>B11+$B$2*(1-0.35)*($D$74)+B11*(0.09)*(1-$D$76)</f>
        <v>41.893869808067464</v>
      </c>
      <c r="C12" s="50">
        <f>C11+$C$2*(1-0.24)*(0.2) + C11*(0.09) *(1-$D$76)</f>
        <v>92.730965348511631</v>
      </c>
      <c r="D12" s="50">
        <f>D11+$D$2*(1-0.22)*(0.1)+ D11*(0.09)*(1-$D$76)</f>
        <v>155.77597688698344</v>
      </c>
      <c r="E12" s="50">
        <f t="shared" si="3"/>
        <v>43.137009547187795</v>
      </c>
      <c r="F12" s="53">
        <f t="shared" si="4"/>
        <v>0.12560455545419702</v>
      </c>
      <c r="G12" s="53">
        <f t="shared" si="0"/>
        <v>0.27802233913457702</v>
      </c>
      <c r="H12" s="53">
        <f t="shared" si="1"/>
        <v>0.46704141720431336</v>
      </c>
      <c r="I12" s="53">
        <f t="shared" si="2"/>
        <v>0.12933168820691271</v>
      </c>
    </row>
    <row r="13" spans="1:9" x14ac:dyDescent="0.5">
      <c r="A13" s="52">
        <v>1991</v>
      </c>
      <c r="B13" s="50">
        <f>B12+$B$2*(1-0.35)*($D$74)+B12*(0.09)*(1-$D$76)</f>
        <v>46.978550900384626</v>
      </c>
      <c r="C13" s="50">
        <f>C12+$C$2*(1-0.24)*(0.2) + C12*(0.09) *(1-$D$76)</f>
        <v>103.13696416727278</v>
      </c>
      <c r="D13" s="50">
        <f>D12+$D$2*(1-0.22)*(0.1)+ D12*(0.09)*(1-$D$76)</f>
        <v>171.48831911883767</v>
      </c>
      <c r="E13" s="50">
        <f t="shared" si="3"/>
        <v>46.436990777547663</v>
      </c>
      <c r="F13" s="53">
        <f t="shared" si="4"/>
        <v>0.12764494510894109</v>
      </c>
      <c r="G13" s="53">
        <f t="shared" si="0"/>
        <v>0.28023240133033933</v>
      </c>
      <c r="H13" s="53">
        <f t="shared" si="1"/>
        <v>0.46594917597957219</v>
      </c>
      <c r="I13" s="53">
        <f t="shared" si="2"/>
        <v>0.12617347758114747</v>
      </c>
    </row>
    <row r="14" spans="1:9" x14ac:dyDescent="0.5">
      <c r="A14" s="52">
        <v>1992</v>
      </c>
      <c r="B14" s="50">
        <f>B13+$B$2*(1-0.35)*($D$74)+B13*(0.09)*(1-$D$76)</f>
        <v>52.452210096264054</v>
      </c>
      <c r="C14" s="50">
        <f>C13+$C$2*(1-0.24)*(0.2) + C13*(0.09) *(1-$D$76)</f>
        <v>114.33902189566915</v>
      </c>
      <c r="D14" s="50">
        <f>D13+$D$2*(1-0.22)*(0.1)+ D13*(0.09)*(1-$D$76)</f>
        <v>188.40265553142874</v>
      </c>
      <c r="E14" s="50">
        <f t="shared" si="3"/>
        <v>49.989420572030056</v>
      </c>
      <c r="F14" s="53">
        <f t="shared" si="4"/>
        <v>0.12945303779373674</v>
      </c>
      <c r="G14" s="53">
        <f t="shared" si="0"/>
        <v>0.282190849453133</v>
      </c>
      <c r="H14" s="53">
        <f t="shared" si="1"/>
        <v>0.46498128567298547</v>
      </c>
      <c r="I14" s="53">
        <f t="shared" si="2"/>
        <v>0.1233748270801449</v>
      </c>
    </row>
    <row r="15" spans="1:9" x14ac:dyDescent="0.5">
      <c r="A15" s="52">
        <v>1993</v>
      </c>
      <c r="B15" s="50">
        <f>B14+$B$2*(1-0.35)*($D$74)+B14*(0.09)*(1-$D$76)</f>
        <v>58.344604220628256</v>
      </c>
      <c r="C15" s="50">
        <f>C14+$C$2*(1-0.24)*(0.2) + C14*(0.09) *(1-$D$76)</f>
        <v>126.39803704028785</v>
      </c>
      <c r="D15" s="50">
        <f>D14+$D$2*(1-0.22)*(0.1)+ D14*(0.09)*(1-$D$76)</f>
        <v>206.61093867958303</v>
      </c>
      <c r="E15" s="50">
        <f t="shared" si="3"/>
        <v>53.813611245790355</v>
      </c>
      <c r="F15" s="53">
        <f t="shared" si="4"/>
        <v>0.13106222869917819</v>
      </c>
      <c r="G15" s="53">
        <f t="shared" si="0"/>
        <v>0.28393385573510055</v>
      </c>
      <c r="H15" s="53">
        <f t="shared" si="1"/>
        <v>0.4641198695011699</v>
      </c>
      <c r="I15" s="53">
        <f t="shared" si="2"/>
        <v>0.12088404606455135</v>
      </c>
    </row>
    <row r="16" spans="1:9" x14ac:dyDescent="0.5">
      <c r="A16" s="52">
        <v>1994</v>
      </c>
      <c r="B16" s="50">
        <f>B15+$B$2*(1-0.35)*($D$74)+B15*(0.09)*(1-$D$76)</f>
        <v>64.687766495506324</v>
      </c>
      <c r="C16" s="50">
        <f>C15+$C$2*(1-0.24)*(0.2) + C15*(0.09) *(1-$D$76)</f>
        <v>139.37956684346986</v>
      </c>
      <c r="D16" s="50">
        <f>D15+$D$2*(1-0.22)*(0.1)+ D15*(0.09)*(1-$D$76)</f>
        <v>226.21215548857114</v>
      </c>
      <c r="E16" s="50">
        <f t="shared" si="3"/>
        <v>57.930352506093314</v>
      </c>
      <c r="F16" s="53">
        <f t="shared" si="4"/>
        <v>0.13249992322727261</v>
      </c>
      <c r="G16" s="53">
        <f t="shared" si="0"/>
        <v>0.28549110452736332</v>
      </c>
      <c r="H16" s="53">
        <f t="shared" si="1"/>
        <v>0.46335025707517163</v>
      </c>
      <c r="I16" s="53">
        <f t="shared" si="2"/>
        <v>0.11865871517019246</v>
      </c>
    </row>
    <row r="17" spans="1:9" x14ac:dyDescent="0.5">
      <c r="A17" s="52">
        <v>1995</v>
      </c>
      <c r="B17" s="50">
        <f>B16+$B$2*(1-0.35)*($D$74)+B16*(0.09)*(1-$D$76)</f>
        <v>71.516180684412546</v>
      </c>
      <c r="C17" s="50">
        <f>C16+$C$2*(1-0.24)*(0.2) + C16*(0.09) *(1-$D$76)</f>
        <v>153.35418367659531</v>
      </c>
      <c r="D17" s="50">
        <f>D16+$D$2*(1-0.22)*(0.1)+ D16*(0.09)*(1-$D$76)</f>
        <v>247.31286538344682</v>
      </c>
      <c r="E17" s="50">
        <f t="shared" si="3"/>
        <v>62.362024472809452</v>
      </c>
      <c r="F17" s="53">
        <f t="shared" si="4"/>
        <v>0.13378882352839117</v>
      </c>
      <c r="G17" s="53">
        <f t="shared" si="0"/>
        <v>0.28688718582143657</v>
      </c>
      <c r="H17" s="53">
        <f t="shared" si="1"/>
        <v>0.46266029570421985</v>
      </c>
      <c r="I17" s="53">
        <f t="shared" si="2"/>
        <v>0.11666369494595234</v>
      </c>
    </row>
    <row r="18" spans="1:9" x14ac:dyDescent="0.5">
      <c r="A18" s="52">
        <v>1996</v>
      </c>
      <c r="B18" s="50">
        <f>B17+$B$2*(1-0.35)*($D$74)+B17*(0.09)*(1-$D$76)</f>
        <v>78.866968558770111</v>
      </c>
      <c r="C18" s="50">
        <f>C17+$C$2*(1-0.24)*(0.2) + C17*(0.09) *(1-$D$76)</f>
        <v>168.39785869745486</v>
      </c>
      <c r="D18" s="50">
        <f>D17+$D$2*(1-0.22)*(0.1)+ D17*(0.09)*(1-$D$76)</f>
        <v>270.02777958528048</v>
      </c>
      <c r="E18" s="50">
        <f t="shared" si="3"/>
        <v>67.132719344979378</v>
      </c>
      <c r="F18" s="53">
        <f t="shared" si="4"/>
        <v>0.13494789672000693</v>
      </c>
      <c r="G18" s="53">
        <f t="shared" si="0"/>
        <v>0.28814264398206563</v>
      </c>
      <c r="H18" s="53">
        <f t="shared" si="1"/>
        <v>0.46203983209844179</v>
      </c>
      <c r="I18" s="53">
        <f t="shared" si="2"/>
        <v>0.11486962719948578</v>
      </c>
    </row>
    <row r="19" spans="1:9" x14ac:dyDescent="0.5">
      <c r="A19" s="52">
        <v>1997</v>
      </c>
      <c r="B19" s="50">
        <f>B18+$B$2*(1-0.35)*($D$74)+B18*(0.09)*(1-$D$76)</f>
        <v>86.780091705516028</v>
      </c>
      <c r="C19" s="50">
        <f>C18+$C$2*(1-0.24)*(0.2) + C18*(0.09) *(1-$D$76)</f>
        <v>184.59237485741016</v>
      </c>
      <c r="D19" s="50">
        <f>D18+$D$2*(1-0.22)*(0.1)+ D18*(0.09)*(1-$D$76)</f>
        <v>294.48038472355444</v>
      </c>
      <c r="E19" s="50">
        <f t="shared" si="3"/>
        <v>72.268372374870296</v>
      </c>
      <c r="F19" s="53">
        <f t="shared" si="4"/>
        <v>0.13599311304456779</v>
      </c>
      <c r="G19" s="53">
        <f t="shared" si="0"/>
        <v>0.28927477728804202</v>
      </c>
      <c r="H19" s="53">
        <f t="shared" si="1"/>
        <v>0.46148031722548422</v>
      </c>
      <c r="I19" s="53">
        <f t="shared" si="2"/>
        <v>0.11325179244190584</v>
      </c>
    </row>
    <row r="20" spans="1:9" x14ac:dyDescent="0.5">
      <c r="A20" s="52">
        <v>1998</v>
      </c>
      <c r="B20" s="50">
        <f>B19+$B$2*(1-0.35)*($D$74)+B19*(0.09)*(1-$D$76)</f>
        <v>95.298568772987991</v>
      </c>
      <c r="C20" s="50">
        <f>C19+$C$2*(1-0.24)*(0.2) + C19*(0.09) *(1-$D$76)</f>
        <v>202.02577150360204</v>
      </c>
      <c r="D20" s="50">
        <f>D19+$D$2*(1-0.22)*(0.1)+ D19*(0.09)*(1-$D$76)</f>
        <v>320.80361415490637</v>
      </c>
      <c r="E20" s="50">
        <f t="shared" si="3"/>
        <v>77.796902861547878</v>
      </c>
      <c r="F20" s="53">
        <f t="shared" si="4"/>
        <v>0.13693801532492048</v>
      </c>
      <c r="G20" s="53">
        <f t="shared" si="0"/>
        <v>0.29029825474179288</v>
      </c>
      <c r="H20" s="53">
        <f t="shared" si="1"/>
        <v>0.46097450147526547</v>
      </c>
      <c r="I20" s="53">
        <f t="shared" si="2"/>
        <v>0.11178922845802113</v>
      </c>
    </row>
    <row r="21" spans="1:9" x14ac:dyDescent="0.5">
      <c r="A21" s="52">
        <v>1999</v>
      </c>
      <c r="B21" s="50">
        <f>B20+$B$2*(1-0.35)*($D$74)+B20*(0.09)*(1-$D$76)</f>
        <v>104.46870933612156</v>
      </c>
      <c r="C21" s="50">
        <f>C20+$C$2*(1-0.24)*(0.2) + C20*(0.09) *(1-$D$76)</f>
        <v>220.79282299322762</v>
      </c>
      <c r="D21" s="50">
        <f>D20+$D$2*(1-0.22)*(0.1)+ D20*(0.09)*(1-$D$76)</f>
        <v>349.1405706377567</v>
      </c>
      <c r="E21" s="50">
        <f t="shared" si="3"/>
        <v>83.748365930456288</v>
      </c>
      <c r="F21" s="53">
        <f t="shared" si="4"/>
        <v>0.13779416306110193</v>
      </c>
      <c r="G21" s="53">
        <f t="shared" si="0"/>
        <v>0.29122559709589801</v>
      </c>
      <c r="H21" s="53">
        <f t="shared" si="1"/>
        <v>0.46051619693046841</v>
      </c>
      <c r="I21" s="53">
        <f t="shared" si="2"/>
        <v>0.11046404291253163</v>
      </c>
    </row>
    <row r="22" spans="1:9" x14ac:dyDescent="0.5">
      <c r="A22" s="52">
        <v>2000</v>
      </c>
      <c r="B22" s="50">
        <f>B21+$B$2*(1-0.35)*($D$74)+B21*(0.09)*(1-$D$76)</f>
        <v>114.34036565233485</v>
      </c>
      <c r="C22" s="50">
        <f>C21+$C$2*(1-0.24)*(0.2) + C21*(0.09) *(1-$D$76)</f>
        <v>240.99555392180955</v>
      </c>
      <c r="D22" s="50">
        <f>D21+$D$2*(1-0.22)*(0.1)+ D21*(0.09)*(1-$D$76)</f>
        <v>379.64530429154507</v>
      </c>
      <c r="E22" s="50">
        <f t="shared" si="3"/>
        <v>90.155115924136197</v>
      </c>
      <c r="F22" s="53">
        <f t="shared" si="4"/>
        <v>0.13857148223705554</v>
      </c>
      <c r="G22" s="53">
        <f t="shared" si="0"/>
        <v>0.29206755574865922</v>
      </c>
      <c r="H22" s="53">
        <f t="shared" si="1"/>
        <v>0.4601000901114673</v>
      </c>
      <c r="I22" s="53">
        <f t="shared" si="2"/>
        <v>0.10926087190281794</v>
      </c>
    </row>
    <row r="23" spans="1:9" x14ac:dyDescent="0.5">
      <c r="A23" s="52">
        <v>2001</v>
      </c>
      <c r="B23" s="50">
        <f>B22+$B$2*(1-0.35)*($D$74)+B22*(0.09)*(1-$D$76)</f>
        <v>124.96720367673846</v>
      </c>
      <c r="C23" s="50">
        <f>C22+$C$2*(1-0.24)*(0.2) + C22*(0.09) *(1-$D$76)</f>
        <v>262.74379376642798</v>
      </c>
      <c r="D23" s="50">
        <f>D22+$D$2*(1-0.22)*(0.1)+ D22*(0.09)*(1-$D$76)</f>
        <v>412.4836500698483</v>
      </c>
      <c r="E23" s="50">
        <f t="shared" si="3"/>
        <v>97.05198229233261</v>
      </c>
      <c r="F23" s="53">
        <f t="shared" si="4"/>
        <v>0.13927854340767978</v>
      </c>
      <c r="G23" s="53">
        <f t="shared" si="0"/>
        <v>0.29283341395601431</v>
      </c>
      <c r="H23" s="53">
        <f t="shared" si="1"/>
        <v>0.45972159311351701</v>
      </c>
      <c r="I23" s="53">
        <f t="shared" si="2"/>
        <v>0.10816644952278896</v>
      </c>
    </row>
    <row r="24" spans="1:9" x14ac:dyDescent="0.5">
      <c r="A24" s="52">
        <v>2002</v>
      </c>
      <c r="B24" s="50">
        <f>B23+$B$2*(1-0.35)*($D$74)+B23*(0.09)*(1-$D$76)</f>
        <v>136.40699481000894</v>
      </c>
      <c r="C24" s="50">
        <f>C23+$C$2*(1-0.24)*(0.2) + C23*(0.09) *(1-$D$76)</f>
        <v>286.15577395915972</v>
      </c>
      <c r="D24" s="50">
        <f>D23+$D$2*(1-0.22)*(0.1)+ D23*(0.09)*(1-$D$76)</f>
        <v>447.83412930019171</v>
      </c>
      <c r="E24" s="50">
        <f t="shared" si="3"/>
        <v>104.47645893769605</v>
      </c>
      <c r="F24" s="53">
        <f t="shared" si="4"/>
        <v>0.13992278466691299</v>
      </c>
      <c r="G24" s="53">
        <f t="shared" si="0"/>
        <v>0.29353122834096335</v>
      </c>
      <c r="H24" s="53">
        <f t="shared" si="1"/>
        <v>0.45937672424968135</v>
      </c>
      <c r="I24" s="53">
        <f t="shared" si="2"/>
        <v>0.10716926274244237</v>
      </c>
    </row>
    <row r="25" spans="1:9" x14ac:dyDescent="0.5">
      <c r="A25" s="52">
        <v>2003</v>
      </c>
      <c r="B25" s="50">
        <f>B24+$B$2*(1-0.35)*($D$74)+B24*(0.09)*(1-$D$76)</f>
        <v>148.72192996497463</v>
      </c>
      <c r="C25" s="50">
        <f>C24+$C$2*(1-0.24)*(0.2) + C24*(0.09) *(1-$D$76)</f>
        <v>311.35877063663543</v>
      </c>
      <c r="D25" s="50">
        <f>D24+$D$2*(1-0.22)*(0.1)+ D24*(0.09)*(1-$D$76)</f>
        <v>485.88892019165638</v>
      </c>
      <c r="E25" s="50">
        <f t="shared" si="3"/>
        <v>112.4689080464298</v>
      </c>
      <c r="F25" s="53">
        <f t="shared" si="4"/>
        <v>0.14051069184717768</v>
      </c>
      <c r="G25" s="53">
        <f t="shared" si="0"/>
        <v>0.29416802407784581</v>
      </c>
      <c r="H25" s="53">
        <f t="shared" si="1"/>
        <v>0.45906201158824766</v>
      </c>
      <c r="I25" s="53">
        <f t="shared" si="2"/>
        <v>0.10625927248672896</v>
      </c>
    </row>
    <row r="26" spans="1:9" x14ac:dyDescent="0.5">
      <c r="A26" s="52">
        <v>2004</v>
      </c>
      <c r="B26" s="50">
        <f>B25+$B$2*(1-0.35)*($D$74)+B25*(0.09)*(1-$D$76)</f>
        <v>161.97895765929519</v>
      </c>
      <c r="C26" s="50">
        <f>C25+$C$2*(1-0.24)*(0.2) + C25*(0.09) *(1-$D$76)</f>
        <v>338.48979655993804</v>
      </c>
      <c r="D26" s="50">
        <f>D25+$D$2*(1-0.22)*(0.1)+ D25*(0.09)*(1-$D$76)</f>
        <v>526.85490258631808</v>
      </c>
      <c r="E26" s="50">
        <f t="shared" si="3"/>
        <v>121.07277951198168</v>
      </c>
      <c r="F26" s="53">
        <f t="shared" si="4"/>
        <v>0.14104794523631542</v>
      </c>
      <c r="G26" s="53">
        <f t="shared" si="0"/>
        <v>0.29474995380980545</v>
      </c>
      <c r="H26" s="53">
        <f t="shared" si="1"/>
        <v>0.45877441441366684</v>
      </c>
      <c r="I26" s="53">
        <f t="shared" si="2"/>
        <v>0.10542768654021224</v>
      </c>
    </row>
    <row r="27" spans="1:9" x14ac:dyDescent="0.5">
      <c r="A27" s="52">
        <v>2005</v>
      </c>
      <c r="B27" s="50">
        <f>B26+$B$2*(1-0.35)*($D$74)+B26*(0.09)*(1-$D$76)</f>
        <v>176.25014797223128</v>
      </c>
      <c r="C27" s="50">
        <f>C26+$C$2*(1-0.24)*(0.2) + C26*(0.09) *(1-$D$76)</f>
        <v>367.69634596637331</v>
      </c>
      <c r="D27" s="50">
        <f>D26+$D$2*(1-0.22)*(0.1)+ D26*(0.09)*(1-$D$76)</f>
        <v>570.95478263417135</v>
      </c>
      <c r="E27" s="50">
        <f t="shared" si="3"/>
        <v>130.33484714464828</v>
      </c>
      <c r="F27" s="53">
        <f t="shared" si="4"/>
        <v>0.14153953986338652</v>
      </c>
      <c r="G27" s="53">
        <f t="shared" si="0"/>
        <v>0.29528242793718779</v>
      </c>
      <c r="H27" s="53">
        <f t="shared" si="1"/>
        <v>0.45851125883634869</v>
      </c>
      <c r="I27" s="53">
        <f t="shared" si="2"/>
        <v>0.10466677336307711</v>
      </c>
    </row>
    <row r="28" spans="1:9" x14ac:dyDescent="0.5">
      <c r="A28" s="52">
        <v>2006</v>
      </c>
      <c r="B28" s="50">
        <f>B27+$B$2*(1-0.35)*($D$74)+B27*(0.09)*(1-$D$76)</f>
        <v>191.61308434410697</v>
      </c>
      <c r="C28" s="50">
        <f>C27+$C$2*(1-0.24)*(0.2) + C27*(0.09) *(1-$D$76)</f>
        <v>399.13719640240089</v>
      </c>
      <c r="D28" s="50">
        <f>D27+$D$2*(1-0.22)*(0.1)+ D27*(0.09)*(1-$D$76)</f>
        <v>618.42830350568545</v>
      </c>
      <c r="E28" s="50">
        <f t="shared" si="3"/>
        <v>140.30546295121388</v>
      </c>
      <c r="F28" s="53">
        <f t="shared" si="4"/>
        <v>0.14198988475721136</v>
      </c>
      <c r="G28" s="53">
        <f t="shared" si="0"/>
        <v>0.29577022213011689</v>
      </c>
      <c r="H28" s="53">
        <f t="shared" si="1"/>
        <v>0.45827018465855934</v>
      </c>
      <c r="I28" s="53">
        <f t="shared" si="2"/>
        <v>0.10396970845411238</v>
      </c>
    </row>
    <row r="29" spans="1:9" x14ac:dyDescent="0.5">
      <c r="A29" s="52">
        <v>2007</v>
      </c>
      <c r="B29" s="50">
        <f>B28+$B$2*(1-0.35)*($D$74)+B28*(0.09)*(1-$D$76)</f>
        <v>208.15128534843114</v>
      </c>
      <c r="C29" s="50">
        <f>C28+$C$2*(1-0.24)*(0.2) + C28*(0.09) *(1-$D$76)</f>
        <v>432.98327189678457</v>
      </c>
      <c r="D29" s="50">
        <f>D28+$D$2*(1-0.22)*(0.1)+ D28*(0.09)*(1-$D$76)</f>
        <v>669.53354872387035</v>
      </c>
      <c r="E29" s="50">
        <f t="shared" si="3"/>
        <v>151.03883086698175</v>
      </c>
      <c r="F29" s="53">
        <f t="shared" si="4"/>
        <v>0.14240288535469647</v>
      </c>
      <c r="G29" s="53">
        <f t="shared" si="0"/>
        <v>0.29621756658964543</v>
      </c>
      <c r="H29" s="53">
        <f t="shared" si="1"/>
        <v>0.45804910126041176</v>
      </c>
      <c r="I29" s="53">
        <f t="shared" si="2"/>
        <v>0.10333044679524631</v>
      </c>
    </row>
    <row r="30" spans="1:9" x14ac:dyDescent="0.5">
      <c r="A30" s="52">
        <v>2008</v>
      </c>
      <c r="B30" s="50">
        <f>B29+$B$2*(1-0.35)*($D$74)+B29*(0.09)*(1-$D$76)</f>
        <v>225.95465872958613</v>
      </c>
      <c r="C30" s="50">
        <f>C29+$C$2*(1-0.24)*(0.2) + C29*(0.09) *(1-$D$76)</f>
        <v>469.41857216648862</v>
      </c>
      <c r="D30" s="50">
        <f>D29+$D$2*(1-0.22)*(0.1)+ D29*(0.09)*(1-$D$76)</f>
        <v>724.54834520124643</v>
      </c>
      <c r="E30" s="50">
        <f t="shared" si="3"/>
        <v>162.59330142830586</v>
      </c>
      <c r="F30" s="53">
        <f t="shared" si="4"/>
        <v>0.14278201231376864</v>
      </c>
      <c r="G30" s="53">
        <f t="shared" si="0"/>
        <v>0.29662822058296062</v>
      </c>
      <c r="H30" s="53">
        <f t="shared" si="1"/>
        <v>0.45784615076360519</v>
      </c>
      <c r="I30" s="53">
        <f t="shared" si="2"/>
        <v>0.10274361633966557</v>
      </c>
    </row>
    <row r="31" spans="1:9" x14ac:dyDescent="0.5">
      <c r="A31" s="52">
        <v>2009</v>
      </c>
      <c r="B31" s="50">
        <f>B30+$B$2*(1-0.35)*($D$74)+B30*(0.09)*(1-$D$76)</f>
        <v>245.11999017439948</v>
      </c>
      <c r="C31" s="50">
        <f>C30+$C$2*(1-0.24)*(0.2) + C30*(0.09) *(1-$D$76)</f>
        <v>508.64117290682498</v>
      </c>
      <c r="D31" s="50">
        <f>D30+$D$2*(1-0.22)*(0.1)+ D30*(0.09)*(1-$D$76)</f>
        <v>783.77177360914175</v>
      </c>
      <c r="E31" s="50">
        <f t="shared" si="3"/>
        <v>175.03168898757127</v>
      </c>
      <c r="F31" s="53">
        <f>B31/(B31+C31+D31+E31)</f>
        <v>0.14313035928636331</v>
      </c>
      <c r="G31" s="53">
        <f t="shared" si="0"/>
        <v>0.29700553502059746</v>
      </c>
      <c r="H31" s="53">
        <f t="shared" si="1"/>
        <v>0.45765967710496014</v>
      </c>
      <c r="I31" s="53">
        <f t="shared" si="2"/>
        <v>0.10220442858807917</v>
      </c>
    </row>
    <row r="32" spans="1:9" x14ac:dyDescent="0.5">
      <c r="A32" s="52">
        <v>2010</v>
      </c>
      <c r="B32" s="50">
        <f>B31+$B$2*(1-0.35)*($D$74)+B31*(0.09)*(1-$D$76)</f>
        <v>265.75146947474104</v>
      </c>
      <c r="C32" s="50">
        <f>C31+$C$2*(1-0.24)*(0.2) + C31*(0.09) *(1-$D$76)</f>
        <v>550.86430260379711</v>
      </c>
      <c r="D32" s="50">
        <f>D31+$D$2*(1-0.22)*(0.1)+ D31*(0.09)*(1-$D$76)</f>
        <v>847.52579429024104</v>
      </c>
      <c r="E32" s="50">
        <f t="shared" si="3"/>
        <v>188.42161319512047</v>
      </c>
      <c r="F32" s="53">
        <f t="shared" si="4"/>
        <v>0.1434506916721188</v>
      </c>
      <c r="G32" s="53">
        <f t="shared" si="0"/>
        <v>0.29735250526434009</v>
      </c>
      <c r="H32" s="53">
        <f t="shared" si="1"/>
        <v>0.45748819993807271</v>
      </c>
      <c r="I32" s="53">
        <f t="shared" si="2"/>
        <v>0.10170860312546837</v>
      </c>
    </row>
    <row r="33" spans="1:9" x14ac:dyDescent="0.5">
      <c r="A33" s="52">
        <v>2011</v>
      </c>
      <c r="B33" s="50">
        <f>B32+$B$2*(1-0.35)*($D$74)+B32*(0.09)*(1-$D$76)</f>
        <v>287.96125694155876</v>
      </c>
      <c r="C33" s="50">
        <f>C32+$C$2*(1-0.24)*(0.2) + C32*(0.09) *(1-$D$76)</f>
        <v>596.31750172258751</v>
      </c>
      <c r="D33" s="50">
        <f>D32+$D$2*(1-0.22)*(0.1)+ D32*(0.09)*(1-$D$76)</f>
        <v>916.15699755344451</v>
      </c>
      <c r="E33" s="50">
        <f t="shared" si="3"/>
        <v>202.83586660454719</v>
      </c>
      <c r="F33" s="53">
        <f t="shared" si="4"/>
        <v>0.14374548796128264</v>
      </c>
      <c r="G33" s="53">
        <f t="shared" si="0"/>
        <v>0.29767181590807767</v>
      </c>
      <c r="H33" s="53">
        <f t="shared" si="1"/>
        <v>0.45733039250203877</v>
      </c>
      <c r="I33" s="53">
        <f t="shared" si="2"/>
        <v>0.10125230362860091</v>
      </c>
    </row>
    <row r="34" spans="1:9" x14ac:dyDescent="0.5">
      <c r="A34" s="52">
        <v>2012</v>
      </c>
      <c r="B34" s="50">
        <f>B33+$B$2*(1-0.35)*($D$74)+B33*(0.09)*(1-$D$76)</f>
        <v>311.870093149588</v>
      </c>
      <c r="C34" s="50">
        <f>C33+$C$2*(1-0.24)*(0.2) + C33*(0.09) *(1-$D$76)</f>
        <v>645.24787057396543</v>
      </c>
      <c r="D34" s="50">
        <f>D33+$D$2*(1-0.22)*(0.1)+ D33*(0.09)*(1-$D$76)</f>
        <v>990.03848786628305</v>
      </c>
      <c r="E34" s="50">
        <f t="shared" si="3"/>
        <v>218.35281039979506</v>
      </c>
      <c r="F34" s="53">
        <f t="shared" si="4"/>
        <v>0.14401697495537252</v>
      </c>
      <c r="G34" s="53">
        <f t="shared" si="0"/>
        <v>0.29796587892730747</v>
      </c>
      <c r="H34" s="53">
        <f t="shared" si="1"/>
        <v>0.45718506276747728</v>
      </c>
      <c r="I34" s="53">
        <f t="shared" si="2"/>
        <v>0.1008320833498428</v>
      </c>
    </row>
    <row r="35" spans="1:9" x14ac:dyDescent="0.5">
      <c r="A35" s="52">
        <v>2013</v>
      </c>
      <c r="B35" s="50">
        <f>B34+$B$2*(1-0.35)*($D$74)+B34*(0.09)*(1-$D$76)</f>
        <v>337.6079553275315</v>
      </c>
      <c r="C35" s="50">
        <f>C34+$C$2*(1-0.24)*(0.2) + C34*(0.09) *(1-$D$76)</f>
        <v>697.92141264247368</v>
      </c>
      <c r="D35" s="50">
        <f>D34+$D$2*(1-0.22)*(0.1)+ D34*(0.09)*(1-$D$76)</f>
        <v>1069.5719121880536</v>
      </c>
      <c r="E35" s="50">
        <f t="shared" si="3"/>
        <v>235.05680039537938</v>
      </c>
      <c r="F35" s="53">
        <f t="shared" si="4"/>
        <v>0.14426715790400299</v>
      </c>
      <c r="G35" s="53">
        <f t="shared" si="0"/>
        <v>0.29823686632204688</v>
      </c>
      <c r="H35" s="53">
        <f t="shared" si="1"/>
        <v>0.45705113730398239</v>
      </c>
      <c r="I35" s="53">
        <f t="shared" si="2"/>
        <v>0.10044483846996752</v>
      </c>
    </row>
    <row r="36" spans="1:9" x14ac:dyDescent="0.5">
      <c r="A36" s="52">
        <v>2014</v>
      </c>
      <c r="B36" s="50">
        <f>B35+$B$2*(1-0.35)*($D$74)+B35*(0.09)*(1-$D$76)</f>
        <v>365.31476396208768</v>
      </c>
      <c r="C36" s="50">
        <f>C35+$C$2*(1-0.24)*(0.2) + C35*(0.09) *(1-$D$76)</f>
        <v>754.62448067922287</v>
      </c>
      <c r="D36" s="50">
        <f>D35+$D$2*(1-0.22)*(0.1)+ D35*(0.09)*(1-$D$76)</f>
        <v>1155.1896434704397</v>
      </c>
      <c r="E36" s="50">
        <f t="shared" si="3"/>
        <v>253.03864562562592</v>
      </c>
      <c r="F36" s="53">
        <f t="shared" si="4"/>
        <v>0.14449784639946106</v>
      </c>
      <c r="G36" s="53">
        <f t="shared" si="0"/>
        <v>0.29848673816472343</v>
      </c>
      <c r="H36" s="53">
        <f t="shared" si="1"/>
        <v>0.45692764741849567</v>
      </c>
      <c r="I36" s="53">
        <f t="shared" si="2"/>
        <v>0.10008776801731975</v>
      </c>
    </row>
    <row r="37" spans="1:9" x14ac:dyDescent="0.5">
      <c r="A37" s="52">
        <v>2015</v>
      </c>
      <c r="B37" s="50">
        <f>B36+$B$2*(1-0.35)*($D$74)+B36*(0.09)*(1-$D$76)</f>
        <v>395.14114345718741</v>
      </c>
      <c r="C37" s="50">
        <f>C36+$C$2*(1-0.24)*(0.2) + C36*(0.09) *(1-$D$76)</f>
        <v>815.66533342078333</v>
      </c>
      <c r="D37" s="50">
        <f>D36+$D$2*(1-0.22)*(0.1)+ D36*(0.09)*(1-$D$76)</f>
        <v>1247.3571311959283</v>
      </c>
      <c r="E37" s="50">
        <f t="shared" si="3"/>
        <v>272.39610201598629</v>
      </c>
      <c r="F37" s="53">
        <f t="shared" si="4"/>
        <v>0.14471067671476778</v>
      </c>
      <c r="G37" s="53">
        <f t="shared" si="0"/>
        <v>0.2987172667958003</v>
      </c>
      <c r="H37" s="53">
        <f t="shared" si="1"/>
        <v>0.45681371719751462</v>
      </c>
      <c r="I37" s="53">
        <f t="shared" si="2"/>
        <v>9.9758339291917367E-2</v>
      </c>
    </row>
    <row r="38" spans="1:9" x14ac:dyDescent="0.5">
      <c r="A38" s="52">
        <v>2016</v>
      </c>
      <c r="B38" s="50">
        <f>B37+$B$2*(1-0.35)*($D$74)+B37*(0.09)*(1-$D$76)</f>
        <v>427.24924098366228</v>
      </c>
      <c r="C38" s="50">
        <f>C37+$C$2*(1-0.24)*(0.2) + C37*(0.09) *(1-$D$76)</f>
        <v>881.37581139707322</v>
      </c>
      <c r="D38" s="50">
        <f>D37+$D$2*(1-0.22)*(0.1)+ D37*(0.09)*(1-$D$76)</f>
        <v>1346.5754317324167</v>
      </c>
      <c r="E38" s="50">
        <f t="shared" si="3"/>
        <v>293.23440382020925</v>
      </c>
      <c r="F38" s="53">
        <f t="shared" si="4"/>
        <v>0.14490713114683465</v>
      </c>
      <c r="G38" s="53">
        <f t="shared" si="0"/>
        <v>0.2989300577754504</v>
      </c>
      <c r="H38" s="53">
        <f t="shared" si="1"/>
        <v>0.45670855315250608</v>
      </c>
      <c r="I38" s="53">
        <f t="shared" si="2"/>
        <v>9.9454257925209025E-2</v>
      </c>
    </row>
    <row r="39" spans="1:9" x14ac:dyDescent="0.5">
      <c r="A39" s="52">
        <v>2017</v>
      </c>
      <c r="B39" s="50">
        <f>B38+$B$2*(1-0.35)*($D$74)+B38*(0.09)*(1-$D$76)</f>
        <v>461.81360797091247</v>
      </c>
      <c r="C39" s="50">
        <f>C38+$C$2*(1-0.24)*(0.2) + C38*(0.09) *(1-$D$76)</f>
        <v>952.11314093854924</v>
      </c>
      <c r="D39" s="50">
        <f>D38+$D$2*(1-0.22)*(0.1)+ D38*(0.09)*(1-$D$76)</f>
        <v>1453.3839322599465</v>
      </c>
      <c r="E39" s="50">
        <f t="shared" si="3"/>
        <v>315.66683571245528</v>
      </c>
      <c r="F39" s="53">
        <f t="shared" si="4"/>
        <v>0.14508855482690255</v>
      </c>
      <c r="G39" s="53">
        <f t="shared" si="0"/>
        <v>0.29912656809189991</v>
      </c>
      <c r="H39" s="53">
        <f t="shared" si="1"/>
        <v>0.45661143522110809</v>
      </c>
      <c r="I39" s="53">
        <f t="shared" si="2"/>
        <v>9.9173441860089417E-2</v>
      </c>
    </row>
    <row r="40" spans="1:9" x14ac:dyDescent="0.5">
      <c r="A40" s="52">
        <v>2018</v>
      </c>
      <c r="B40" s="50">
        <f>B39+$B$2*(1-0.35)*($D$74)+B39*(0.09)*(1-$D$76)</f>
        <v>499.02214903268725</v>
      </c>
      <c r="C40" s="50">
        <f>C39+$C$2*(1-0.24)*(0.2) + C39*(0.09) *(1-$D$76)</f>
        <v>1028.2618761899482</v>
      </c>
      <c r="D40" s="50">
        <f>D39+$D$2*(1-0.22)*(0.1)+ D39*(0.09)*(1-$D$76)</f>
        <v>1568.3632830778324</v>
      </c>
      <c r="E40" s="50">
        <f t="shared" si="3"/>
        <v>339.81534864445808</v>
      </c>
      <c r="F40" s="53">
        <f t="shared" si="4"/>
        <v>0.14525617038039809</v>
      </c>
      <c r="G40" s="53">
        <f t="shared" si="0"/>
        <v>0.29930812204035329</v>
      </c>
      <c r="H40" s="53">
        <f t="shared" si="1"/>
        <v>0.45652170891956079</v>
      </c>
      <c r="I40" s="53">
        <f t="shared" si="2"/>
        <v>9.8913998659687849E-2</v>
      </c>
    </row>
    <row r="41" spans="1:9" x14ac:dyDescent="0.5">
      <c r="A41" s="52">
        <v>2019</v>
      </c>
      <c r="B41" s="50">
        <f>B40+$B$2*(1-0.35)*($D$74)+B40*(0.09)*(1-$D$76)</f>
        <v>539.07714348568788</v>
      </c>
      <c r="C41" s="50">
        <f>C40+$C$2*(1-0.24)*(0.2) + C40*(0.09) *(1-$D$76)</f>
        <v>1110.2359896880794</v>
      </c>
      <c r="D41" s="50">
        <f>D40+$D$2*(1-0.22)*(0.1)+ D40*(0.09)*(1-$D$76)</f>
        <v>1692.1385542332866</v>
      </c>
      <c r="E41" s="50">
        <f t="shared" si="3"/>
        <v>365.81122281575915</v>
      </c>
      <c r="F41" s="53">
        <f t="shared" si="4"/>
        <v>0.1454110907535523</v>
      </c>
      <c r="G41" s="53">
        <f t="shared" si="0"/>
        <v>0.29947592511623411</v>
      </c>
      <c r="H41" s="53">
        <f t="shared" si="1"/>
        <v>0.45643877847648684</v>
      </c>
      <c r="I41" s="53">
        <f t="shared" si="2"/>
        <v>9.8674205653726685E-2</v>
      </c>
    </row>
    <row r="42" spans="1:9" x14ac:dyDescent="0.5">
      <c r="A42" s="52">
        <v>2020</v>
      </c>
      <c r="B42" s="50">
        <f>B41+$B$2*(1-0.35)*($D$74)+B41*(0.09)*(1-$D$76)</f>
        <v>582.19634501434291</v>
      </c>
      <c r="C42" s="50">
        <f>C41+$C$2*(1-0.24)*(0.2) + C41*(0.09) *(1-$D$76)</f>
        <v>1198.4811228688175</v>
      </c>
      <c r="D42" s="50">
        <f>D41+$D$2*(1-0.22)*(0.1)+ D41*(0.09)*(1-$D$76)</f>
        <v>1825.3826336321331</v>
      </c>
      <c r="E42" s="50">
        <f t="shared" si="3"/>
        <v>393.7957813611647</v>
      </c>
      <c r="F42" s="53">
        <f t="shared" si="4"/>
        <v>0.14555433047144239</v>
      </c>
      <c r="G42" s="53">
        <f t="shared" si="0"/>
        <v>0.29963107620941115</v>
      </c>
      <c r="H42" s="53">
        <f t="shared" si="1"/>
        <v>0.4563621008063487</v>
      </c>
      <c r="I42" s="53">
        <f t="shared" si="2"/>
        <v>9.8452492512797793E-2</v>
      </c>
    </row>
    <row r="43" spans="1:9" x14ac:dyDescent="0.5">
      <c r="A43" s="52">
        <v>2021</v>
      </c>
      <c r="B43" s="50">
        <f>B42+$B$2*(1-0.35)*($D$74)+B42*(0.09)*(1-$D$76)</f>
        <v>628.61416545994007</v>
      </c>
      <c r="C43" s="50">
        <f>C42+$C$2*(1-0.24)*(0.2) + C42*(0.09) *(1-$D$76)</f>
        <v>1293.477008737882</v>
      </c>
      <c r="D43" s="50">
        <f>D42+$D$2*(1-0.22)*(0.1)+ D42*(0.09)*(1-$D$76)</f>
        <v>1968.8198851049913</v>
      </c>
      <c r="E43" s="50">
        <f t="shared" si="3"/>
        <v>423.92115863529381</v>
      </c>
      <c r="F43" s="53">
        <f t="shared" si="4"/>
        <v>0.14568681554907148</v>
      </c>
      <c r="G43" s="53">
        <f t="shared" si="0"/>
        <v>0.29977457833945276</v>
      </c>
      <c r="H43" s="53">
        <f t="shared" si="1"/>
        <v>0.45629118020394654</v>
      </c>
      <c r="I43" s="53">
        <f t="shared" si="2"/>
        <v>9.8247425907529135E-2</v>
      </c>
    </row>
    <row r="44" spans="1:9" x14ac:dyDescent="0.5">
      <c r="A44" s="52">
        <v>2022</v>
      </c>
      <c r="B44" s="50">
        <f>B43+$B$2*(1-0.35)*($D$74)+B43*(0.09)*(1-$D$76)</f>
        <v>678.58294916962541</v>
      </c>
      <c r="C44" s="50">
        <f>C43+$C$2*(1-0.24)*(0.2) + C43*(0.09) *(1-$D$76)</f>
        <v>1395.74007987593</v>
      </c>
      <c r="D44" s="50">
        <f>D43+$D$2*(1-0.22)*(0.1)+ D43*(0.09)*(1-$D$76)</f>
        <v>2123.2300863155233</v>
      </c>
      <c r="E44" s="50">
        <f t="shared" si="3"/>
        <v>456.35112727089376</v>
      </c>
      <c r="F44" s="53">
        <f t="shared" si="4"/>
        <v>0.14580939224178344</v>
      </c>
      <c r="G44" s="53">
        <f t="shared" si="0"/>
        <v>0.29990734813369985</v>
      </c>
      <c r="H44" s="53">
        <f t="shared" si="1"/>
        <v>0.45622556366023337</v>
      </c>
      <c r="I44" s="53">
        <f t="shared" si="2"/>
        <v>9.8057695964283223E-2</v>
      </c>
    </row>
    <row r="45" spans="1:9" x14ac:dyDescent="0.5">
      <c r="A45" s="52">
        <v>2023</v>
      </c>
      <c r="B45" s="50">
        <f>B44+$B$2*(1-0.35)*($D$74)+B44*(0.09)*(1-$D$76)</f>
        <v>732.37434483310176</v>
      </c>
      <c r="C45" s="50">
        <f>C44+$C$2*(1-0.24)*(0.2) + C44*(0.09) *(1-$D$76)</f>
        <v>1505.8262759560387</v>
      </c>
      <c r="D45" s="50">
        <f>D44+$D$2*(1-0.22)*(0.1)+ D44*(0.09)*(1-$D$76)</f>
        <v>2289.4526679186611</v>
      </c>
      <c r="E45" s="50">
        <f t="shared" si="3"/>
        <v>491.26198850711711</v>
      </c>
      <c r="F45" s="53">
        <f t="shared" si="4"/>
        <v>0.14592283479220411</v>
      </c>
      <c r="G45" s="53">
        <f t="shared" si="0"/>
        <v>0.30003022421841863</v>
      </c>
      <c r="H45" s="53">
        <f t="shared" si="1"/>
        <v>0.45616483671529867</v>
      </c>
      <c r="I45" s="53">
        <f t="shared" si="2"/>
        <v>9.7882104274078674E-2</v>
      </c>
    </row>
    <row r="46" spans="1:9" x14ac:dyDescent="0.5">
      <c r="A46" s="52">
        <v>2024</v>
      </c>
      <c r="B46" s="50">
        <f>B45+$B$2*(1-0.35)*($D$74)+B45*(0.09)*(1-$D$76)</f>
        <v>790.28078226483399</v>
      </c>
      <c r="C46" s="50">
        <f>C45+$C$2*(1-0.24)*(0.2) + C45*(0.09) *(1-$D$76)</f>
        <v>1624.3340660362758</v>
      </c>
      <c r="D46" s="50">
        <f>D45+$D$2*(1-0.22)*(0.1)+ D45*(0.09)*(1-$D$76)</f>
        <v>2468.3912770144389</v>
      </c>
      <c r="E46" s="50">
        <f t="shared" si="3"/>
        <v>528.8435306279116</v>
      </c>
      <c r="F46" s="53">
        <f t="shared" si="4"/>
        <v>0.14602785230682142</v>
      </c>
      <c r="G46" s="53">
        <f t="shared" si="0"/>
        <v>0.30014397466721604</v>
      </c>
      <c r="H46" s="53">
        <f t="shared" si="1"/>
        <v>0.45610861977726508</v>
      </c>
      <c r="I46" s="53">
        <f t="shared" si="2"/>
        <v>9.7719553248697383E-2</v>
      </c>
    </row>
    <row r="47" spans="1:9" x14ac:dyDescent="0.5">
      <c r="A47" s="52">
        <v>2025</v>
      </c>
      <c r="B47" s="50">
        <f>B46+$B$2*(1-0.35)*($D$74)+B46*(0.09)*(1-$D$76)</f>
        <v>852.61706216009372</v>
      </c>
      <c r="C47" s="50">
        <f>C46+$C$2*(1-0.24)*(0.2) + C46*(0.09) *(1-$D$76)</f>
        <v>1751.907702057651</v>
      </c>
      <c r="D47" s="50">
        <f>D46+$D$2*(1-0.22)*(0.1)+ D46*(0.09)*(1-$D$76)</f>
        <v>2661.0186897060435</v>
      </c>
      <c r="E47" s="50">
        <f t="shared" si="3"/>
        <v>569.30006072094682</v>
      </c>
      <c r="F47" s="53">
        <f t="shared" si="4"/>
        <v>0.14612509487531763</v>
      </c>
      <c r="G47" s="53">
        <f t="shared" si="0"/>
        <v>0.30024930362923691</v>
      </c>
      <c r="H47" s="53">
        <f t="shared" si="1"/>
        <v>0.45605656484654911</v>
      </c>
      <c r="I47" s="53">
        <f t="shared" si="2"/>
        <v>9.7569036648896254E-2</v>
      </c>
    </row>
    <row r="48" spans="1:9" x14ac:dyDescent="0.5">
      <c r="A48" s="52">
        <v>2026</v>
      </c>
      <c r="B48" s="50">
        <f>B47+$B$2*(1-0.35)*($D$74)+B47*(0.09)*(1-$D$76)</f>
        <v>919.72206746734082</v>
      </c>
      <c r="C48" s="50">
        <f>C47+$C$2*(1-0.24)*(0.2) + C47*(0.09) *(1-$D$76)</f>
        <v>1889.2407212346614</v>
      </c>
      <c r="D48" s="50">
        <f>D47+$D$2*(1-0.22)*(0.1)+ D47*(0.09)*(1-$D$76)</f>
        <v>2868.3820994685561</v>
      </c>
      <c r="E48" s="50">
        <f t="shared" si="3"/>
        <v>612.85151536609919</v>
      </c>
      <c r="F48" s="53">
        <f t="shared" si="4"/>
        <v>0.14621515902909293</v>
      </c>
      <c r="G48" s="53">
        <f t="shared" si="0"/>
        <v>0.30034685724160176</v>
      </c>
      <c r="H48" s="53">
        <f t="shared" si="1"/>
        <v>0.45600835259385708</v>
      </c>
      <c r="I48" s="53">
        <f t="shared" si="2"/>
        <v>9.7429631135448155E-2</v>
      </c>
    </row>
    <row r="49" spans="1:9" x14ac:dyDescent="0.5">
      <c r="A49" s="52">
        <v>2027</v>
      </c>
      <c r="B49" s="50">
        <f>B48+$B$2*(1-0.35)*($D$74)+B48*(0.09)*(1-$D$76)</f>
        <v>991.96060568059238</v>
      </c>
      <c r="C49" s="50">
        <f>C48+$C$2*(1-0.24)*(0.2) + C48*(0.09) *(1-$D$76)</f>
        <v>2037.0797163787131</v>
      </c>
      <c r="D49" s="50">
        <f>D48+$D$2*(1-0.22)*(0.1)+ D48*(0.09)*(1-$D$76)</f>
        <v>3091.6088100779007</v>
      </c>
      <c r="E49" s="50">
        <f t="shared" si="3"/>
        <v>659.7346562916058</v>
      </c>
      <c r="F49" s="53">
        <f t="shared" si="4"/>
        <v>0.14629859262147388</v>
      </c>
      <c r="G49" s="53">
        <f t="shared" si="0"/>
        <v>0.30043722891543823</v>
      </c>
      <c r="H49" s="53">
        <f t="shared" si="1"/>
        <v>0.45596368974776069</v>
      </c>
      <c r="I49" s="53">
        <f t="shared" si="2"/>
        <v>9.7300488715327316E-2</v>
      </c>
    </row>
    <row r="50" spans="1:9" x14ac:dyDescent="0.5">
      <c r="A50" s="52">
        <v>2028</v>
      </c>
      <c r="B50" s="50">
        <f>B49+$B$2*(1-0.35)*($D$74)+B49*(0.09)*(1-$D$76)</f>
        <v>1069.7253920671576</v>
      </c>
      <c r="C50" s="50">
        <f>C49+$C$2*(1-0.24)*(0.2) + C49*(0.09) *(1-$D$76)</f>
        <v>2196.2283946512848</v>
      </c>
      <c r="D50" s="50">
        <f>D49+$D$2*(1-0.22)*(0.1)+ D49*(0.09)*(1-$D$76)</f>
        <v>3331.9123640488601</v>
      </c>
      <c r="E50" s="50">
        <f t="shared" si="3"/>
        <v>710.20435749791363</v>
      </c>
      <c r="F50" s="53">
        <f t="shared" si="4"/>
        <v>0.14637589920038802</v>
      </c>
      <c r="G50" s="53">
        <f t="shared" si="0"/>
        <v>0.30052096407217394</v>
      </c>
      <c r="H50" s="53">
        <f t="shared" si="1"/>
        <v>0.45592230675395973</v>
      </c>
      <c r="I50" s="53">
        <f t="shared" si="2"/>
        <v>9.7180829973478378E-2</v>
      </c>
    </row>
    <row r="51" spans="1:9" x14ac:dyDescent="0.5">
      <c r="A51" s="52">
        <v>2029</v>
      </c>
      <c r="B51" s="50">
        <f>B50+$B$2*(1-0.35)*($D$74)+B50*(0.09)*(1-$D$76)</f>
        <v>1153.4391846122953</v>
      </c>
      <c r="C51" s="50">
        <f>C50+$C$2*(1-0.24)*(0.2) + C50*(0.09) *(1-$D$76)</f>
        <v>2367.5519468117081</v>
      </c>
      <c r="D51" s="50">
        <f>D50+$D$2*(1-0.22)*(0.1)+ D50*(0.09)*(1-$D$76)</f>
        <v>3590.599139898598</v>
      </c>
      <c r="E51" s="50">
        <f t="shared" si="3"/>
        <v>764.534990846504</v>
      </c>
      <c r="F51" s="53">
        <f t="shared" si="4"/>
        <v>0.14644754193442514</v>
      </c>
      <c r="G51" s="53">
        <f t="shared" si="0"/>
        <v>0.30059856439607691</v>
      </c>
      <c r="H51" s="53">
        <f t="shared" si="1"/>
        <v>0.45588395567362239</v>
      </c>
      <c r="I51" s="53">
        <f t="shared" si="2"/>
        <v>9.706993799587553E-2</v>
      </c>
    </row>
    <row r="52" spans="1:9" x14ac:dyDescent="0.5">
      <c r="A52" s="52">
        <v>2030</v>
      </c>
      <c r="B52" s="50">
        <f>B51+$B$2*(1-0.35)*($D$74)+B51*(0.09)*(1-$D$76)</f>
        <v>1243.5570822871359</v>
      </c>
      <c r="C52" s="50">
        <f>C51+$C$2*(1-0.24)*(0.2) + C51*(0.09) *(1-$D$76)</f>
        <v>2551.9817507124035</v>
      </c>
      <c r="D52" s="50">
        <f>D51+$D$2*(1-0.22)*(0.1)+ D51*(0.09)*(1-$D$76)</f>
        <v>3869.0754541008409</v>
      </c>
      <c r="E52" s="50">
        <f t="shared" si="3"/>
        <v>823.0219176462615</v>
      </c>
      <c r="F52" s="53">
        <f t="shared" si="4"/>
        <v>0.14651394714487015</v>
      </c>
      <c r="G52" s="53">
        <f t="shared" si="0"/>
        <v>0.30067049166000165</v>
      </c>
      <c r="H52" s="53">
        <f t="shared" si="1"/>
        <v>0.45584840829265177</v>
      </c>
      <c r="I52" s="53">
        <f t="shared" si="2"/>
        <v>9.6967152902476317E-2</v>
      </c>
    </row>
    <row r="53" spans="1:9" x14ac:dyDescent="0.5">
      <c r="A53" s="52">
        <v>2031</v>
      </c>
      <c r="B53" s="50">
        <f>B52+$B$2*(1-0.35)*($D$74)+B52*(0.09)*(1-$D$76)</f>
        <v>1340.5689991341019</v>
      </c>
      <c r="C53" s="50">
        <f>C52+$C$2*(1-0.24)*(0.2) + C52*(0.09) *(1-$D$76)</f>
        <v>2750.520434611502</v>
      </c>
      <c r="D53" s="50">
        <f>D52+$D$2*(1-0.22)*(0.1)+ D52*(0.09)*(1-$D$76)</f>
        <v>4168.8552063395555</v>
      </c>
      <c r="E53" s="50">
        <f t="shared" si="3"/>
        <v>885.98309434620046</v>
      </c>
      <c r="F53" s="53">
        <f t="shared" si="4"/>
        <v>0.14657550748923021</v>
      </c>
      <c r="G53" s="53">
        <f t="shared" si="0"/>
        <v>0.3007371711736484</v>
      </c>
      <c r="H53" s="53">
        <f t="shared" si="1"/>
        <v>0.45581545441751192</v>
      </c>
      <c r="I53" s="53">
        <f t="shared" si="2"/>
        <v>9.6871866919609514E-2</v>
      </c>
    </row>
    <row r="66" spans="1:7" x14ac:dyDescent="0.5">
      <c r="A66" s="52" t="s">
        <v>131</v>
      </c>
      <c r="B66" t="s">
        <v>140</v>
      </c>
    </row>
    <row r="67" spans="1:7" x14ac:dyDescent="0.5">
      <c r="B67" t="s">
        <v>138</v>
      </c>
    </row>
    <row r="68" spans="1:7" x14ac:dyDescent="0.5">
      <c r="B68" t="s">
        <v>218</v>
      </c>
    </row>
    <row r="71" spans="1:7" x14ac:dyDescent="0.5">
      <c r="D71" t="s">
        <v>2</v>
      </c>
      <c r="E71" t="s">
        <v>144</v>
      </c>
      <c r="F71" s="54" t="s">
        <v>147</v>
      </c>
      <c r="G71" s="55" t="s">
        <v>148</v>
      </c>
    </row>
    <row r="72" spans="1:7" x14ac:dyDescent="0.5">
      <c r="C72" t="s">
        <v>146</v>
      </c>
      <c r="D72">
        <v>6.88</v>
      </c>
      <c r="E72">
        <v>26.12</v>
      </c>
      <c r="F72" s="54">
        <v>47.1</v>
      </c>
      <c r="G72" s="55">
        <v>19.899999999999999</v>
      </c>
    </row>
    <row r="73" spans="1:7" x14ac:dyDescent="0.5">
      <c r="C73" t="s">
        <v>145</v>
      </c>
      <c r="D73">
        <v>0.35</v>
      </c>
      <c r="E73">
        <v>0.24</v>
      </c>
      <c r="F73" s="54">
        <v>0.22</v>
      </c>
      <c r="G73" s="55">
        <v>0.12</v>
      </c>
    </row>
    <row r="74" spans="1:7" x14ac:dyDescent="0.5">
      <c r="C74" t="s">
        <v>149</v>
      </c>
      <c r="D74">
        <v>0.4</v>
      </c>
      <c r="E74">
        <v>0.2</v>
      </c>
      <c r="F74" s="54">
        <v>0.1</v>
      </c>
      <c r="G74" s="55">
        <v>0</v>
      </c>
    </row>
    <row r="75" spans="1:7" x14ac:dyDescent="0.5">
      <c r="C75" t="s">
        <v>150</v>
      </c>
      <c r="D75" s="31">
        <v>0.09</v>
      </c>
      <c r="E75" s="31">
        <v>0.09</v>
      </c>
      <c r="F75" s="56">
        <v>0.09</v>
      </c>
      <c r="G75" s="57">
        <v>0.09</v>
      </c>
    </row>
    <row r="76" spans="1:7" x14ac:dyDescent="0.5">
      <c r="C76" t="s">
        <v>151</v>
      </c>
      <c r="D76">
        <v>0.15</v>
      </c>
      <c r="E76">
        <v>0.15</v>
      </c>
      <c r="F76" s="54">
        <v>0.15</v>
      </c>
      <c r="G76" s="55">
        <v>0.15</v>
      </c>
    </row>
  </sheetData>
  <hyperlinks>
    <hyperlink ref="H1" location="Index" display="Back to Index" xr:uid="{28F559B9-AD29-424E-A1FD-A3DE59A11BC1}"/>
  </hyperlink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58BA3B-A0C5-4414-96B9-4A3605C39CDA}">
  <sheetPr codeName="Sheet17"/>
  <dimension ref="A1:I75"/>
  <sheetViews>
    <sheetView topLeftCell="A22" zoomScale="55" zoomScaleNormal="55" workbookViewId="0">
      <selection activeCell="I60" sqref="I60"/>
    </sheetView>
  </sheetViews>
  <sheetFormatPr defaultRowHeight="15.75" x14ac:dyDescent="0.5"/>
  <cols>
    <col min="1" max="1" width="14.25" style="52" customWidth="1"/>
    <col min="3" max="3" width="10.75" customWidth="1"/>
    <col min="4" max="4" width="17.5" customWidth="1"/>
    <col min="5" max="5" width="16.875" style="32" customWidth="1"/>
    <col min="6" max="6" width="13.625" style="54" customWidth="1"/>
    <col min="7" max="7" width="16.25" style="54" customWidth="1"/>
    <col min="8" max="8" width="18.625" style="54" customWidth="1"/>
    <col min="9" max="9" width="17.875" style="54" customWidth="1"/>
  </cols>
  <sheetData>
    <row r="1" spans="1:9" x14ac:dyDescent="0.5">
      <c r="B1" s="50" t="s">
        <v>2</v>
      </c>
      <c r="C1" s="50" t="s">
        <v>139</v>
      </c>
      <c r="D1" s="50" t="s">
        <v>141</v>
      </c>
      <c r="E1" s="51" t="s">
        <v>142</v>
      </c>
      <c r="F1" s="53" t="s">
        <v>152</v>
      </c>
      <c r="G1" s="53" t="s">
        <v>153</v>
      </c>
      <c r="H1" s="100" t="s">
        <v>543</v>
      </c>
      <c r="I1" s="53" t="s">
        <v>154</v>
      </c>
    </row>
    <row r="2" spans="1:9" x14ac:dyDescent="0.5">
      <c r="A2" s="52" t="s">
        <v>217</v>
      </c>
      <c r="B2" s="50">
        <v>6.88</v>
      </c>
      <c r="C2" s="50">
        <v>26.12</v>
      </c>
      <c r="D2" s="50">
        <v>47.1</v>
      </c>
      <c r="E2" s="51">
        <v>19.899999999999999</v>
      </c>
      <c r="F2" s="53">
        <f>B2/(B2+C2+D2+E2)</f>
        <v>6.88E-2</v>
      </c>
      <c r="G2" s="53">
        <f>C2/(B2+C2+D2+E2)</f>
        <v>0.26119999999999999</v>
      </c>
      <c r="H2" s="53">
        <f>D2/(B2+C2+D2+E2)</f>
        <v>0.47100000000000003</v>
      </c>
      <c r="I2" s="53">
        <f>E2/(B2+C2+D2+E2)</f>
        <v>0.19899999999999998</v>
      </c>
    </row>
    <row r="3" spans="1:9" x14ac:dyDescent="0.5">
      <c r="A3" s="52">
        <v>2015</v>
      </c>
      <c r="B3" s="50">
        <f>B2+6.88*(1-0.35)*($D$73)+B2*(0.09)*(0.85)</f>
        <v>9.1951200000000011</v>
      </c>
      <c r="C3" s="50">
        <f>C2+26.12*(1-0.24)*(0.2) + C2*(0.09) *(0.85)</f>
        <v>32.088419999999999</v>
      </c>
      <c r="D3" s="50">
        <f>D2+47.1*(1-0.22)*(0.1)+ D2*(0.09)*(0.85)</f>
        <v>54.376950000000001</v>
      </c>
      <c r="E3" s="50">
        <f>E2  + E2*0.09 * 0.85</f>
        <v>21.422349999999998</v>
      </c>
      <c r="F3" s="53">
        <f>B3/(B3+C3+D3+E3)</f>
        <v>7.8535163649942216E-2</v>
      </c>
      <c r="G3" s="53">
        <f t="shared" ref="G3:G53" si="0">C3/(B3+C3+D3+E3)</f>
        <v>0.27406595193625299</v>
      </c>
      <c r="H3" s="53">
        <f t="shared" ref="H3:H53" si="1">D3/(B3+C3+D3+E3)</f>
        <v>0.46443142308471508</v>
      </c>
      <c r="I3" s="53">
        <f t="shared" ref="I3:I53" si="2">E3/(B3+C3+D3+E3)</f>
        <v>0.1829674613290897</v>
      </c>
    </row>
    <row r="4" spans="1:9" x14ac:dyDescent="0.5">
      <c r="A4" s="52">
        <v>2016</v>
      </c>
      <c r="B4" s="50">
        <f t="shared" ref="B4:B53" si="3">B3+6.88*(1-0.35)*($D$73)+B3*(0.09)*(0.85)</f>
        <v>11.687346680000001</v>
      </c>
      <c r="C4" s="50">
        <f>C3+26.12*(1-0.24)*(0.2) + C3*(0.09) *(0.85)</f>
        <v>38.513424130000004</v>
      </c>
      <c r="D4" s="50">
        <f>D3+47.1*(1-0.22)*(0.1)+ D3*(0.09)*(0.85)</f>
        <v>62.210586675000002</v>
      </c>
      <c r="E4" s="50">
        <f t="shared" ref="E4:E53" si="4">E3  + E3*0.09 * 0.85</f>
        <v>23.061159774999997</v>
      </c>
      <c r="F4" s="53">
        <f t="shared" ref="F4:F53" si="5">B4/(B4+C4+D4+E4)</f>
        <v>8.6270978914266022E-2</v>
      </c>
      <c r="G4" s="53">
        <f t="shared" si="0"/>
        <v>0.28428957333157623</v>
      </c>
      <c r="H4" s="53">
        <f t="shared" si="1"/>
        <v>0.45921186033330219</v>
      </c>
      <c r="I4" s="53">
        <f t="shared" si="2"/>
        <v>0.17022758742085542</v>
      </c>
    </row>
    <row r="5" spans="1:9" x14ac:dyDescent="0.5">
      <c r="A5" s="52">
        <v>2017</v>
      </c>
      <c r="B5" s="50">
        <f t="shared" si="3"/>
        <v>14.370228701020002</v>
      </c>
      <c r="C5" s="50">
        <f t="shared" ref="C5:C53" si="6">C4+26.12*(1-0.24)*(0.2) + C4*(0.09) *(0.85)</f>
        <v>45.42994107594501</v>
      </c>
      <c r="D5" s="50">
        <f t="shared" ref="D5:D53" si="7">D4+47.1*(1-0.22)*(0.1)+ D4*(0.09)*(0.85)</f>
        <v>70.643496555637498</v>
      </c>
      <c r="E5" s="50">
        <f t="shared" si="4"/>
        <v>24.825338497787495</v>
      </c>
      <c r="F5" s="53">
        <f t="shared" si="5"/>
        <v>9.2550530073387774E-2</v>
      </c>
      <c r="G5" s="53">
        <f t="shared" si="0"/>
        <v>0.29258860212037141</v>
      </c>
      <c r="H5" s="53">
        <f t="shared" si="1"/>
        <v>0.45497487816583732</v>
      </c>
      <c r="I5" s="53">
        <f t="shared" si="2"/>
        <v>0.15988598964040349</v>
      </c>
    </row>
    <row r="6" spans="1:9" x14ac:dyDescent="0.5">
      <c r="A6" s="52">
        <v>2018</v>
      </c>
      <c r="B6" s="50">
        <f t="shared" si="3"/>
        <v>17.258351196648032</v>
      </c>
      <c r="C6" s="50">
        <f t="shared" si="6"/>
        <v>52.875571568254806</v>
      </c>
      <c r="D6" s="50">
        <f t="shared" si="7"/>
        <v>79.72152404214377</v>
      </c>
      <c r="E6" s="50">
        <f t="shared" si="4"/>
        <v>26.724476892868239</v>
      </c>
      <c r="F6" s="53">
        <f t="shared" si="5"/>
        <v>9.7736768909116672E-2</v>
      </c>
      <c r="G6" s="53">
        <f t="shared" si="0"/>
        <v>0.29944271387336829</v>
      </c>
      <c r="H6" s="53">
        <f t="shared" si="1"/>
        <v>0.45147558324707904</v>
      </c>
      <c r="I6" s="53">
        <f t="shared" si="2"/>
        <v>0.151344933970436</v>
      </c>
    </row>
    <row r="7" spans="1:9" x14ac:dyDescent="0.5">
      <c r="A7" s="52">
        <v>2019</v>
      </c>
      <c r="B7" s="50">
        <f t="shared" si="3"/>
        <v>20.367415063191604</v>
      </c>
      <c r="C7" s="50">
        <f t="shared" si="6"/>
        <v>60.890792793226296</v>
      </c>
      <c r="D7" s="50">
        <f t="shared" si="7"/>
        <v>89.494020631367761</v>
      </c>
      <c r="E7" s="50">
        <f t="shared" si="4"/>
        <v>28.768899375172658</v>
      </c>
      <c r="F7" s="53">
        <f t="shared" si="5"/>
        <v>0.1020814952348356</v>
      </c>
      <c r="G7" s="53">
        <f t="shared" si="0"/>
        <v>0.30518468618044964</v>
      </c>
      <c r="H7" s="53">
        <f t="shared" si="1"/>
        <v>0.44854407946629593</v>
      </c>
      <c r="I7" s="53">
        <f t="shared" si="2"/>
        <v>0.1441897391184189</v>
      </c>
    </row>
    <row r="8" spans="1:9" x14ac:dyDescent="0.5">
      <c r="A8" s="52">
        <v>2020</v>
      </c>
      <c r="B8" s="50">
        <f t="shared" si="3"/>
        <v>23.714322315525759</v>
      </c>
      <c r="C8" s="50">
        <f t="shared" si="6"/>
        <v>69.51917844190811</v>
      </c>
      <c r="D8" s="50">
        <f t="shared" si="7"/>
        <v>100.0141132096674</v>
      </c>
      <c r="E8" s="50">
        <f t="shared" si="4"/>
        <v>30.969720177373368</v>
      </c>
      <c r="F8" s="53">
        <f t="shared" si="5"/>
        <v>0.1057648928260177</v>
      </c>
      <c r="G8" s="53">
        <f t="shared" si="0"/>
        <v>0.31005264917258074</v>
      </c>
      <c r="H8" s="53">
        <f t="shared" si="1"/>
        <v>0.44605879198092335</v>
      </c>
      <c r="I8" s="53">
        <f t="shared" si="2"/>
        <v>0.13812366602047815</v>
      </c>
    </row>
    <row r="9" spans="1:9" x14ac:dyDescent="0.5">
      <c r="A9" s="52">
        <v>2021</v>
      </c>
      <c r="B9" s="50">
        <f t="shared" si="3"/>
        <v>27.31726797266348</v>
      </c>
      <c r="C9" s="50">
        <f t="shared" si="6"/>
        <v>78.807635592714078</v>
      </c>
      <c r="D9" s="50">
        <f t="shared" si="7"/>
        <v>111.33899287020695</v>
      </c>
      <c r="E9" s="50">
        <f t="shared" si="4"/>
        <v>33.33890377094243</v>
      </c>
      <c r="F9" s="53">
        <f t="shared" si="5"/>
        <v>0.10891931011204303</v>
      </c>
      <c r="G9" s="53">
        <f t="shared" si="0"/>
        <v>0.31422151398556503</v>
      </c>
      <c r="H9" s="53">
        <f t="shared" si="1"/>
        <v>0.44393042174378977</v>
      </c>
      <c r="I9" s="53">
        <f t="shared" si="2"/>
        <v>0.13292875415860214</v>
      </c>
    </row>
    <row r="10" spans="1:9" x14ac:dyDescent="0.5">
      <c r="A10" s="52">
        <v>2022</v>
      </c>
      <c r="B10" s="50">
        <f t="shared" si="3"/>
        <v>31.195838972572236</v>
      </c>
      <c r="C10" s="50">
        <f t="shared" si="6"/>
        <v>88.806659715556705</v>
      </c>
      <c r="D10" s="50">
        <f t="shared" si="7"/>
        <v>123.53022582477779</v>
      </c>
      <c r="E10" s="50">
        <f t="shared" si="4"/>
        <v>35.889329909419523</v>
      </c>
      <c r="F10" s="53">
        <f t="shared" si="5"/>
        <v>0.11164415434947013</v>
      </c>
      <c r="G10" s="53">
        <f t="shared" si="0"/>
        <v>0.31782265683771638</v>
      </c>
      <c r="H10" s="53">
        <f t="shared" si="1"/>
        <v>0.44209189600356591</v>
      </c>
      <c r="I10" s="53">
        <f t="shared" si="2"/>
        <v>0.1284412928092476</v>
      </c>
    </row>
    <row r="11" spans="1:9" x14ac:dyDescent="0.5">
      <c r="A11" s="52">
        <v>2023</v>
      </c>
      <c r="B11" s="50">
        <f t="shared" si="3"/>
        <v>35.37112065397401</v>
      </c>
      <c r="C11" s="50">
        <f t="shared" si="6"/>
        <v>99.57060918379679</v>
      </c>
      <c r="D11" s="50">
        <f t="shared" si="7"/>
        <v>136.65408810037329</v>
      </c>
      <c r="E11" s="50">
        <f t="shared" si="4"/>
        <v>38.634863647490114</v>
      </c>
      <c r="F11" s="53">
        <f t="shared" si="5"/>
        <v>0.11401554634501997</v>
      </c>
      <c r="G11" s="53">
        <f t="shared" si="0"/>
        <v>0.32095667867174482</v>
      </c>
      <c r="H11" s="53">
        <f t="shared" si="1"/>
        <v>0.44049185400333174</v>
      </c>
      <c r="I11" s="53">
        <f t="shared" si="2"/>
        <v>0.12453592097990339</v>
      </c>
    </row>
    <row r="12" spans="1:9" x14ac:dyDescent="0.5">
      <c r="A12" s="52">
        <v>2024</v>
      </c>
      <c r="B12" s="50">
        <f t="shared" si="3"/>
        <v>39.865811384003024</v>
      </c>
      <c r="C12" s="50">
        <f t="shared" si="6"/>
        <v>111.15800078635725</v>
      </c>
      <c r="D12" s="50">
        <f t="shared" si="7"/>
        <v>150.78192584005183</v>
      </c>
      <c r="E12" s="50">
        <f t="shared" si="4"/>
        <v>41.590430716523109</v>
      </c>
      <c r="F12" s="53">
        <f t="shared" si="5"/>
        <v>0.11609276693970304</v>
      </c>
      <c r="G12" s="53">
        <f t="shared" si="0"/>
        <v>0.32370192480146409</v>
      </c>
      <c r="H12" s="53">
        <f t="shared" si="1"/>
        <v>0.43909029736424326</v>
      </c>
      <c r="I12" s="53">
        <f t="shared" si="2"/>
        <v>0.12111501089458968</v>
      </c>
    </row>
    <row r="13" spans="1:9" x14ac:dyDescent="0.5">
      <c r="A13" s="52">
        <v>2025</v>
      </c>
      <c r="B13" s="50">
        <f t="shared" si="3"/>
        <v>44.704345954879258</v>
      </c>
      <c r="C13" s="50">
        <f t="shared" si="6"/>
        <v>123.63182784651359</v>
      </c>
      <c r="D13" s="50">
        <f t="shared" si="7"/>
        <v>165.9905431668158</v>
      </c>
      <c r="E13" s="50">
        <f t="shared" si="4"/>
        <v>44.772098666337129</v>
      </c>
      <c r="F13" s="53">
        <f t="shared" si="5"/>
        <v>0.11792267374946008</v>
      </c>
      <c r="G13" s="53">
        <f t="shared" si="0"/>
        <v>0.32612032205791863</v>
      </c>
      <c r="H13" s="53">
        <f t="shared" si="1"/>
        <v>0.43785560999175471</v>
      </c>
      <c r="I13" s="53">
        <f t="shared" si="2"/>
        <v>0.11810139420086657</v>
      </c>
    </row>
    <row r="14" spans="1:9" x14ac:dyDescent="0.5">
      <c r="A14" s="52">
        <v>2026</v>
      </c>
      <c r="B14" s="50">
        <f t="shared" si="3"/>
        <v>49.913028420427523</v>
      </c>
      <c r="C14" s="50">
        <f t="shared" si="6"/>
        <v>137.05990267677188</v>
      </c>
      <c r="D14" s="50">
        <f t="shared" si="7"/>
        <v>182.3626197190772</v>
      </c>
      <c r="E14" s="50">
        <f t="shared" si="4"/>
        <v>48.197164214311918</v>
      </c>
      <c r="F14" s="53">
        <f t="shared" si="5"/>
        <v>0.11954279658486375</v>
      </c>
      <c r="G14" s="53">
        <f t="shared" si="0"/>
        <v>0.32826146968323394</v>
      </c>
      <c r="H14" s="53">
        <f t="shared" si="1"/>
        <v>0.43676246951263997</v>
      </c>
      <c r="I14" s="53">
        <f t="shared" si="2"/>
        <v>0.11543326421926241</v>
      </c>
    </row>
    <row r="15" spans="1:9" x14ac:dyDescent="0.5">
      <c r="A15" s="52">
        <v>2027</v>
      </c>
      <c r="B15" s="50">
        <f t="shared" si="3"/>
        <v>55.520175094590229</v>
      </c>
      <c r="C15" s="50">
        <f t="shared" si="6"/>
        <v>151.51522523154492</v>
      </c>
      <c r="D15" s="50">
        <f t="shared" si="7"/>
        <v>199.98716012758661</v>
      </c>
      <c r="E15" s="50">
        <f t="shared" si="4"/>
        <v>51.88424727670678</v>
      </c>
      <c r="F15" s="53">
        <f t="shared" si="5"/>
        <v>0.12098355081976456</v>
      </c>
      <c r="G15" s="53">
        <f t="shared" si="0"/>
        <v>0.3301655645094464</v>
      </c>
      <c r="H15" s="53">
        <f t="shared" si="1"/>
        <v>0.43579035385559856</v>
      </c>
      <c r="I15" s="53">
        <f t="shared" si="2"/>
        <v>0.11306053081519041</v>
      </c>
    </row>
    <row r="16" spans="1:9" x14ac:dyDescent="0.5">
      <c r="A16" s="52">
        <v>2028</v>
      </c>
      <c r="B16" s="50">
        <f t="shared" si="3"/>
        <v>61.556268489326385</v>
      </c>
      <c r="C16" s="50">
        <f t="shared" si="6"/>
        <v>167.07637996175811</v>
      </c>
      <c r="D16" s="50">
        <f t="shared" si="7"/>
        <v>218.95997787734697</v>
      </c>
      <c r="E16" s="50">
        <f t="shared" si="4"/>
        <v>55.853392193374852</v>
      </c>
      <c r="F16" s="53">
        <f t="shared" si="5"/>
        <v>0.12226984865242335</v>
      </c>
      <c r="G16" s="53">
        <f t="shared" si="0"/>
        <v>0.33186553039453887</v>
      </c>
      <c r="H16" s="53">
        <f t="shared" si="1"/>
        <v>0.43492245409000668</v>
      </c>
      <c r="I16" s="53">
        <f t="shared" si="2"/>
        <v>0.11094216686303103</v>
      </c>
    </row>
    <row r="17" spans="1:9" x14ac:dyDescent="0.5">
      <c r="A17" s="52">
        <v>2029</v>
      </c>
      <c r="B17" s="50">
        <f t="shared" si="3"/>
        <v>68.054123028759861</v>
      </c>
      <c r="C17" s="50">
        <f t="shared" si="6"/>
        <v>183.82796302883258</v>
      </c>
      <c r="D17" s="50">
        <f t="shared" si="7"/>
        <v>239.384216184964</v>
      </c>
      <c r="E17" s="50">
        <f t="shared" si="4"/>
        <v>60.126176696168031</v>
      </c>
      <c r="F17" s="53">
        <f t="shared" si="5"/>
        <v>0.12342229106886789</v>
      </c>
      <c r="G17" s="53">
        <f t="shared" si="0"/>
        <v>0.33338859351627309</v>
      </c>
      <c r="H17" s="53">
        <f t="shared" si="1"/>
        <v>0.43414487017616077</v>
      </c>
      <c r="I17" s="53">
        <f t="shared" si="2"/>
        <v>0.10904424523869825</v>
      </c>
    </row>
    <row r="18" spans="1:9" x14ac:dyDescent="0.5">
      <c r="A18" s="52">
        <v>2030</v>
      </c>
      <c r="B18" s="50">
        <f t="shared" si="3"/>
        <v>75.049063440459989</v>
      </c>
      <c r="C18" s="50">
        <f t="shared" si="6"/>
        <v>201.86104220053826</v>
      </c>
      <c r="D18" s="50">
        <f t="shared" si="7"/>
        <v>261.37090872311376</v>
      </c>
      <c r="E18" s="50">
        <f t="shared" si="4"/>
        <v>64.725829213424888</v>
      </c>
      <c r="F18" s="53">
        <f t="shared" si="5"/>
        <v>0.12445806252414431</v>
      </c>
      <c r="G18" s="53">
        <f t="shared" si="0"/>
        <v>0.33475746477922386</v>
      </c>
      <c r="H18" s="53">
        <f t="shared" si="1"/>
        <v>0.43344600729975913</v>
      </c>
      <c r="I18" s="53">
        <f t="shared" si="2"/>
        <v>0.10733846539687272</v>
      </c>
    </row>
    <row r="19" spans="1:9" x14ac:dyDescent="0.5">
      <c r="A19" s="52">
        <v>2031</v>
      </c>
      <c r="B19" s="50">
        <f t="shared" si="3"/>
        <v>82.579116793655174</v>
      </c>
      <c r="C19" s="50">
        <f t="shared" si="6"/>
        <v>221.27365192887942</v>
      </c>
      <c r="D19" s="50">
        <f t="shared" si="7"/>
        <v>285.03958324043197</v>
      </c>
      <c r="E19" s="50">
        <f t="shared" si="4"/>
        <v>69.677355148251891</v>
      </c>
      <c r="F19" s="53">
        <f t="shared" si="5"/>
        <v>0.12539161139962562</v>
      </c>
      <c r="G19" s="53">
        <f t="shared" si="0"/>
        <v>0.33599123910433826</v>
      </c>
      <c r="H19" s="53">
        <f t="shared" si="1"/>
        <v>0.43281611674904269</v>
      </c>
      <c r="I19" s="53">
        <f t="shared" si="2"/>
        <v>0.10580103274699343</v>
      </c>
    </row>
    <row r="20" spans="1:9" x14ac:dyDescent="0.5">
      <c r="A20" s="52">
        <v>2032</v>
      </c>
      <c r="B20" s="50">
        <f t="shared" si="3"/>
        <v>90.685219228369789</v>
      </c>
      <c r="C20" s="50">
        <f t="shared" si="6"/>
        <v>242.17132630143868</v>
      </c>
      <c r="D20" s="50">
        <f t="shared" si="7"/>
        <v>310.51891135832506</v>
      </c>
      <c r="E20" s="50">
        <f t="shared" si="4"/>
        <v>75.007672817093166</v>
      </c>
      <c r="F20" s="53">
        <f t="shared" si="5"/>
        <v>0.12623517379309915</v>
      </c>
      <c r="G20" s="53">
        <f t="shared" si="0"/>
        <v>0.33710608766774425</v>
      </c>
      <c r="H20" s="53">
        <f t="shared" si="1"/>
        <v>0.4322469424995265</v>
      </c>
      <c r="I20" s="53">
        <f t="shared" si="2"/>
        <v>0.10441179603962995</v>
      </c>
    </row>
    <row r="21" spans="1:9" x14ac:dyDescent="0.5">
      <c r="A21" s="52">
        <v>2033</v>
      </c>
      <c r="B21" s="50">
        <f t="shared" si="3"/>
        <v>99.411438499340065</v>
      </c>
      <c r="C21" s="50">
        <f t="shared" si="6"/>
        <v>264.66767276349873</v>
      </c>
      <c r="D21" s="50">
        <f t="shared" si="7"/>
        <v>337.9474080772369</v>
      </c>
      <c r="E21" s="50">
        <f t="shared" si="4"/>
        <v>80.74575978760079</v>
      </c>
      <c r="F21" s="53">
        <f t="shared" si="5"/>
        <v>0.12699918117964579</v>
      </c>
      <c r="G21" s="53">
        <f t="shared" si="0"/>
        <v>0.3381157966636798</v>
      </c>
      <c r="H21" s="53">
        <f t="shared" si="1"/>
        <v>0.4317314461542332</v>
      </c>
      <c r="I21" s="53">
        <f t="shared" si="2"/>
        <v>0.10315357600244106</v>
      </c>
    </row>
    <row r="22" spans="1:9" x14ac:dyDescent="0.5">
      <c r="A22" s="52">
        <v>2034</v>
      </c>
      <c r="B22" s="50">
        <f t="shared" si="3"/>
        <v>108.80521354453957</v>
      </c>
      <c r="C22" s="50">
        <f t="shared" si="6"/>
        <v>288.88498972990635</v>
      </c>
      <c r="D22" s="50">
        <f t="shared" si="7"/>
        <v>367.47418479514556</v>
      </c>
      <c r="E22" s="50">
        <f t="shared" si="4"/>
        <v>86.922810411352245</v>
      </c>
      <c r="F22" s="53">
        <f t="shared" si="5"/>
        <v>0.127692580921896</v>
      </c>
      <c r="G22" s="53">
        <f t="shared" si="0"/>
        <v>0.33903219088951853</v>
      </c>
      <c r="H22" s="53">
        <f t="shared" si="1"/>
        <v>0.43126359068679737</v>
      </c>
      <c r="I22" s="53">
        <f t="shared" si="2"/>
        <v>0.10201163750178815</v>
      </c>
    </row>
    <row r="23" spans="1:9" x14ac:dyDescent="0.5">
      <c r="A23" s="52">
        <v>2035</v>
      </c>
      <c r="B23" s="50">
        <f t="shared" si="3"/>
        <v>118.91761238069684</v>
      </c>
      <c r="C23" s="50">
        <f t="shared" si="6"/>
        <v>314.95493144424415</v>
      </c>
      <c r="D23" s="50">
        <f t="shared" si="7"/>
        <v>399.2597599319742</v>
      </c>
      <c r="E23" s="50">
        <f t="shared" si="4"/>
        <v>93.572405407820696</v>
      </c>
      <c r="F23" s="53">
        <f t="shared" si="5"/>
        <v>0.12832309062924749</v>
      </c>
      <c r="G23" s="53">
        <f t="shared" si="0"/>
        <v>0.33986546990585764</v>
      </c>
      <c r="H23" s="53">
        <f t="shared" si="1"/>
        <v>0.43083816881845549</v>
      </c>
      <c r="I23" s="53">
        <f t="shared" si="2"/>
        <v>0.10097327064643929</v>
      </c>
    </row>
    <row r="24" spans="1:9" x14ac:dyDescent="0.5">
      <c r="A24" s="52">
        <v>2036</v>
      </c>
      <c r="B24" s="50">
        <f t="shared" si="3"/>
        <v>129.80360972782015</v>
      </c>
      <c r="C24" s="50">
        <f t="shared" si="6"/>
        <v>343.0192236997288</v>
      </c>
      <c r="D24" s="50">
        <f t="shared" si="7"/>
        <v>433.47693156677019</v>
      </c>
      <c r="E24" s="50">
        <f t="shared" si="4"/>
        <v>100.73069442151898</v>
      </c>
      <c r="F24" s="53">
        <f t="shared" si="5"/>
        <v>0.1288974017758282</v>
      </c>
      <c r="G24" s="53">
        <f t="shared" si="0"/>
        <v>0.34062447713717481</v>
      </c>
      <c r="H24" s="53">
        <f t="shared" si="1"/>
        <v>0.43045066563152723</v>
      </c>
      <c r="I24" s="53">
        <f t="shared" si="2"/>
        <v>0.10002745545546975</v>
      </c>
    </row>
    <row r="25" spans="1:9" x14ac:dyDescent="0.5">
      <c r="A25" s="52">
        <v>2037</v>
      </c>
      <c r="B25" s="50">
        <f t="shared" si="3"/>
        <v>141.52238587199838</v>
      </c>
      <c r="C25" s="50">
        <f t="shared" si="6"/>
        <v>373.23043431275806</v>
      </c>
      <c r="D25" s="50">
        <f t="shared" si="7"/>
        <v>470.31171683162813</v>
      </c>
      <c r="E25" s="50">
        <f t="shared" si="4"/>
        <v>108.43659254476518</v>
      </c>
      <c r="F25" s="53">
        <f t="shared" si="5"/>
        <v>0.1294213440170793</v>
      </c>
      <c r="G25" s="53">
        <f t="shared" si="0"/>
        <v>0.34131691703194222</v>
      </c>
      <c r="H25" s="53">
        <f t="shared" si="1"/>
        <v>0.43009714770059393</v>
      </c>
      <c r="I25" s="53">
        <f t="shared" si="2"/>
        <v>9.9164591250384515E-2</v>
      </c>
    </row>
    <row r="26" spans="1:9" x14ac:dyDescent="0.5">
      <c r="A26" s="52">
        <v>2038</v>
      </c>
      <c r="B26" s="50">
        <f t="shared" si="3"/>
        <v>154.13764839120626</v>
      </c>
      <c r="C26" s="50">
        <f t="shared" si="6"/>
        <v>405.75280253768403</v>
      </c>
      <c r="D26" s="50">
        <f t="shared" si="7"/>
        <v>509.96436316924769</v>
      </c>
      <c r="E26" s="50">
        <f t="shared" si="4"/>
        <v>116.73199187443971</v>
      </c>
      <c r="F26" s="53">
        <f t="shared" si="5"/>
        <v>0.12990001878949631</v>
      </c>
      <c r="G26" s="53">
        <f t="shared" si="0"/>
        <v>0.34194953162749148</v>
      </c>
      <c r="H26" s="53">
        <f t="shared" si="1"/>
        <v>0.4297741729491581</v>
      </c>
      <c r="I26" s="53">
        <f t="shared" si="2"/>
        <v>9.8376276633854148E-2</v>
      </c>
    </row>
    <row r="27" spans="1:9" x14ac:dyDescent="0.5">
      <c r="A27" s="52">
        <v>2039</v>
      </c>
      <c r="B27" s="50">
        <f t="shared" si="3"/>
        <v>167.71797849313353</v>
      </c>
      <c r="C27" s="50">
        <f t="shared" si="6"/>
        <v>440.76313193181687</v>
      </c>
      <c r="D27" s="50">
        <f t="shared" si="7"/>
        <v>552.65043695169516</v>
      </c>
      <c r="E27" s="50">
        <f t="shared" si="4"/>
        <v>125.66198925283436</v>
      </c>
      <c r="F27" s="53">
        <f t="shared" si="5"/>
        <v>0.13033790870013232</v>
      </c>
      <c r="G27" s="53">
        <f t="shared" si="0"/>
        <v>0.34252824511872754</v>
      </c>
      <c r="H27" s="53">
        <f t="shared" si="1"/>
        <v>0.42947871684160127</v>
      </c>
      <c r="I27" s="53">
        <f t="shared" si="2"/>
        <v>9.7655129339538738E-2</v>
      </c>
    </row>
    <row r="28" spans="1:9" x14ac:dyDescent="0.5">
      <c r="A28" s="52">
        <v>2040</v>
      </c>
      <c r="B28" s="50">
        <f t="shared" si="3"/>
        <v>182.33720384785826</v>
      </c>
      <c r="C28" s="50">
        <f t="shared" si="6"/>
        <v>478.45175152460087</v>
      </c>
      <c r="D28" s="50">
        <f t="shared" si="7"/>
        <v>598.60199537849985</v>
      </c>
      <c r="E28" s="50">
        <f t="shared" si="4"/>
        <v>135.2751314306762</v>
      </c>
      <c r="F28" s="53">
        <f t="shared" si="5"/>
        <v>0.13073896768367205</v>
      </c>
      <c r="G28" s="53">
        <f t="shared" si="0"/>
        <v>0.34305828300934438</v>
      </c>
      <c r="H28" s="53">
        <f t="shared" si="1"/>
        <v>0.42920811155178051</v>
      </c>
      <c r="I28" s="53">
        <f t="shared" si="2"/>
        <v>9.6994637755203242E-2</v>
      </c>
    </row>
    <row r="29" spans="1:9" x14ac:dyDescent="0.5">
      <c r="A29" s="52">
        <v>2041</v>
      </c>
      <c r="B29" s="50">
        <f t="shared" si="3"/>
        <v>198.07479994221941</v>
      </c>
      <c r="C29" s="50">
        <f t="shared" si="6"/>
        <v>519.02355051623283</v>
      </c>
      <c r="D29" s="50">
        <f t="shared" si="7"/>
        <v>648.06884802495506</v>
      </c>
      <c r="E29" s="50">
        <f t="shared" si="4"/>
        <v>145.62367898512292</v>
      </c>
      <c r="F29" s="53">
        <f t="shared" si="5"/>
        <v>0.13110669576858447</v>
      </c>
      <c r="G29" s="53">
        <f t="shared" si="0"/>
        <v>0.34354427092246193</v>
      </c>
      <c r="H29" s="53">
        <f t="shared" si="1"/>
        <v>0.4289599955162916</v>
      </c>
      <c r="I29" s="53">
        <f t="shared" si="2"/>
        <v>9.6389037792661836E-2</v>
      </c>
    </row>
    <row r="30" spans="1:9" x14ac:dyDescent="0.5">
      <c r="A30" s="52">
        <v>2042</v>
      </c>
      <c r="B30" s="50">
        <f t="shared" si="3"/>
        <v>215.01632213779919</v>
      </c>
      <c r="C30" s="50">
        <f t="shared" si="6"/>
        <v>562.69909213072458</v>
      </c>
      <c r="D30" s="50">
        <f t="shared" si="7"/>
        <v>701.31991489886411</v>
      </c>
      <c r="E30" s="50">
        <f t="shared" si="4"/>
        <v>156.76389042748482</v>
      </c>
      <c r="F30" s="53">
        <f t="shared" si="5"/>
        <v>0.13144420144120797</v>
      </c>
      <c r="G30" s="53">
        <f t="shared" si="0"/>
        <v>0.34399031702074323</v>
      </c>
      <c r="H30" s="53">
        <f t="shared" si="1"/>
        <v>0.4287322713557446</v>
      </c>
      <c r="I30" s="53">
        <f t="shared" si="2"/>
        <v>9.583321018230434E-2</v>
      </c>
    </row>
    <row r="31" spans="1:9" x14ac:dyDescent="0.5">
      <c r="A31" s="52">
        <v>2043</v>
      </c>
      <c r="B31" s="50">
        <f t="shared" si="3"/>
        <v>233.25387078134085</v>
      </c>
      <c r="C31" s="50">
        <f t="shared" si="6"/>
        <v>609.715812678725</v>
      </c>
      <c r="D31" s="50">
        <f>D30+47.1*(1-0.22)*(0.1)+ D30*(0.09)*(0.85)</f>
        <v>758.64468838862729</v>
      </c>
      <c r="E31" s="50">
        <f t="shared" si="4"/>
        <v>168.75632804518742</v>
      </c>
      <c r="F31" s="53">
        <f>B31/(B31+C31+D31+E31)</f>
        <v>0.13175425395106374</v>
      </c>
      <c r="G31" s="53">
        <f t="shared" si="0"/>
        <v>0.3444000811328794</v>
      </c>
      <c r="H31" s="53">
        <f t="shared" si="1"/>
        <v>0.42852307058295858</v>
      </c>
      <c r="I31" s="53">
        <f t="shared" si="2"/>
        <v>9.5322594333098129E-2</v>
      </c>
    </row>
    <row r="32" spans="1:9" x14ac:dyDescent="0.5">
      <c r="A32" s="52">
        <v>2044</v>
      </c>
      <c r="B32" s="50">
        <f t="shared" si="3"/>
        <v>252.88659189611343</v>
      </c>
      <c r="C32" s="50">
        <f t="shared" si="6"/>
        <v>660.32931234864748</v>
      </c>
      <c r="D32" s="50">
        <f t="shared" si="7"/>
        <v>820.35480705035729</v>
      </c>
      <c r="E32" s="50">
        <f t="shared" si="4"/>
        <v>181.66618714064424</v>
      </c>
      <c r="F32" s="53">
        <f t="shared" si="5"/>
        <v>0.13203932740782839</v>
      </c>
      <c r="G32" s="53">
        <f t="shared" si="0"/>
        <v>0.3447768330319661</v>
      </c>
      <c r="H32" s="53">
        <f t="shared" si="1"/>
        <v>0.42833072384955007</v>
      </c>
      <c r="I32" s="53">
        <f t="shared" si="2"/>
        <v>9.4853115710655453E-2</v>
      </c>
    </row>
    <row r="33" spans="1:9" x14ac:dyDescent="0.5">
      <c r="A33" s="52">
        <v>2045</v>
      </c>
      <c r="B33" s="50">
        <f t="shared" si="3"/>
        <v>274.02121617616609</v>
      </c>
      <c r="C33" s="50">
        <f t="shared" si="6"/>
        <v>714.81474474331901</v>
      </c>
      <c r="D33" s="50">
        <f t="shared" si="7"/>
        <v>886.7857497897096</v>
      </c>
      <c r="E33" s="50">
        <f t="shared" si="4"/>
        <v>195.56365045690353</v>
      </c>
      <c r="F33" s="53">
        <f t="shared" si="5"/>
        <v>0.13230163814111229</v>
      </c>
      <c r="G33" s="53">
        <f t="shared" si="0"/>
        <v>0.34512350181003171</v>
      </c>
      <c r="H33" s="53">
        <f t="shared" si="1"/>
        <v>0.42815373573828291</v>
      </c>
      <c r="I33" s="53">
        <f t="shared" si="2"/>
        <v>9.442112431057316E-2</v>
      </c>
    </row>
    <row r="34" spans="1:9" x14ac:dyDescent="0.5">
      <c r="A34" s="52">
        <v>2046</v>
      </c>
      <c r="B34" s="50">
        <f t="shared" si="3"/>
        <v>296.77263921364278</v>
      </c>
      <c r="C34" s="50">
        <f t="shared" si="6"/>
        <v>773.46831271618294</v>
      </c>
      <c r="D34" s="50">
        <f t="shared" si="7"/>
        <v>958.29865964862245</v>
      </c>
      <c r="E34" s="50">
        <f t="shared" si="4"/>
        <v>210.52426971685665</v>
      </c>
      <c r="F34" s="53">
        <f t="shared" si="5"/>
        <v>0.13254317650015371</v>
      </c>
      <c r="G34" s="53">
        <f t="shared" si="0"/>
        <v>0.34544271790438125</v>
      </c>
      <c r="H34" s="53">
        <f t="shared" si="1"/>
        <v>0.42799076330696023</v>
      </c>
      <c r="I34" s="53">
        <f t="shared" si="2"/>
        <v>9.4023342288504855E-2</v>
      </c>
    </row>
    <row r="35" spans="1:9" x14ac:dyDescent="0.5">
      <c r="A35" s="52">
        <v>2047</v>
      </c>
      <c r="B35" s="50">
        <f t="shared" si="3"/>
        <v>321.2645461134864</v>
      </c>
      <c r="C35" s="50">
        <f t="shared" si="6"/>
        <v>836.60887863897096</v>
      </c>
      <c r="D35" s="50">
        <f t="shared" si="7"/>
        <v>1035.2823071117421</v>
      </c>
      <c r="E35" s="50">
        <f t="shared" si="4"/>
        <v>226.6293763501962</v>
      </c>
      <c r="F35" s="53">
        <f t="shared" si="5"/>
        <v>0.13276573404096759</v>
      </c>
      <c r="G35" s="53">
        <f t="shared" si="0"/>
        <v>0.34573684902801977</v>
      </c>
      <c r="H35" s="53">
        <f t="shared" si="1"/>
        <v>0.42784059774452288</v>
      </c>
      <c r="I35" s="53">
        <f t="shared" si="2"/>
        <v>9.3656819186489756E-2</v>
      </c>
    </row>
    <row r="36" spans="1:9" x14ac:dyDescent="0.5">
      <c r="A36" s="52">
        <v>2048</v>
      </c>
      <c r="B36" s="50">
        <f t="shared" si="3"/>
        <v>347.63008389116811</v>
      </c>
      <c r="C36" s="50">
        <f t="shared" si="6"/>
        <v>904.57969785485227</v>
      </c>
      <c r="D36" s="50">
        <f t="shared" si="7"/>
        <v>1118.1552036057903</v>
      </c>
      <c r="E36" s="50">
        <f t="shared" si="4"/>
        <v>243.9665236409862</v>
      </c>
      <c r="F36" s="53">
        <f t="shared" si="5"/>
        <v>0.13297092686806841</v>
      </c>
      <c r="G36" s="53">
        <f t="shared" si="0"/>
        <v>0.34600803101797623</v>
      </c>
      <c r="H36" s="53">
        <f t="shared" si="1"/>
        <v>0.42770214862176115</v>
      </c>
      <c r="I36" s="53">
        <f t="shared" si="2"/>
        <v>9.3318893492194216E-2</v>
      </c>
    </row>
    <row r="37" spans="1:9" x14ac:dyDescent="0.5">
      <c r="A37" s="52">
        <v>2049</v>
      </c>
      <c r="B37" s="50">
        <f t="shared" si="3"/>
        <v>376.01258530884246</v>
      </c>
      <c r="C37" s="50">
        <f t="shared" si="6"/>
        <v>977.7502847407485</v>
      </c>
      <c r="D37" s="50">
        <f t="shared" si="7"/>
        <v>1207.3678766816333</v>
      </c>
      <c r="E37" s="50">
        <f t="shared" si="4"/>
        <v>262.62996269952163</v>
      </c>
      <c r="F37" s="53">
        <f t="shared" si="5"/>
        <v>0.13316021575519565</v>
      </c>
      <c r="G37" s="53">
        <f t="shared" si="0"/>
        <v>0.34625819442677114</v>
      </c>
      <c r="H37" s="53">
        <f t="shared" si="1"/>
        <v>0.42757443031531939</v>
      </c>
      <c r="I37" s="53">
        <f t="shared" si="2"/>
        <v>9.3007159502713793E-2</v>
      </c>
    </row>
    <row r="38" spans="1:9" x14ac:dyDescent="0.5">
      <c r="A38" s="52">
        <v>2050</v>
      </c>
      <c r="B38" s="50">
        <f t="shared" si="3"/>
        <v>406.56634808496887</v>
      </c>
      <c r="C38" s="50">
        <f t="shared" si="6"/>
        <v>1056.5184215234158</v>
      </c>
      <c r="D38" s="50">
        <f t="shared" si="7"/>
        <v>1303.4053192477784</v>
      </c>
      <c r="E38" s="50">
        <f t="shared" si="4"/>
        <v>282.72115484603501</v>
      </c>
      <c r="F38" s="53">
        <f t="shared" si="5"/>
        <v>0.13333492355594773</v>
      </c>
      <c r="G38" s="53">
        <f t="shared" si="0"/>
        <v>0.34648908753223817</v>
      </c>
      <c r="H38" s="53">
        <f t="shared" si="1"/>
        <v>0.42745655026027302</v>
      </c>
      <c r="I38" s="53">
        <f t="shared" si="2"/>
        <v>9.2719438651541003E-2</v>
      </c>
    </row>
    <row r="39" spans="1:9" x14ac:dyDescent="0.5">
      <c r="A39" s="52">
        <v>2051</v>
      </c>
      <c r="B39" s="50">
        <f t="shared" si="3"/>
        <v>439.45747371346897</v>
      </c>
      <c r="C39" s="50">
        <f t="shared" si="6"/>
        <v>1141.3123207699573</v>
      </c>
      <c r="D39" s="50">
        <f t="shared" si="7"/>
        <v>1406.7896261702335</v>
      </c>
      <c r="E39" s="50">
        <f t="shared" si="4"/>
        <v>304.3493231917567</v>
      </c>
      <c r="F39" s="53">
        <f t="shared" si="5"/>
        <v>0.13349625032440002</v>
      </c>
      <c r="G39" s="53">
        <f t="shared" si="0"/>
        <v>0.34670229632087024</v>
      </c>
      <c r="H39" s="53">
        <f t="shared" si="1"/>
        <v>0.42734769874784062</v>
      </c>
      <c r="I39" s="53">
        <f t="shared" si="2"/>
        <v>9.2453754606889094E-2</v>
      </c>
    </row>
    <row r="40" spans="1:9" x14ac:dyDescent="0.5">
      <c r="A40" s="52">
        <v>2052</v>
      </c>
      <c r="B40" s="50">
        <f t="shared" si="3"/>
        <v>474.86477045254935</v>
      </c>
      <c r="C40" s="50">
        <f t="shared" si="6"/>
        <v>1232.5929533088593</v>
      </c>
      <c r="D40" s="50">
        <f t="shared" si="7"/>
        <v>1518.0828325722564</v>
      </c>
      <c r="E40" s="50">
        <f t="shared" si="4"/>
        <v>327.63204641592608</v>
      </c>
      <c r="F40" s="53">
        <f t="shared" si="5"/>
        <v>0.13364528649271906</v>
      </c>
      <c r="G40" s="53">
        <f t="shared" si="0"/>
        <v>0.34689926190329962</v>
      </c>
      <c r="H40" s="53">
        <f t="shared" si="1"/>
        <v>0.42724714003409275</v>
      </c>
      <c r="I40" s="53">
        <f t="shared" si="2"/>
        <v>9.220831156988854E-2</v>
      </c>
    </row>
    <row r="41" spans="1:9" x14ac:dyDescent="0.5">
      <c r="A41" s="52">
        <v>2053</v>
      </c>
      <c r="B41" s="50">
        <f t="shared" si="3"/>
        <v>512.98072539216935</v>
      </c>
      <c r="C41" s="50">
        <f t="shared" si="6"/>
        <v>1330.856554236987</v>
      </c>
      <c r="D41" s="50">
        <f t="shared" si="7"/>
        <v>1637.8899692640341</v>
      </c>
      <c r="E41" s="50">
        <f t="shared" si="4"/>
        <v>352.69589796674444</v>
      </c>
      <c r="F41" s="53">
        <f t="shared" si="5"/>
        <v>0.13378302439371012</v>
      </c>
      <c r="G41" s="53">
        <f t="shared" si="0"/>
        <v>0.34708129574244956</v>
      </c>
      <c r="H41" s="53">
        <f t="shared" si="1"/>
        <v>0.42715420456537934</v>
      </c>
      <c r="I41" s="53">
        <f t="shared" si="2"/>
        <v>9.1981475298461068E-2</v>
      </c>
    </row>
    <row r="42" spans="1:9" x14ac:dyDescent="0.5">
      <c r="A42" s="52">
        <v>2054</v>
      </c>
      <c r="B42" s="50">
        <f t="shared" si="3"/>
        <v>554.0125508846703</v>
      </c>
      <c r="C42" s="50">
        <f t="shared" si="6"/>
        <v>1436.6373206361166</v>
      </c>
      <c r="D42" s="50">
        <f t="shared" si="7"/>
        <v>1766.8623519127327</v>
      </c>
      <c r="E42" s="50">
        <f t="shared" si="4"/>
        <v>379.6771341612004</v>
      </c>
      <c r="F42" s="53">
        <f t="shared" si="5"/>
        <v>0.1339103683682398</v>
      </c>
      <c r="G42" s="53">
        <f t="shared" si="0"/>
        <v>0.34724959301146158</v>
      </c>
      <c r="H42" s="53">
        <f t="shared" si="1"/>
        <v>0.42706828215857917</v>
      </c>
      <c r="I42" s="53">
        <f t="shared" si="2"/>
        <v>9.1771756461719506E-2</v>
      </c>
    </row>
    <row r="43" spans="1:9" x14ac:dyDescent="0.5">
      <c r="A43" s="52">
        <v>2055</v>
      </c>
      <c r="B43" s="50">
        <f t="shared" si="3"/>
        <v>598.1833110273476</v>
      </c>
      <c r="C43" s="50">
        <f t="shared" si="6"/>
        <v>1550.5103156647797</v>
      </c>
      <c r="D43" s="50">
        <f t="shared" si="7"/>
        <v>1905.7011218340567</v>
      </c>
      <c r="E43" s="50">
        <f t="shared" si="4"/>
        <v>408.72243492453225</v>
      </c>
      <c r="F43" s="53">
        <f t="shared" si="5"/>
        <v>0.13402814365829724</v>
      </c>
      <c r="G43" s="53">
        <f t="shared" si="0"/>
        <v>0.34740524434672865</v>
      </c>
      <c r="H43" s="53">
        <f t="shared" si="1"/>
        <v>0.42698881600071259</v>
      </c>
      <c r="I43" s="53">
        <f t="shared" si="2"/>
        <v>9.1577795994261399E-2</v>
      </c>
    </row>
    <row r="44" spans="1:9" x14ac:dyDescent="0.5">
      <c r="A44" s="52">
        <v>2056</v>
      </c>
      <c r="B44" s="50">
        <f t="shared" si="3"/>
        <v>645.73313432093971</v>
      </c>
      <c r="C44" s="50">
        <f t="shared" si="6"/>
        <v>1673.0945948131355</v>
      </c>
      <c r="D44" s="50">
        <f t="shared" si="7"/>
        <v>2055.1610576543621</v>
      </c>
      <c r="E44" s="50">
        <f t="shared" si="4"/>
        <v>439.98970119625898</v>
      </c>
      <c r="F44" s="53">
        <f t="shared" si="5"/>
        <v>0.13413710425433717</v>
      </c>
      <c r="G44" s="53">
        <f t="shared" si="0"/>
        <v>0.34754924621891126</v>
      </c>
      <c r="H44" s="53">
        <f t="shared" si="1"/>
        <v>0.42691529735412798</v>
      </c>
      <c r="I44" s="53">
        <f t="shared" si="2"/>
        <v>9.1398352172623515E-2</v>
      </c>
    </row>
    <row r="45" spans="1:9" x14ac:dyDescent="0.5">
      <c r="A45" s="52">
        <v>2057</v>
      </c>
      <c r="B45" s="50">
        <f t="shared" si="3"/>
        <v>696.9205190964916</v>
      </c>
      <c r="C45" s="50">
        <f t="shared" si="6"/>
        <v>1805.0565713163405</v>
      </c>
      <c r="D45" s="50">
        <f t="shared" si="7"/>
        <v>2216.0546785649208</v>
      </c>
      <c r="E45" s="50">
        <f t="shared" si="4"/>
        <v>473.6489133377728</v>
      </c>
      <c r="F45" s="53">
        <f t="shared" si="5"/>
        <v>0.13423793983910046</v>
      </c>
      <c r="G45" s="53">
        <f t="shared" si="0"/>
        <v>0.34768251010986151</v>
      </c>
      <c r="H45" s="53">
        <f t="shared" si="1"/>
        <v>0.42684726087131863</v>
      </c>
      <c r="I45" s="53">
        <f t="shared" si="2"/>
        <v>9.1232289179719372E-2</v>
      </c>
    </row>
    <row r="46" spans="1:9" x14ac:dyDescent="0.5">
      <c r="A46" s="52">
        <v>2058</v>
      </c>
      <c r="B46" s="50">
        <f t="shared" si="3"/>
        <v>752.02373880737321</v>
      </c>
      <c r="C46" s="50">
        <f t="shared" si="6"/>
        <v>1947.1136390220406</v>
      </c>
      <c r="D46" s="50">
        <f t="shared" si="7"/>
        <v>2389.2566614751372</v>
      </c>
      <c r="E46" s="50">
        <f t="shared" si="4"/>
        <v>509.88305520811241</v>
      </c>
      <c r="F46" s="53">
        <f t="shared" si="5"/>
        <v>0.13433128194824337</v>
      </c>
      <c r="G46" s="53">
        <f t="shared" si="0"/>
        <v>0.34780587065448559</v>
      </c>
      <c r="H46" s="53">
        <f t="shared" si="1"/>
        <v>0.42678428043818095</v>
      </c>
      <c r="I46" s="53">
        <f t="shared" si="2"/>
        <v>9.1078566959090182E-2</v>
      </c>
    </row>
    <row r="47" spans="1:9" x14ac:dyDescent="0.5">
      <c r="A47" s="52">
        <v>2059</v>
      </c>
      <c r="B47" s="50">
        <f t="shared" si="3"/>
        <v>811.34235482613724</v>
      </c>
      <c r="C47" s="50">
        <f t="shared" si="6"/>
        <v>2100.038072407227</v>
      </c>
      <c r="D47" s="50">
        <f t="shared" si="7"/>
        <v>2575.708596077985</v>
      </c>
      <c r="E47" s="50">
        <f t="shared" si="4"/>
        <v>548.88910893153297</v>
      </c>
      <c r="F47" s="53">
        <f t="shared" si="5"/>
        <v>0.1344177094499602</v>
      </c>
      <c r="G47" s="53">
        <f t="shared" si="0"/>
        <v>0.34792009288259018</v>
      </c>
      <c r="H47" s="53">
        <f t="shared" si="1"/>
        <v>0.42672596547676506</v>
      </c>
      <c r="I47" s="53">
        <f t="shared" si="2"/>
        <v>9.0936232190684502E-2</v>
      </c>
    </row>
    <row r="48" spans="1:9" x14ac:dyDescent="0.5">
      <c r="A48" s="52">
        <v>2060</v>
      </c>
      <c r="B48" s="50">
        <f t="shared" si="3"/>
        <v>875.19884497033672</v>
      </c>
      <c r="C48" s="50">
        <f t="shared" si="6"/>
        <v>2264.6612249463801</v>
      </c>
      <c r="D48" s="50">
        <f t="shared" si="7"/>
        <v>2776.4241036779508</v>
      </c>
      <c r="E48" s="50">
        <f t="shared" si="4"/>
        <v>590.87912576479528</v>
      </c>
      <c r="F48" s="53">
        <f t="shared" si="5"/>
        <v>0.13449775343066733</v>
      </c>
      <c r="G48" s="53">
        <f t="shared" si="0"/>
        <v>0.34802587867578233</v>
      </c>
      <c r="H48" s="53">
        <f t="shared" si="1"/>
        <v>0.42667195764877303</v>
      </c>
      <c r="I48" s="53">
        <f t="shared" si="2"/>
        <v>9.0804410244777298E-2</v>
      </c>
    </row>
    <row r="49" spans="1:9" x14ac:dyDescent="0.5">
      <c r="A49" s="52">
        <v>2061</v>
      </c>
      <c r="B49" s="50">
        <f t="shared" si="3"/>
        <v>943.94035661056751</v>
      </c>
      <c r="C49" s="50">
        <f t="shared" si="6"/>
        <v>2441.8780486547785</v>
      </c>
      <c r="D49" s="50">
        <f t="shared" si="7"/>
        <v>2992.494347609314</v>
      </c>
      <c r="E49" s="50">
        <f t="shared" si="4"/>
        <v>636.08137888580211</v>
      </c>
      <c r="F49" s="53">
        <f t="shared" si="5"/>
        <v>0.13457190156117713</v>
      </c>
      <c r="G49" s="53">
        <f t="shared" si="0"/>
        <v>0.34812387253778676</v>
      </c>
      <c r="H49" s="53">
        <f t="shared" si="1"/>
        <v>0.42662192790958303</v>
      </c>
      <c r="I49" s="53">
        <f t="shared" si="2"/>
        <v>9.0682297991453095E-2</v>
      </c>
    </row>
    <row r="50" spans="1:9" x14ac:dyDescent="0.5">
      <c r="A50" s="52">
        <v>2062</v>
      </c>
      <c r="B50" s="50">
        <f t="shared" si="3"/>
        <v>1017.940593891276</v>
      </c>
      <c r="C50" s="50">
        <f t="shared" si="6"/>
        <v>2632.6519593768689</v>
      </c>
      <c r="D50" s="50">
        <f t="shared" si="7"/>
        <v>3225.0939652014267</v>
      </c>
      <c r="E50" s="50">
        <f t="shared" si="4"/>
        <v>684.74160437056594</v>
      </c>
      <c r="F50" s="53">
        <f t="shared" si="5"/>
        <v>0.13464060200718872</v>
      </c>
      <c r="G50" s="53">
        <f t="shared" si="0"/>
        <v>0.34821466676253399</v>
      </c>
      <c r="H50" s="53">
        <f t="shared" si="1"/>
        <v>0.42657557386973655</v>
      </c>
      <c r="I50" s="53">
        <f t="shared" si="2"/>
        <v>9.056915736054072E-2</v>
      </c>
    </row>
    <row r="51" spans="1:9" x14ac:dyDescent="0.5">
      <c r="A51" s="52">
        <v>2063</v>
      </c>
      <c r="B51" s="50">
        <f t="shared" si="3"/>
        <v>1097.6018493239585</v>
      </c>
      <c r="C51" s="50">
        <f t="shared" si="6"/>
        <v>2838.0200742691995</v>
      </c>
      <c r="D51" s="50">
        <f t="shared" si="7"/>
        <v>3475.487453539336</v>
      </c>
      <c r="E51" s="50">
        <f t="shared" si="4"/>
        <v>737.12433710491428</v>
      </c>
      <c r="F51" s="53">
        <f t="shared" si="5"/>
        <v>0.13470426693899548</v>
      </c>
      <c r="G51" s="53">
        <f t="shared" si="0"/>
        <v>0.34829880607257585</v>
      </c>
      <c r="H51" s="53">
        <f t="shared" si="1"/>
        <v>0.42653261742684395</v>
      </c>
      <c r="I51" s="53">
        <f t="shared" si="2"/>
        <v>9.0464309561584744E-2</v>
      </c>
    </row>
    <row r="52" spans="1:9" x14ac:dyDescent="0.5">
      <c r="A52" s="52">
        <v>2064</v>
      </c>
      <c r="B52" s="50">
        <f t="shared" si="3"/>
        <v>1183.3571907972414</v>
      </c>
      <c r="C52" s="50">
        <f t="shared" si="6"/>
        <v>3059.0988499507935</v>
      </c>
      <c r="D52" s="50">
        <f t="shared" si="7"/>
        <v>3745.0360437350951</v>
      </c>
      <c r="E52" s="50">
        <f t="shared" si="4"/>
        <v>793.51434889344023</v>
      </c>
      <c r="F52" s="53">
        <f t="shared" si="5"/>
        <v>0.13476327568777371</v>
      </c>
      <c r="G52" s="53">
        <f t="shared" si="0"/>
        <v>0.34837679179042286</v>
      </c>
      <c r="H52" s="53">
        <f t="shared" si="1"/>
        <v>0.42649280263595157</v>
      </c>
      <c r="I52" s="53">
        <f t="shared" si="2"/>
        <v>9.036712988585173E-2</v>
      </c>
    </row>
    <row r="53" spans="1:9" x14ac:dyDescent="0.5">
      <c r="A53" s="52">
        <v>2065</v>
      </c>
      <c r="B53" s="50">
        <f t="shared" si="3"/>
        <v>1275.6728158932303</v>
      </c>
      <c r="C53" s="50">
        <f t="shared" si="6"/>
        <v>3297.0901519720292</v>
      </c>
      <c r="D53" s="50">
        <f t="shared" si="7"/>
        <v>4035.20510108083</v>
      </c>
      <c r="E53" s="50">
        <f t="shared" si="4"/>
        <v>854.21819658378843</v>
      </c>
      <c r="F53" s="53">
        <f t="shared" si="5"/>
        <v>0.13481797758943115</v>
      </c>
      <c r="G53" s="53">
        <f t="shared" si="0"/>
        <v>0.34844908559696314</v>
      </c>
      <c r="H53" s="53">
        <f t="shared" si="1"/>
        <v>0.42645589379072119</v>
      </c>
      <c r="I53" s="53">
        <f t="shared" si="2"/>
        <v>9.0277043022884598E-2</v>
      </c>
    </row>
    <row r="66" spans="1:7" x14ac:dyDescent="0.5">
      <c r="A66" s="52" t="s">
        <v>131</v>
      </c>
      <c r="B66" t="s">
        <v>140</v>
      </c>
    </row>
    <row r="67" spans="1:7" x14ac:dyDescent="0.5">
      <c r="B67" t="s">
        <v>138</v>
      </c>
    </row>
    <row r="68" spans="1:7" x14ac:dyDescent="0.5">
      <c r="B68" t="s">
        <v>218</v>
      </c>
    </row>
    <row r="70" spans="1:7" x14ac:dyDescent="0.5">
      <c r="D70" t="s">
        <v>2</v>
      </c>
      <c r="E70" t="s">
        <v>144</v>
      </c>
      <c r="F70" s="54" t="s">
        <v>147</v>
      </c>
      <c r="G70" s="55" t="s">
        <v>148</v>
      </c>
    </row>
    <row r="71" spans="1:7" x14ac:dyDescent="0.5">
      <c r="C71" t="s">
        <v>146</v>
      </c>
      <c r="D71">
        <v>6.88</v>
      </c>
      <c r="E71">
        <v>26.12</v>
      </c>
      <c r="F71" s="54">
        <v>47.1</v>
      </c>
      <c r="G71" s="55">
        <v>19.899999999999999</v>
      </c>
    </row>
    <row r="72" spans="1:7" x14ac:dyDescent="0.5">
      <c r="C72" t="s">
        <v>145</v>
      </c>
      <c r="D72">
        <v>0.35</v>
      </c>
      <c r="E72">
        <v>0.24</v>
      </c>
      <c r="F72" s="54">
        <v>0.22</v>
      </c>
      <c r="G72" s="55">
        <v>0.12</v>
      </c>
    </row>
    <row r="73" spans="1:7" x14ac:dyDescent="0.5">
      <c r="C73" t="s">
        <v>149</v>
      </c>
      <c r="D73">
        <v>0.4</v>
      </c>
      <c r="E73">
        <v>0.2</v>
      </c>
      <c r="F73" s="54">
        <v>0.1</v>
      </c>
      <c r="G73" s="55">
        <v>0</v>
      </c>
    </row>
    <row r="74" spans="1:7" x14ac:dyDescent="0.5">
      <c r="C74" t="s">
        <v>150</v>
      </c>
      <c r="D74" s="31">
        <v>0.09</v>
      </c>
      <c r="E74" s="31">
        <v>0.09</v>
      </c>
      <c r="F74" s="56">
        <v>0.09</v>
      </c>
      <c r="G74" s="57">
        <v>0.09</v>
      </c>
    </row>
    <row r="75" spans="1:7" x14ac:dyDescent="0.5">
      <c r="C75" t="s">
        <v>151</v>
      </c>
      <c r="D75">
        <v>0.15</v>
      </c>
      <c r="E75">
        <v>0.15</v>
      </c>
      <c r="F75" s="54">
        <v>0.15</v>
      </c>
      <c r="G75" s="55">
        <v>0.15</v>
      </c>
    </row>
  </sheetData>
  <phoneticPr fontId="31" type="noConversion"/>
  <hyperlinks>
    <hyperlink ref="H1" location="Index" display="Back to Index" xr:uid="{2FBB2E4A-5551-4ED0-90D4-BDDB72ED85E2}"/>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131A5-FCEB-4D56-A79F-387875F69991}">
  <sheetPr codeName="Sheet18"/>
  <dimension ref="A1:AD56"/>
  <sheetViews>
    <sheetView zoomScale="55" zoomScaleNormal="55" workbookViewId="0">
      <pane xSplit="1" ySplit="2" topLeftCell="B12" activePane="bottomRight" state="frozen"/>
      <selection pane="topRight" activeCell="B1" sqref="B1"/>
      <selection pane="bottomLeft" activeCell="A3" sqref="A3"/>
      <selection pane="bottomRight" activeCell="H1" sqref="H1:I1"/>
    </sheetView>
  </sheetViews>
  <sheetFormatPr defaultRowHeight="15.75" x14ac:dyDescent="0.5"/>
  <cols>
    <col min="2" max="2" width="17" customWidth="1"/>
    <col min="3" max="3" width="25.125" customWidth="1"/>
    <col min="4" max="4" width="60.375" customWidth="1"/>
    <col min="5" max="5" width="26" customWidth="1"/>
    <col min="6" max="6" width="27.625" customWidth="1"/>
    <col min="7" max="7" width="59.5" customWidth="1"/>
    <col min="8" max="8" width="15.375" customWidth="1"/>
    <col min="9" max="9" width="10.875" customWidth="1"/>
    <col min="10" max="10" width="22.75" customWidth="1"/>
    <col min="11" max="11" width="18.75" customWidth="1"/>
    <col min="12" max="12" width="15.25" customWidth="1"/>
    <col min="13" max="13" width="26" customWidth="1"/>
    <col min="14" max="14" width="21.125" customWidth="1"/>
    <col min="15" max="15" width="17.375" customWidth="1"/>
    <col min="16" max="19" width="19.625" customWidth="1"/>
    <col min="20" max="20" width="23.25" customWidth="1"/>
    <col min="21" max="21" width="14.125" customWidth="1"/>
    <col min="23" max="23" width="14.875" customWidth="1"/>
    <col min="24" max="24" width="18.75" customWidth="1"/>
    <col min="25" max="25" width="18.5" customWidth="1"/>
    <col min="26" max="26" width="17.25" customWidth="1"/>
    <col min="27" max="27" width="13.625" customWidth="1"/>
    <col min="28" max="28" width="18.375" customWidth="1"/>
    <col min="29" max="29" width="24" customWidth="1"/>
    <col min="30" max="30" width="20.5" customWidth="1"/>
  </cols>
  <sheetData>
    <row r="1" spans="1:27" x14ac:dyDescent="0.5">
      <c r="A1" s="105" t="s">
        <v>5</v>
      </c>
      <c r="B1" s="106" t="s">
        <v>12</v>
      </c>
      <c r="C1" s="106"/>
      <c r="D1" s="106"/>
      <c r="E1" s="37"/>
      <c r="F1" s="107" t="s">
        <v>13</v>
      </c>
      <c r="G1" s="107"/>
      <c r="H1" s="108" t="s">
        <v>543</v>
      </c>
      <c r="I1" s="106"/>
      <c r="J1" s="109" t="s">
        <v>19</v>
      </c>
      <c r="K1" s="109"/>
      <c r="L1" s="103" t="s">
        <v>20</v>
      </c>
      <c r="M1" s="103"/>
      <c r="N1" s="104" t="s">
        <v>116</v>
      </c>
      <c r="O1" s="104"/>
      <c r="P1" s="104"/>
      <c r="Q1" s="104"/>
      <c r="R1" s="104"/>
      <c r="S1" s="104"/>
      <c r="T1" s="103" t="s">
        <v>21</v>
      </c>
      <c r="U1" s="103"/>
      <c r="V1" s="103"/>
      <c r="W1" s="103"/>
      <c r="X1" s="103"/>
    </row>
    <row r="2" spans="1:27" x14ac:dyDescent="0.5">
      <c r="A2" s="105"/>
      <c r="B2" s="13" t="s">
        <v>9</v>
      </c>
      <c r="C2" s="13" t="s">
        <v>10</v>
      </c>
      <c r="D2" s="13" t="s">
        <v>219</v>
      </c>
      <c r="E2" s="13" t="s">
        <v>176</v>
      </c>
      <c r="F2" s="8" t="s">
        <v>3</v>
      </c>
      <c r="G2" s="8" t="s">
        <v>4</v>
      </c>
      <c r="H2" s="14">
        <v>0.9</v>
      </c>
      <c r="I2" s="14">
        <v>0.99</v>
      </c>
      <c r="J2" s="15" t="s">
        <v>14</v>
      </c>
      <c r="K2" s="15" t="s">
        <v>15</v>
      </c>
      <c r="L2" s="16" t="s">
        <v>16</v>
      </c>
      <c r="M2" s="16" t="s">
        <v>17</v>
      </c>
      <c r="N2" s="29" t="s">
        <v>117</v>
      </c>
      <c r="O2" s="29" t="s">
        <v>120</v>
      </c>
      <c r="P2" s="29" t="s">
        <v>124</v>
      </c>
      <c r="Q2" s="45" t="s">
        <v>0</v>
      </c>
      <c r="R2" s="45" t="s">
        <v>1</v>
      </c>
      <c r="S2" s="45" t="s">
        <v>2</v>
      </c>
      <c r="T2" s="45" t="s">
        <v>118</v>
      </c>
      <c r="U2" s="46" t="s">
        <v>25</v>
      </c>
      <c r="V2" s="29" t="s">
        <v>121</v>
      </c>
      <c r="W2" s="29" t="s">
        <v>122</v>
      </c>
      <c r="X2" s="29" t="s">
        <v>123</v>
      </c>
      <c r="Y2" s="29"/>
      <c r="Z2" s="29"/>
      <c r="AA2" s="29"/>
    </row>
    <row r="3" spans="1:27" x14ac:dyDescent="0.5">
      <c r="A3" s="10">
        <v>1980</v>
      </c>
      <c r="B3" s="12">
        <f>'Minimum Deflation Total'!F3</f>
        <v>5549</v>
      </c>
      <c r="C3" s="12">
        <f>'Average Labor Income'!C20 *251.1 / CPI!B69</f>
        <v>98113.969889563101</v>
      </c>
      <c r="D3" s="12">
        <f>'99.9% Threshold Labor'!C20 * 251.1 / CPI!B69</f>
        <v>1068252.2311893203</v>
      </c>
      <c r="E3" s="35">
        <f>Data!F82</f>
        <v>1526863.1</v>
      </c>
      <c r="F3" s="11">
        <f t="shared" ref="F3:F16" si="0">LN(C3)-G3^2/2</f>
        <v>11.109589230431142</v>
      </c>
      <c r="G3" s="11">
        <f t="shared" ref="G3:G17" si="1">(LN(D3)-LN(B3))/6</f>
        <v>0.87669357196964182</v>
      </c>
      <c r="H3" s="12">
        <f t="shared" ref="H3:I12" si="2">_xlfn.LOGNORM.INV(H$2,$F3,$G3)</f>
        <v>205482.72581518147</v>
      </c>
      <c r="I3" s="12">
        <f t="shared" si="2"/>
        <v>513540.13129385083</v>
      </c>
      <c r="J3" s="17">
        <f t="shared" ref="J3:J16" si="3">(LN(H3)-($F3+$G3^2))/$G3</f>
        <v>0.40485799357495905</v>
      </c>
      <c r="K3" s="17">
        <f t="shared" ref="K3:K16" si="4">(LN(I3)-($F3+$G3^2))/$G3</f>
        <v>1.4496543020711994</v>
      </c>
      <c r="L3" s="18">
        <f t="shared" ref="L3:L16" si="5">_xlfn.NORM.DIST(J3,0,1,TRUE)</f>
        <v>0.65720905144188946</v>
      </c>
      <c r="M3" s="18">
        <f>_xlfn.NORM.DIST(K3,0,1,TRUE)</f>
        <v>0.92642252745063247</v>
      </c>
      <c r="N3" s="30">
        <f>'Top 1% Labor Share'!C20</f>
        <v>7.2300002000000002E-2</v>
      </c>
      <c r="O3" s="30">
        <f>'Top 10% Labor Share'!C20 - N3</f>
        <v>0.21789999800000001</v>
      </c>
      <c r="P3" s="30">
        <f t="shared" ref="P3:P37" si="6">1-O3 - N3</f>
        <v>0.70979999999999999</v>
      </c>
      <c r="Q3" s="47">
        <f t="shared" ref="Q3:Q37" si="7">L3</f>
        <v>0.65720905144188946</v>
      </c>
      <c r="R3" s="47">
        <f t="shared" ref="R3:R37" si="8">M3-L3</f>
        <v>0.26921347600874301</v>
      </c>
      <c r="S3" s="47">
        <f t="shared" ref="S3:S37" si="9">1-M3</f>
        <v>7.3577472549367529E-2</v>
      </c>
      <c r="T3" s="48">
        <f>R3+S3</f>
        <v>0.34279094855811054</v>
      </c>
      <c r="U3" s="49">
        <f t="shared" ref="U3:U16" si="10">2*_xlfn.NORM.DIST(G3/SQRT(2),0,1,TRUE)-1</f>
        <v>0.46468688880806774</v>
      </c>
      <c r="V3" s="30">
        <f t="shared" ref="V3:V37" si="11">N3/S3 - 1</f>
        <v>-1.7362251041042387E-2</v>
      </c>
      <c r="W3" s="30">
        <f t="shared" ref="W3:W37" si="12">O3/R3 - 1</f>
        <v>-0.19060516126271676</v>
      </c>
      <c r="X3" s="30">
        <f t="shared" ref="X3:X37" si="13">P3/Q3 - 1</f>
        <v>8.0021643710974644E-2</v>
      </c>
    </row>
    <row r="4" spans="1:27" x14ac:dyDescent="0.5">
      <c r="A4">
        <v>1981</v>
      </c>
      <c r="B4" s="12">
        <f>'Minimum Deflation Total'!F4</f>
        <v>5996.5</v>
      </c>
      <c r="C4" s="12">
        <f>'Average Labor Income'!C21 *251.1 / CPI!B70</f>
        <v>88217.316623762366</v>
      </c>
      <c r="D4" s="12">
        <f>'99.9% Threshold Labor'!C21 * 251.1 / CPI!B70</f>
        <v>975334.5258415842</v>
      </c>
      <c r="E4" s="35">
        <f>Data!F83</f>
        <v>1659319.4</v>
      </c>
      <c r="F4" s="11">
        <f t="shared" si="0"/>
        <v>11.027496932820462</v>
      </c>
      <c r="G4" s="11">
        <f t="shared" si="1"/>
        <v>0.8486007583148254</v>
      </c>
      <c r="H4" s="12">
        <f t="shared" si="2"/>
        <v>182594.39719087409</v>
      </c>
      <c r="I4" s="12">
        <f t="shared" si="2"/>
        <v>443138.43866380712</v>
      </c>
      <c r="J4" s="17">
        <f t="shared" si="3"/>
        <v>0.43295080722977541</v>
      </c>
      <c r="K4" s="17">
        <f t="shared" si="4"/>
        <v>1.4777471157260151</v>
      </c>
      <c r="L4" s="18">
        <f t="shared" si="5"/>
        <v>0.66747474596368983</v>
      </c>
      <c r="M4" s="18">
        <f t="shared" ref="M4:M37" si="14">_xlfn.NORM.DIST(K4,0,1,TRUE)</f>
        <v>0.93026226090183717</v>
      </c>
      <c r="N4" s="30">
        <f>'Top 1% Labor Share'!C21</f>
        <v>7.3899998999999994E-2</v>
      </c>
      <c r="O4" s="30">
        <f>'Top 10% Labor Share'!C21 - N4</f>
        <v>0.220500011</v>
      </c>
      <c r="P4" s="30">
        <f t="shared" si="6"/>
        <v>0.70559999000000007</v>
      </c>
      <c r="Q4" s="47">
        <f t="shared" si="7"/>
        <v>0.66747474596368983</v>
      </c>
      <c r="R4" s="47">
        <f t="shared" si="8"/>
        <v>0.26278751493814734</v>
      </c>
      <c r="S4" s="47">
        <f t="shared" si="9"/>
        <v>6.9737739098162832E-2</v>
      </c>
      <c r="T4" s="48">
        <f t="shared" ref="T4:T37" si="15">R4+S4</f>
        <v>0.33252525403631017</v>
      </c>
      <c r="U4" s="49">
        <f t="shared" si="10"/>
        <v>0.45152798662216842</v>
      </c>
      <c r="V4" s="30">
        <f t="shared" si="11"/>
        <v>5.9684468634384036E-2</v>
      </c>
      <c r="W4" s="30">
        <f t="shared" si="12"/>
        <v>-0.16091899932194498</v>
      </c>
      <c r="X4" s="30">
        <f t="shared" si="13"/>
        <v>5.7118631479106563E-2</v>
      </c>
    </row>
    <row r="5" spans="1:27" x14ac:dyDescent="0.5">
      <c r="A5" s="10">
        <v>1982</v>
      </c>
      <c r="B5" s="12">
        <f>'Minimum Deflation Total'!F5</f>
        <v>5996.5</v>
      </c>
      <c r="C5" s="12">
        <f>'Average Labor Income'!C22 *251.1 / CPI!B71</f>
        <v>80297.096269430054</v>
      </c>
      <c r="D5" s="12">
        <f>'99.9% Threshold Labor'!C22 * 251.1 / CPI!B71</f>
        <v>951757.4704663211</v>
      </c>
      <c r="E5" s="35">
        <f>Data!F84</f>
        <v>1702963.4</v>
      </c>
      <c r="F5" s="11">
        <f t="shared" si="0"/>
        <v>10.936879713270818</v>
      </c>
      <c r="G5" s="11">
        <f t="shared" si="1"/>
        <v>0.84452237978864808</v>
      </c>
      <c r="H5" s="12">
        <f t="shared" si="2"/>
        <v>165906.33999758342</v>
      </c>
      <c r="I5" s="12">
        <f t="shared" si="2"/>
        <v>400926.16256191971</v>
      </c>
      <c r="J5" s="17">
        <f t="shared" si="3"/>
        <v>0.43702918575595257</v>
      </c>
      <c r="K5" s="17">
        <f t="shared" si="4"/>
        <v>1.4818254942521922</v>
      </c>
      <c r="L5" s="18">
        <f t="shared" si="5"/>
        <v>0.66895490900643817</v>
      </c>
      <c r="M5" s="18">
        <f t="shared" si="14"/>
        <v>0.93080663315704493</v>
      </c>
      <c r="N5" s="30">
        <f>'Top 1% Labor Share'!C22</f>
        <v>7.7399998999999997E-2</v>
      </c>
      <c r="O5" s="30">
        <f>'Top 10% Labor Share'!C22 - N5</f>
        <v>0.22510001099999999</v>
      </c>
      <c r="P5" s="30">
        <f t="shared" si="6"/>
        <v>0.69749999000000007</v>
      </c>
      <c r="Q5" s="47">
        <f t="shared" si="7"/>
        <v>0.66895490900643817</v>
      </c>
      <c r="R5" s="47">
        <f t="shared" si="8"/>
        <v>0.26185172415060676</v>
      </c>
      <c r="S5" s="47">
        <f t="shared" si="9"/>
        <v>6.9193366842955073E-2</v>
      </c>
      <c r="T5" s="48">
        <f t="shared" si="15"/>
        <v>0.33104509099356183</v>
      </c>
      <c r="U5" s="49">
        <f t="shared" si="10"/>
        <v>0.44960444573133151</v>
      </c>
      <c r="V5" s="30">
        <f t="shared" si="11"/>
        <v>0.11860431904796775</v>
      </c>
      <c r="W5" s="30">
        <f t="shared" si="12"/>
        <v>-0.1403531455438064</v>
      </c>
      <c r="X5" s="30">
        <f t="shared" si="13"/>
        <v>4.2671158562777256E-2</v>
      </c>
    </row>
    <row r="6" spans="1:27" x14ac:dyDescent="0.5">
      <c r="A6">
        <v>1983</v>
      </c>
      <c r="B6" s="12">
        <f>'Minimum Deflation Total'!F6</f>
        <v>5996.5</v>
      </c>
      <c r="C6" s="12">
        <f>'Average Labor Income'!C23 *251.1 / CPI!B72</f>
        <v>77952.936144578329</v>
      </c>
      <c r="D6" s="12">
        <f>'99.9% Threshold Labor'!C23 * 251.1 / CPI!B72</f>
        <v>934421.78304216859</v>
      </c>
      <c r="E6" s="35">
        <f>Data!F85</f>
        <v>1753635.3</v>
      </c>
      <c r="F6" s="11">
        <f t="shared" si="0"/>
        <v>10.909834202775041</v>
      </c>
      <c r="G6" s="11">
        <f t="shared" si="1"/>
        <v>0.84145865974061385</v>
      </c>
      <c r="H6" s="12">
        <f t="shared" si="2"/>
        <v>160846.6757215877</v>
      </c>
      <c r="I6" s="12">
        <f t="shared" si="2"/>
        <v>387456.85008502926</v>
      </c>
      <c r="J6" s="17">
        <f t="shared" si="3"/>
        <v>0.44009290580398802</v>
      </c>
      <c r="K6" s="17">
        <f t="shared" si="4"/>
        <v>1.4848892143002277</v>
      </c>
      <c r="L6" s="18">
        <f t="shared" si="5"/>
        <v>0.6700650900841022</v>
      </c>
      <c r="M6" s="18">
        <f t="shared" si="14"/>
        <v>0.93121341318787965</v>
      </c>
      <c r="N6" s="30">
        <f>'Top 1% Labor Share'!C23</f>
        <v>7.9400002999999997E-2</v>
      </c>
      <c r="O6" s="30">
        <f>'Top 10% Labor Share'!C23 - N6</f>
        <v>0.22940000700000002</v>
      </c>
      <c r="P6" s="30">
        <f t="shared" si="6"/>
        <v>0.6911999900000001</v>
      </c>
      <c r="Q6" s="47">
        <f t="shared" si="7"/>
        <v>0.6700650900841022</v>
      </c>
      <c r="R6" s="47">
        <f t="shared" si="8"/>
        <v>0.26114832310377745</v>
      </c>
      <c r="S6" s="47">
        <f t="shared" si="9"/>
        <v>6.8786586812120354E-2</v>
      </c>
      <c r="T6" s="48">
        <f t="shared" si="15"/>
        <v>0.3299349099158978</v>
      </c>
      <c r="U6" s="49">
        <f t="shared" si="10"/>
        <v>0.44815728060644222</v>
      </c>
      <c r="V6" s="30">
        <f t="shared" si="11"/>
        <v>0.15429485136206145</v>
      </c>
      <c r="W6" s="30">
        <f t="shared" si="12"/>
        <v>-0.12157197000710207</v>
      </c>
      <c r="X6" s="30">
        <f t="shared" si="13"/>
        <v>3.1541562496928632E-2</v>
      </c>
    </row>
    <row r="7" spans="1:27" x14ac:dyDescent="0.5">
      <c r="A7" s="10">
        <v>1984</v>
      </c>
      <c r="B7" s="12">
        <f>'Minimum Deflation Total'!F7</f>
        <v>5996.5</v>
      </c>
      <c r="C7" s="12">
        <f>'Average Labor Income'!C24 *251.1 / CPI!B73</f>
        <v>78527.837044273329</v>
      </c>
      <c r="D7" s="12">
        <f>'99.9% Threshold Labor'!C24 * 251.1 / CPI!B73</f>
        <v>1025161.8131953801</v>
      </c>
      <c r="E7" s="35">
        <f>Data!F86</f>
        <v>2137888</v>
      </c>
      <c r="F7" s="11">
        <f t="shared" si="0"/>
        <v>10.904065394853202</v>
      </c>
      <c r="G7" s="11">
        <f t="shared" si="1"/>
        <v>0.85690496332588972</v>
      </c>
      <c r="H7" s="12">
        <f t="shared" si="2"/>
        <v>163118.67659292364</v>
      </c>
      <c r="I7" s="12">
        <f t="shared" si="2"/>
        <v>399322.41792628553</v>
      </c>
      <c r="J7" s="17">
        <f t="shared" si="3"/>
        <v>0.42464660221870998</v>
      </c>
      <c r="K7" s="17">
        <f t="shared" si="4"/>
        <v>1.46944291071495</v>
      </c>
      <c r="L7" s="18">
        <f t="shared" si="5"/>
        <v>0.66445284234069224</v>
      </c>
      <c r="M7" s="18">
        <f t="shared" si="14"/>
        <v>0.92914365216299055</v>
      </c>
      <c r="N7" s="30">
        <f>'Top 1% Labor Share'!C24</f>
        <v>8.5500002000000005E-2</v>
      </c>
      <c r="O7" s="30">
        <f>'Top 10% Labor Share'!C24 - N7</f>
        <v>0.228899988</v>
      </c>
      <c r="P7" s="30">
        <f t="shared" si="6"/>
        <v>0.68560001000000004</v>
      </c>
      <c r="Q7" s="47">
        <f t="shared" si="7"/>
        <v>0.66445284234069224</v>
      </c>
      <c r="R7" s="47">
        <f t="shared" si="8"/>
        <v>0.26469080982229831</v>
      </c>
      <c r="S7" s="47">
        <f t="shared" si="9"/>
        <v>7.0856347837009448E-2</v>
      </c>
      <c r="T7" s="48">
        <f t="shared" si="15"/>
        <v>0.33554715765930776</v>
      </c>
      <c r="U7" s="49">
        <f t="shared" si="10"/>
        <v>0.45543432045983101</v>
      </c>
      <c r="V7" s="30">
        <f t="shared" si="11"/>
        <v>0.20666679288460221</v>
      </c>
      <c r="W7" s="30">
        <f t="shared" si="12"/>
        <v>-0.13521747070223811</v>
      </c>
      <c r="X7" s="30">
        <f t="shared" si="13"/>
        <v>3.182643870528401E-2</v>
      </c>
    </row>
    <row r="8" spans="1:27" x14ac:dyDescent="0.5">
      <c r="A8">
        <v>1985</v>
      </c>
      <c r="B8" s="12">
        <f>'Minimum Deflation Total'!F8</f>
        <v>5996.5</v>
      </c>
      <c r="C8" s="12">
        <f>'Average Labor Income'!C25 *251.1 / CPI!B74</f>
        <v>77407.180410780667</v>
      </c>
      <c r="D8" s="12">
        <f>'99.9% Threshold Labor'!C25 * 251.1 / CPI!B74</f>
        <v>1030021.7912732342</v>
      </c>
      <c r="E8" s="35">
        <f>Data!F87</f>
        <v>2172435.7999999998</v>
      </c>
      <c r="F8" s="11">
        <f t="shared" si="0"/>
        <v>10.889016002500886</v>
      </c>
      <c r="G8" s="11">
        <f t="shared" si="1"/>
        <v>0.85769321198103354</v>
      </c>
      <c r="H8" s="12">
        <f t="shared" si="2"/>
        <v>160844.61940093708</v>
      </c>
      <c r="I8" s="12">
        <f t="shared" si="2"/>
        <v>394079.83031622675</v>
      </c>
      <c r="J8" s="17">
        <f t="shared" si="3"/>
        <v>0.42385835356356777</v>
      </c>
      <c r="K8" s="17">
        <f t="shared" si="4"/>
        <v>1.4686546620598087</v>
      </c>
      <c r="L8" s="18">
        <f t="shared" si="5"/>
        <v>0.66416544090894358</v>
      </c>
      <c r="M8" s="18">
        <f t="shared" si="14"/>
        <v>0.92903675974164912</v>
      </c>
      <c r="N8" s="30">
        <f>'Top 1% Labor Share'!C25</f>
        <v>8.6499995999999996E-2</v>
      </c>
      <c r="O8" s="30">
        <f>'Top 10% Labor Share'!C25 - N8</f>
        <v>0.23129999399999998</v>
      </c>
      <c r="P8" s="30">
        <f t="shared" si="6"/>
        <v>0.68220000999999997</v>
      </c>
      <c r="Q8" s="47">
        <f t="shared" si="7"/>
        <v>0.66416544090894358</v>
      </c>
      <c r="R8" s="47">
        <f t="shared" si="8"/>
        <v>0.26487131883270554</v>
      </c>
      <c r="S8" s="47">
        <f t="shared" si="9"/>
        <v>7.0963240258350879E-2</v>
      </c>
      <c r="T8" s="48">
        <f t="shared" si="15"/>
        <v>0.33583455909105642</v>
      </c>
      <c r="U8" s="49">
        <f t="shared" si="10"/>
        <v>0.4558043963931464</v>
      </c>
      <c r="V8" s="30">
        <f t="shared" si="11"/>
        <v>0.21894090074079964</v>
      </c>
      <c r="W8" s="30">
        <f t="shared" si="12"/>
        <v>-0.12674579105301098</v>
      </c>
      <c r="X8" s="30">
        <f t="shared" si="13"/>
        <v>2.71537300501139E-2</v>
      </c>
    </row>
    <row r="9" spans="1:27" x14ac:dyDescent="0.5">
      <c r="A9" s="10">
        <v>1986</v>
      </c>
      <c r="B9" s="12">
        <f>'Minimum Deflation Total'!F9</f>
        <v>5996.5</v>
      </c>
      <c r="C9" s="12">
        <f>'Average Labor Income'!C26 *251.1 / CPI!B75</f>
        <v>77993.121695255482</v>
      </c>
      <c r="D9" s="12">
        <f>'99.9% Threshold Labor'!C26 * 251.1 / CPI!B75</f>
        <v>1028659.8111405108</v>
      </c>
      <c r="E9" s="35">
        <f>Data!F88</f>
        <v>2020971.3</v>
      </c>
      <c r="F9" s="11">
        <f t="shared" si="0"/>
        <v>10.89674621504764</v>
      </c>
      <c r="G9" s="11">
        <f t="shared" si="1"/>
        <v>0.85747268567755963</v>
      </c>
      <c r="H9" s="12">
        <f t="shared" si="2"/>
        <v>162046.99711488458</v>
      </c>
      <c r="I9" s="12">
        <f t="shared" si="2"/>
        <v>396934.26809896721</v>
      </c>
      <c r="J9" s="17">
        <f t="shared" si="3"/>
        <v>0.42407887986704179</v>
      </c>
      <c r="K9" s="17">
        <f t="shared" si="4"/>
        <v>1.4688751883632822</v>
      </c>
      <c r="L9" s="18">
        <f t="shared" si="5"/>
        <v>0.66424585615204734</v>
      </c>
      <c r="M9" s="18">
        <f t="shared" si="14"/>
        <v>0.92906667723120229</v>
      </c>
      <c r="N9" s="30">
        <f>'Top 1% Labor Share'!C26</f>
        <v>8.6800002000000001E-2</v>
      </c>
      <c r="O9" s="30">
        <f>'Top 10% Labor Share'!C26 - N9</f>
        <v>0.23379999800000001</v>
      </c>
      <c r="P9" s="30">
        <f t="shared" si="6"/>
        <v>0.67939999999999989</v>
      </c>
      <c r="Q9" s="47">
        <f t="shared" si="7"/>
        <v>0.66424585615204734</v>
      </c>
      <c r="R9" s="47">
        <f t="shared" si="8"/>
        <v>0.26482082107915494</v>
      </c>
      <c r="S9" s="47">
        <f t="shared" si="9"/>
        <v>7.0933322768797713E-2</v>
      </c>
      <c r="T9" s="48">
        <f t="shared" si="15"/>
        <v>0.33575414384795266</v>
      </c>
      <c r="U9" s="49">
        <f t="shared" si="10"/>
        <v>0.45570087379734425</v>
      </c>
      <c r="V9" s="30">
        <f t="shared" si="11"/>
        <v>0.2236844209726172</v>
      </c>
      <c r="W9" s="30">
        <f t="shared" si="12"/>
        <v>-0.1171389128420639</v>
      </c>
      <c r="X9" s="30">
        <f t="shared" si="13"/>
        <v>2.2814058541125171E-2</v>
      </c>
    </row>
    <row r="10" spans="1:27" x14ac:dyDescent="0.5">
      <c r="A10">
        <v>1987</v>
      </c>
      <c r="B10" s="12">
        <f>'Minimum Deflation Total'!F10</f>
        <v>5996.5</v>
      </c>
      <c r="C10" s="12">
        <f>'Average Labor Income'!C27 *251.1 / CPI!B76</f>
        <v>77619.295941021133</v>
      </c>
      <c r="D10" s="12">
        <f>'99.9% Threshold Labor'!C27 * 251.1 / CPI!B76</f>
        <v>1162467.2952728875</v>
      </c>
      <c r="E10" s="35">
        <f>Data!F89</f>
        <v>2321181.5</v>
      </c>
      <c r="F10" s="11">
        <f t="shared" si="0"/>
        <v>10.874257506036205</v>
      </c>
      <c r="G10" s="11">
        <f t="shared" si="1"/>
        <v>0.87785400637958977</v>
      </c>
      <c r="H10" s="12">
        <f t="shared" si="2"/>
        <v>162636.46000479395</v>
      </c>
      <c r="I10" s="12">
        <f t="shared" si="2"/>
        <v>406952.31992292317</v>
      </c>
      <c r="J10" s="17">
        <f t="shared" si="3"/>
        <v>0.40369755916501193</v>
      </c>
      <c r="K10" s="17">
        <f t="shared" si="4"/>
        <v>1.4484938676612524</v>
      </c>
      <c r="L10" s="18">
        <f t="shared" si="5"/>
        <v>0.65678243264594172</v>
      </c>
      <c r="M10" s="18">
        <f t="shared" si="14"/>
        <v>0.92626051010810873</v>
      </c>
      <c r="N10" s="30">
        <f>'Top 1% Labor Share'!C27</f>
        <v>9.4899997E-2</v>
      </c>
      <c r="O10" s="30">
        <f>'Top 10% Labor Share'!C27 - N10</f>
        <v>0.23450000300000001</v>
      </c>
      <c r="P10" s="30">
        <f t="shared" si="6"/>
        <v>0.67060000000000008</v>
      </c>
      <c r="Q10" s="47">
        <f t="shared" si="7"/>
        <v>0.65678243264594172</v>
      </c>
      <c r="R10" s="47">
        <f t="shared" si="8"/>
        <v>0.26947807746216701</v>
      </c>
      <c r="S10" s="47">
        <f t="shared" si="9"/>
        <v>7.3739489891891274E-2</v>
      </c>
      <c r="T10" s="48">
        <f t="shared" si="15"/>
        <v>0.34321756735405828</v>
      </c>
      <c r="U10" s="49">
        <f t="shared" si="10"/>
        <v>0.46522700399170991</v>
      </c>
      <c r="V10" s="30">
        <f t="shared" si="11"/>
        <v>0.28696302536309837</v>
      </c>
      <c r="W10" s="30">
        <f t="shared" si="12"/>
        <v>-0.12979933207025973</v>
      </c>
      <c r="X10" s="30">
        <f t="shared" si="13"/>
        <v>2.1038271834391775E-2</v>
      </c>
    </row>
    <row r="11" spans="1:27" x14ac:dyDescent="0.5">
      <c r="A11" s="10">
        <v>1988</v>
      </c>
      <c r="B11" s="12">
        <f>'Minimum Deflation Total'!F11</f>
        <v>5996.5</v>
      </c>
      <c r="C11" s="12">
        <f>'Average Labor Income'!C28 *251.1 / CPI!B77</f>
        <v>77426.254118343189</v>
      </c>
      <c r="D11" s="12">
        <f>'99.9% Threshold Labor'!C28 * 251.1 / CPI!B77</f>
        <v>1328375.5240321218</v>
      </c>
      <c r="E11" s="35">
        <f>Data!F90</f>
        <v>2981249.3</v>
      </c>
      <c r="F11" s="11">
        <f t="shared" si="0"/>
        <v>10.852000783791901</v>
      </c>
      <c r="G11" s="11">
        <f t="shared" si="1"/>
        <v>0.90008934974904131</v>
      </c>
      <c r="H11" s="12">
        <f t="shared" si="2"/>
        <v>163654.32355321565</v>
      </c>
      <c r="I11" s="12">
        <f t="shared" si="2"/>
        <v>419123.84542070853</v>
      </c>
      <c r="J11" s="17">
        <f t="shared" si="3"/>
        <v>0.38146221579555917</v>
      </c>
      <c r="K11" s="17">
        <f t="shared" si="4"/>
        <v>1.4262585242917989</v>
      </c>
      <c r="L11" s="18">
        <f t="shared" si="5"/>
        <v>0.64856984854833621</v>
      </c>
      <c r="M11" s="18">
        <f t="shared" si="14"/>
        <v>0.92310313402501332</v>
      </c>
      <c r="N11" s="30">
        <f>'Top 1% Labor Share'!C28</f>
        <v>0.10730000000000001</v>
      </c>
      <c r="O11" s="30">
        <f>'Top 10% Labor Share'!C28 - N11</f>
        <v>0.23330001</v>
      </c>
      <c r="P11" s="30">
        <f t="shared" si="6"/>
        <v>0.65939999000000005</v>
      </c>
      <c r="Q11" s="47">
        <f t="shared" si="7"/>
        <v>0.64856984854833621</v>
      </c>
      <c r="R11" s="47">
        <f t="shared" si="8"/>
        <v>0.2745332854766771</v>
      </c>
      <c r="S11" s="47">
        <f t="shared" si="9"/>
        <v>7.6896865974986683E-2</v>
      </c>
      <c r="T11" s="48">
        <f t="shared" si="15"/>
        <v>0.35143015145166379</v>
      </c>
      <c r="U11" s="49">
        <f t="shared" si="10"/>
        <v>0.47552288828629985</v>
      </c>
      <c r="V11" s="30">
        <f t="shared" si="11"/>
        <v>0.39537546347991581</v>
      </c>
      <c r="W11" s="30">
        <f t="shared" si="12"/>
        <v>-0.15019408449901805</v>
      </c>
      <c r="X11" s="30">
        <f t="shared" si="13"/>
        <v>1.6698496662933771E-2</v>
      </c>
    </row>
    <row r="12" spans="1:27" x14ac:dyDescent="0.5">
      <c r="A12">
        <v>1989</v>
      </c>
      <c r="B12" s="12">
        <f>'Minimum Deflation Total'!F12</f>
        <v>5996.5</v>
      </c>
      <c r="C12" s="12">
        <f>'Average Labor Income'!C29 *251.1 / CPI!B78</f>
        <v>74781.018450000003</v>
      </c>
      <c r="D12" s="12">
        <f>'99.9% Threshold Labor'!C29 * 251.1 / CPI!B78</f>
        <v>1228381.5847499997</v>
      </c>
      <c r="E12" s="35">
        <f>Data!F91</f>
        <v>2796015</v>
      </c>
      <c r="F12" s="11">
        <f t="shared" si="0"/>
        <v>10.828893941731446</v>
      </c>
      <c r="G12" s="11">
        <f t="shared" si="1"/>
        <v>0.8870461385859798</v>
      </c>
      <c r="H12" s="12">
        <f t="shared" si="2"/>
        <v>157265.27518663445</v>
      </c>
      <c r="I12" s="12">
        <f t="shared" si="2"/>
        <v>397309.89233867463</v>
      </c>
      <c r="J12" s="17">
        <f t="shared" si="3"/>
        <v>0.39450542695862112</v>
      </c>
      <c r="K12" s="17">
        <f t="shared" si="4"/>
        <v>1.4393017354548601</v>
      </c>
      <c r="L12" s="18">
        <f t="shared" si="5"/>
        <v>0.65339603935426305</v>
      </c>
      <c r="M12" s="18">
        <f t="shared" si="14"/>
        <v>0.92496747431886295</v>
      </c>
      <c r="N12" s="30">
        <f>'Top 1% Labor Share'!C29</f>
        <v>0.1022</v>
      </c>
      <c r="O12" s="30">
        <f>'Top 10% Labor Share'!C29 - N12</f>
        <v>0.23640000999999999</v>
      </c>
      <c r="P12" s="30">
        <f t="shared" si="6"/>
        <v>0.66139999000000005</v>
      </c>
      <c r="Q12" s="47">
        <f t="shared" si="7"/>
        <v>0.65339603935426305</v>
      </c>
      <c r="R12" s="47">
        <f t="shared" si="8"/>
        <v>0.2715714349645999</v>
      </c>
      <c r="S12" s="47">
        <f t="shared" si="9"/>
        <v>7.5032525681137052E-2</v>
      </c>
      <c r="T12" s="48">
        <f t="shared" si="15"/>
        <v>0.34660396064573695</v>
      </c>
      <c r="U12" s="49">
        <f t="shared" si="10"/>
        <v>0.46949567428814376</v>
      </c>
      <c r="V12" s="30">
        <f t="shared" si="11"/>
        <v>0.36207596735201952</v>
      </c>
      <c r="W12" s="30">
        <f t="shared" si="12"/>
        <v>-0.12951076746781043</v>
      </c>
      <c r="X12" s="30">
        <f t="shared" si="13"/>
        <v>1.2249769150188161E-2</v>
      </c>
    </row>
    <row r="13" spans="1:27" x14ac:dyDescent="0.5">
      <c r="A13" s="10">
        <v>1990</v>
      </c>
      <c r="B13" s="12">
        <f>'Minimum Deflation Total'!F13</f>
        <v>6802</v>
      </c>
      <c r="C13" s="12">
        <f>'Average Labor Income'!C30 *251.1 / CPI!B79</f>
        <v>71164.470016067338</v>
      </c>
      <c r="D13" s="12">
        <f>'99.9% Threshold Labor'!C30 * 251.1 / CPI!B79</f>
        <v>1189309.8478806429</v>
      </c>
      <c r="E13" s="35">
        <f>Data!F92</f>
        <v>2801138.5</v>
      </c>
      <c r="F13" s="11">
        <f t="shared" si="0"/>
        <v>10.802388056443954</v>
      </c>
      <c r="G13" s="11">
        <f t="shared" si="1"/>
        <v>0.86065196191911486</v>
      </c>
      <c r="H13" s="12">
        <f t="shared" ref="H13:I37" si="16">_xlfn.LOGNORM.INV(H$2,$F13,$G13)</f>
        <v>148057.78646525872</v>
      </c>
      <c r="I13" s="12">
        <f t="shared" si="16"/>
        <v>363874.35859651642</v>
      </c>
      <c r="J13" s="17">
        <f t="shared" si="3"/>
        <v>0.42089960362548667</v>
      </c>
      <c r="K13" s="17">
        <f t="shared" si="4"/>
        <v>1.4656959121217257</v>
      </c>
      <c r="L13" s="18">
        <f t="shared" si="5"/>
        <v>0.66308580266334005</v>
      </c>
      <c r="M13" s="18">
        <f t="shared" si="14"/>
        <v>0.92863442583170586</v>
      </c>
      <c r="N13" s="30">
        <f>'Top 1% Labor Share'!C30</f>
        <v>0.1043</v>
      </c>
      <c r="O13" s="30">
        <f>'Top 10% Labor Share'!C30 - N13</f>
        <v>0.23620000000000002</v>
      </c>
      <c r="P13" s="30">
        <f t="shared" si="6"/>
        <v>0.65949999999999998</v>
      </c>
      <c r="Q13" s="47">
        <f t="shared" si="7"/>
        <v>0.66308580266334005</v>
      </c>
      <c r="R13" s="47">
        <f t="shared" si="8"/>
        <v>0.2655486231683658</v>
      </c>
      <c r="S13" s="47">
        <f t="shared" si="9"/>
        <v>7.1365574168294144E-2</v>
      </c>
      <c r="T13" s="48">
        <f t="shared" si="15"/>
        <v>0.33691419733665995</v>
      </c>
      <c r="U13" s="49">
        <f t="shared" si="10"/>
        <v>0.45719238745071156</v>
      </c>
      <c r="V13" s="30">
        <f t="shared" si="11"/>
        <v>0.46148897722086524</v>
      </c>
      <c r="W13" s="30">
        <f t="shared" si="12"/>
        <v>-0.11052071299860544</v>
      </c>
      <c r="X13" s="30">
        <f t="shared" si="13"/>
        <v>-5.4077506243346285E-3</v>
      </c>
    </row>
    <row r="14" spans="1:27" x14ac:dyDescent="0.5">
      <c r="A14">
        <v>1991</v>
      </c>
      <c r="B14" s="12">
        <f>'Minimum Deflation Total'!F14</f>
        <v>7607.5</v>
      </c>
      <c r="C14" s="12">
        <f>'Average Labor Income'!C31 *251.1 / CPI!B80</f>
        <v>66752.781660792956</v>
      </c>
      <c r="D14" s="12">
        <f>'99.9% Threshold Labor'!C31 * 251.1 / CPI!B80</f>
        <v>1028614.7049779736</v>
      </c>
      <c r="E14" s="35">
        <f>Data!F93</f>
        <v>2539294.5</v>
      </c>
      <c r="F14" s="11">
        <f t="shared" si="0"/>
        <v>10.774348244899395</v>
      </c>
      <c r="G14" s="11">
        <f t="shared" si="1"/>
        <v>0.8178056044264812</v>
      </c>
      <c r="H14" s="12">
        <f t="shared" si="16"/>
        <v>136272.01774022228</v>
      </c>
      <c r="I14" s="12">
        <f t="shared" si="16"/>
        <v>320247.23125108884</v>
      </c>
      <c r="J14" s="17">
        <f t="shared" si="3"/>
        <v>0.46374596111811889</v>
      </c>
      <c r="K14" s="17">
        <f t="shared" si="4"/>
        <v>1.5085422696143596</v>
      </c>
      <c r="L14" s="18">
        <f t="shared" si="5"/>
        <v>0.67858511806376698</v>
      </c>
      <c r="M14" s="18">
        <f t="shared" si="14"/>
        <v>0.93429210159428833</v>
      </c>
      <c r="N14" s="30">
        <f>'Top 1% Labor Share'!C31</f>
        <v>9.8399997000000003E-2</v>
      </c>
      <c r="O14" s="30">
        <f>'Top 10% Labor Share'!C31 - N14</f>
        <v>0.24090001299999997</v>
      </c>
      <c r="P14" s="30">
        <f t="shared" si="6"/>
        <v>0.66069999000000001</v>
      </c>
      <c r="Q14" s="47">
        <f t="shared" si="7"/>
        <v>0.67858511806376698</v>
      </c>
      <c r="R14" s="47">
        <f t="shared" si="8"/>
        <v>0.25570698353052135</v>
      </c>
      <c r="S14" s="47">
        <f t="shared" si="9"/>
        <v>6.5707898405711673E-2</v>
      </c>
      <c r="T14" s="48">
        <f t="shared" si="15"/>
        <v>0.32141488193623302</v>
      </c>
      <c r="U14" s="49">
        <f t="shared" si="10"/>
        <v>0.43692212967674116</v>
      </c>
      <c r="V14" s="30">
        <f t="shared" si="11"/>
        <v>0.49753681653964699</v>
      </c>
      <c r="W14" s="30">
        <f t="shared" si="12"/>
        <v>-5.7906007595424192E-2</v>
      </c>
      <c r="X14" s="30">
        <f t="shared" si="13"/>
        <v>-2.6356499115098964E-2</v>
      </c>
    </row>
    <row r="15" spans="1:27" x14ac:dyDescent="0.5">
      <c r="A15" s="10">
        <v>1992</v>
      </c>
      <c r="B15" s="12">
        <f>'Minimum Deflation Total'!F15</f>
        <v>7607.5</v>
      </c>
      <c r="C15" s="12">
        <f>'Average Labor Income'!C32 *251.1 / CPI!B81</f>
        <v>66273.222111190291</v>
      </c>
      <c r="D15" s="12">
        <f>'99.9% Threshold Labor'!C32 * 251.1 / CPI!B81</f>
        <v>1111775.9081824659</v>
      </c>
      <c r="E15" s="35">
        <f>Data!F94</f>
        <v>2916203</v>
      </c>
      <c r="F15" s="11">
        <f t="shared" si="0"/>
        <v>10.756457439585096</v>
      </c>
      <c r="G15" s="11">
        <f t="shared" si="1"/>
        <v>0.8307632217157872</v>
      </c>
      <c r="H15" s="12">
        <f t="shared" si="16"/>
        <v>136097.02738148722</v>
      </c>
      <c r="I15" s="12">
        <f t="shared" si="16"/>
        <v>324195.39832852909</v>
      </c>
      <c r="J15" s="17">
        <f t="shared" si="3"/>
        <v>0.45078834382881278</v>
      </c>
      <c r="K15" s="17">
        <f t="shared" si="4"/>
        <v>1.4955846523250522</v>
      </c>
      <c r="L15" s="18">
        <f t="shared" si="5"/>
        <v>0.67392894848053353</v>
      </c>
      <c r="M15" s="18">
        <f t="shared" si="14"/>
        <v>0.93261903745811892</v>
      </c>
      <c r="N15" s="30">
        <f>'Top 1% Labor Share'!C32</f>
        <v>0.1087</v>
      </c>
      <c r="O15" s="30">
        <f>'Top 10% Labor Share'!C32 - N15</f>
        <v>0.24169999999999997</v>
      </c>
      <c r="P15" s="30">
        <f t="shared" si="6"/>
        <v>0.64959999999999996</v>
      </c>
      <c r="Q15" s="47">
        <f t="shared" si="7"/>
        <v>0.67392894848053353</v>
      </c>
      <c r="R15" s="47">
        <f t="shared" si="8"/>
        <v>0.25869008897758539</v>
      </c>
      <c r="S15" s="47">
        <f t="shared" si="9"/>
        <v>6.7380962541881084E-2</v>
      </c>
      <c r="T15" s="48">
        <f t="shared" si="15"/>
        <v>0.32607105151946647</v>
      </c>
      <c r="U15" s="49">
        <f t="shared" si="10"/>
        <v>0.44309062767464935</v>
      </c>
      <c r="V15" s="30">
        <f t="shared" si="11"/>
        <v>0.61321530443315941</v>
      </c>
      <c r="W15" s="30">
        <f t="shared" si="12"/>
        <v>-6.5677386577641772E-2</v>
      </c>
      <c r="X15" s="30">
        <f t="shared" si="13"/>
        <v>-3.6100168326923088E-2</v>
      </c>
    </row>
    <row r="16" spans="1:27" x14ac:dyDescent="0.5">
      <c r="A16">
        <v>1993</v>
      </c>
      <c r="B16" s="12">
        <f>'Minimum Deflation Total'!F16</f>
        <v>7607.5</v>
      </c>
      <c r="C16" s="12">
        <f>'Average Labor Income'!C33 *251.1 / CPI!B82</f>
        <v>64617.502291349483</v>
      </c>
      <c r="D16" s="12">
        <f>'99.9% Threshold Labor'!C33 * 251.1 / CPI!B82</f>
        <v>1038563.1715640139</v>
      </c>
      <c r="E16" s="35">
        <f>Data!F95</f>
        <v>2855264.5</v>
      </c>
      <c r="F16" s="11">
        <f t="shared" si="0"/>
        <v>10.740524366881795</v>
      </c>
      <c r="G16" s="11">
        <f t="shared" si="1"/>
        <v>0.81940981138344016</v>
      </c>
      <c r="H16" s="12">
        <f t="shared" si="16"/>
        <v>132010.96858838716</v>
      </c>
      <c r="I16" s="12">
        <f t="shared" si="16"/>
        <v>310753.92485598923</v>
      </c>
      <c r="J16" s="17">
        <f t="shared" si="3"/>
        <v>0.4621417541611601</v>
      </c>
      <c r="K16" s="17">
        <f t="shared" si="4"/>
        <v>1.5069380626573994</v>
      </c>
      <c r="L16" s="18">
        <f t="shared" si="5"/>
        <v>0.6780101654189743</v>
      </c>
      <c r="M16" s="18">
        <f t="shared" si="14"/>
        <v>0.93408673303714607</v>
      </c>
      <c r="N16" s="30">
        <f>'Top 1% Labor Share'!C33</f>
        <v>0.1036</v>
      </c>
      <c r="O16" s="30">
        <f>'Top 10% Labor Share'!C33 - N16</f>
        <v>0.24310001000000001</v>
      </c>
      <c r="P16" s="30">
        <f t="shared" si="6"/>
        <v>0.65329998999999994</v>
      </c>
      <c r="Q16" s="47">
        <f t="shared" si="7"/>
        <v>0.6780101654189743</v>
      </c>
      <c r="R16" s="47">
        <f t="shared" si="8"/>
        <v>0.25607656761817177</v>
      </c>
      <c r="S16" s="47">
        <f t="shared" si="9"/>
        <v>6.5913266962853934E-2</v>
      </c>
      <c r="T16" s="48">
        <f t="shared" si="15"/>
        <v>0.3219898345810257</v>
      </c>
      <c r="U16" s="49">
        <f t="shared" si="10"/>
        <v>0.43768759979764393</v>
      </c>
      <c r="V16" s="30">
        <f t="shared" si="11"/>
        <v>0.57176248081262293</v>
      </c>
      <c r="W16" s="30">
        <f t="shared" si="12"/>
        <v>-5.0674521838799169E-2</v>
      </c>
      <c r="X16" s="30">
        <f t="shared" si="13"/>
        <v>-3.644514002781174E-2</v>
      </c>
    </row>
    <row r="17" spans="1:24" x14ac:dyDescent="0.5">
      <c r="A17" s="10">
        <v>1994</v>
      </c>
      <c r="B17" s="12">
        <f>'Minimum Deflation Total'!F17</f>
        <v>7607.5</v>
      </c>
      <c r="C17" s="12">
        <f>'Average Labor Income'!C34 *251.1 / CPI!B83</f>
        <v>64074.889803643731</v>
      </c>
      <c r="D17" s="12">
        <f>'99.9% Threshold Labor'!C34 * 251.1 / CPI!B83</f>
        <v>999063.49809716619</v>
      </c>
      <c r="E17" s="35">
        <f>Data!F96</f>
        <v>2946612.5</v>
      </c>
      <c r="F17" s="11">
        <f t="shared" ref="F17:F37" si="17">LN(C17)-G17^2/2</f>
        <v>10.737366183878871</v>
      </c>
      <c r="G17" s="11">
        <f t="shared" si="1"/>
        <v>0.8129472892497388</v>
      </c>
      <c r="H17" s="12">
        <f t="shared" si="16"/>
        <v>130509.33752777133</v>
      </c>
      <c r="I17" s="12">
        <f t="shared" si="16"/>
        <v>305151.72225913923</v>
      </c>
      <c r="J17" s="17">
        <f t="shared" ref="J17:J37" si="18">(LN(H17)-($F17+$G17^2))/$G17</f>
        <v>0.46860427629486107</v>
      </c>
      <c r="K17" s="17">
        <f t="shared" ref="K17:K37" si="19">(LN(I17)-($F17+$G17^2))/$G17</f>
        <v>1.5134005847911007</v>
      </c>
      <c r="L17" s="18">
        <f t="shared" ref="L17:L37" si="20">_xlfn.NORM.DIST(J17,0,1,TRUE)</f>
        <v>0.68032373995478534</v>
      </c>
      <c r="M17" s="18">
        <f t="shared" si="14"/>
        <v>0.93491103172201961</v>
      </c>
      <c r="N17" s="30">
        <f>'Top 1% Labor Share'!C34</f>
        <v>0.1014</v>
      </c>
      <c r="O17" s="30">
        <f>'Top 10% Labor Share'!C34 - N17</f>
        <v>0.24440001</v>
      </c>
      <c r="P17" s="30">
        <f t="shared" si="6"/>
        <v>0.65419998999999995</v>
      </c>
      <c r="Q17" s="47">
        <f t="shared" si="7"/>
        <v>0.68032373995478534</v>
      </c>
      <c r="R17" s="47">
        <f t="shared" si="8"/>
        <v>0.25458729176723427</v>
      </c>
      <c r="S17" s="47">
        <f t="shared" si="9"/>
        <v>6.5088968277980386E-2</v>
      </c>
      <c r="T17" s="48">
        <f t="shared" si="15"/>
        <v>0.31967626004521466</v>
      </c>
      <c r="U17" s="49">
        <f t="shared" ref="U17:U37" si="21">2*_xlfn.NORM.DIST(G17/SQRT(2),0,1,TRUE)-1</f>
        <v>0.43460085434257412</v>
      </c>
      <c r="V17" s="30">
        <f t="shared" si="11"/>
        <v>0.55786767992608732</v>
      </c>
      <c r="W17" s="30">
        <f t="shared" si="12"/>
        <v>-4.001488721812696E-2</v>
      </c>
      <c r="X17" s="30">
        <f t="shared" si="13"/>
        <v>-3.8398998036613508E-2</v>
      </c>
    </row>
    <row r="18" spans="1:24" x14ac:dyDescent="0.5">
      <c r="A18">
        <v>1995</v>
      </c>
      <c r="B18" s="12">
        <f>'Minimum Deflation Total'!F18</f>
        <v>7607.5</v>
      </c>
      <c r="C18" s="12">
        <f>'Average Labor Income'!C35 *251.1 / CPI!B84</f>
        <v>62882.752216535424</v>
      </c>
      <c r="D18" s="12">
        <f>'99.9% Threshold Labor'!C35 * 251.1 / CPI!B84</f>
        <v>1037463.1476377952</v>
      </c>
      <c r="E18" s="35">
        <f>Data!F97</f>
        <v>3174167.3</v>
      </c>
      <c r="F18" s="11">
        <f t="shared" si="17"/>
        <v>10.713455687285993</v>
      </c>
      <c r="G18" s="11">
        <f t="shared" ref="G18:G37" si="22">(LN(D18)-LN(B18))/6</f>
        <v>0.81923318805598144</v>
      </c>
      <c r="H18" s="12">
        <f t="shared" si="16"/>
        <v>128456.45598822886</v>
      </c>
      <c r="I18" s="12">
        <f t="shared" si="16"/>
        <v>302330.80348950048</v>
      </c>
      <c r="J18" s="17">
        <f t="shared" si="18"/>
        <v>0.46231837748861965</v>
      </c>
      <c r="K18" s="17">
        <f t="shared" si="19"/>
        <v>1.5071146859848592</v>
      </c>
      <c r="L18" s="18">
        <f t="shared" si="20"/>
        <v>0.67807348866644912</v>
      </c>
      <c r="M18" s="18">
        <f t="shared" si="14"/>
        <v>0.93410936847202808</v>
      </c>
      <c r="N18" s="30">
        <f>'Top 1% Labor Share'!C35</f>
        <v>0.10630000000000001</v>
      </c>
      <c r="O18" s="30">
        <f>'Top 10% Labor Share'!C35 - N18</f>
        <v>0.24599999</v>
      </c>
      <c r="P18" s="30">
        <f t="shared" si="6"/>
        <v>0.64770000999999988</v>
      </c>
      <c r="Q18" s="47">
        <f t="shared" si="7"/>
        <v>0.67807348866644912</v>
      </c>
      <c r="R18" s="47">
        <f t="shared" si="8"/>
        <v>0.25603587980557896</v>
      </c>
      <c r="S18" s="47">
        <f t="shared" si="9"/>
        <v>6.5890631527971921E-2</v>
      </c>
      <c r="T18" s="48">
        <f t="shared" si="15"/>
        <v>0.32192651133355088</v>
      </c>
      <c r="U18" s="49">
        <f t="shared" si="21"/>
        <v>0.43760334609654872</v>
      </c>
      <c r="V18" s="30">
        <f t="shared" si="11"/>
        <v>0.61327942280950043</v>
      </c>
      <c r="W18" s="30">
        <f t="shared" si="12"/>
        <v>-3.9197200850129787E-2</v>
      </c>
      <c r="X18" s="30">
        <f t="shared" si="13"/>
        <v>-4.479378588622307E-2</v>
      </c>
    </row>
    <row r="19" spans="1:24" x14ac:dyDescent="0.5">
      <c r="A19" s="10">
        <v>1996</v>
      </c>
      <c r="B19" s="12">
        <f>'Minimum Deflation Total'!F19</f>
        <v>8502.5</v>
      </c>
      <c r="C19" s="12">
        <f>'Average Labor Income'!C36 *251.1 / CPI!B85</f>
        <v>62394.108986615669</v>
      </c>
      <c r="D19" s="12">
        <f>'99.9% Threshold Labor'!C36 * 251.1 / CPI!B85</f>
        <v>1085962.0971510515</v>
      </c>
      <c r="E19" s="35">
        <f>Data!F98</f>
        <v>3537075</v>
      </c>
      <c r="F19" s="11">
        <f t="shared" si="17"/>
        <v>10.714543431280385</v>
      </c>
      <c r="G19" s="11">
        <f t="shared" si="22"/>
        <v>0.80831022677523234</v>
      </c>
      <c r="H19" s="12">
        <f t="shared" si="16"/>
        <v>126808.66667860214</v>
      </c>
      <c r="I19" s="12">
        <f t="shared" si="16"/>
        <v>295065.96158018435</v>
      </c>
      <c r="J19" s="17">
        <f t="shared" si="18"/>
        <v>0.4732413387693683</v>
      </c>
      <c r="K19" s="17">
        <f t="shared" si="19"/>
        <v>1.5180376472656092</v>
      </c>
      <c r="L19" s="18">
        <f t="shared" si="20"/>
        <v>0.68197949595557628</v>
      </c>
      <c r="M19" s="18">
        <f t="shared" si="14"/>
        <v>0.93549754585630229</v>
      </c>
      <c r="N19" s="30">
        <f>'Top 1% Labor Share'!C36</f>
        <v>0.1129</v>
      </c>
      <c r="O19" s="30">
        <f>'Top 10% Labor Share'!C36 - N19</f>
        <v>0.24780001000000001</v>
      </c>
      <c r="P19" s="30">
        <f t="shared" si="6"/>
        <v>0.63929999000000004</v>
      </c>
      <c r="Q19" s="47">
        <f t="shared" si="7"/>
        <v>0.68197949595557628</v>
      </c>
      <c r="R19" s="47">
        <f t="shared" si="8"/>
        <v>0.25351804990072602</v>
      </c>
      <c r="S19" s="47">
        <f t="shared" si="9"/>
        <v>6.4502454143697707E-2</v>
      </c>
      <c r="T19" s="48">
        <f t="shared" si="15"/>
        <v>0.31802050404442372</v>
      </c>
      <c r="U19" s="49">
        <f t="shared" si="21"/>
        <v>0.43238101219462921</v>
      </c>
      <c r="V19" s="30">
        <f t="shared" si="11"/>
        <v>0.75032099939147878</v>
      </c>
      <c r="W19" s="30">
        <f t="shared" si="12"/>
        <v>-2.2554764455489873E-2</v>
      </c>
      <c r="X19" s="30">
        <f t="shared" si="13"/>
        <v>-6.2581802251656438E-2</v>
      </c>
    </row>
    <row r="20" spans="1:24" x14ac:dyDescent="0.5">
      <c r="A20">
        <v>1997</v>
      </c>
      <c r="B20" s="12">
        <f>'Minimum Deflation Total'!F20</f>
        <v>9218.5</v>
      </c>
      <c r="C20" s="12">
        <f>'Average Labor Income'!C37 *251.1 / CPI!B86</f>
        <v>62960.551166355137</v>
      </c>
      <c r="D20" s="12">
        <f>'99.9% Threshold Labor'!C37 * 251.1 / CPI!B86</f>
        <v>1173882.6280934578</v>
      </c>
      <c r="E20" s="35">
        <f>Data!F99</f>
        <v>3927835</v>
      </c>
      <c r="F20" s="11">
        <f t="shared" si="17"/>
        <v>10.72398518167161</v>
      </c>
      <c r="G20" s="11">
        <f t="shared" si="22"/>
        <v>0.80780994746524737</v>
      </c>
      <c r="H20" s="12">
        <f t="shared" si="16"/>
        <v>127929.58630026622</v>
      </c>
      <c r="I20" s="12">
        <f t="shared" si="16"/>
        <v>297518.63349005312</v>
      </c>
      <c r="J20" s="17">
        <f t="shared" si="18"/>
        <v>0.47374161807935156</v>
      </c>
      <c r="K20" s="17">
        <f t="shared" si="19"/>
        <v>1.5185379265755923</v>
      </c>
      <c r="L20" s="18">
        <f t="shared" si="20"/>
        <v>0.68215791428014316</v>
      </c>
      <c r="M20" s="18">
        <f t="shared" si="14"/>
        <v>0.9355605770121157</v>
      </c>
      <c r="N20" s="30">
        <f>'Top 1% Labor Share'!C37</f>
        <v>0.1198</v>
      </c>
      <c r="O20" s="30">
        <f>'Top 10% Labor Share'!C37 - N20</f>
        <v>0.24790001</v>
      </c>
      <c r="P20" s="30">
        <f t="shared" si="6"/>
        <v>0.63229999000000003</v>
      </c>
      <c r="Q20" s="47">
        <f t="shared" si="7"/>
        <v>0.68215791428014316</v>
      </c>
      <c r="R20" s="47">
        <f t="shared" si="8"/>
        <v>0.25340266273197254</v>
      </c>
      <c r="S20" s="47">
        <f t="shared" si="9"/>
        <v>6.4439422987884298E-2</v>
      </c>
      <c r="T20" s="48">
        <f t="shared" si="15"/>
        <v>0.31784208571985684</v>
      </c>
      <c r="U20" s="49">
        <f t="shared" si="21"/>
        <v>0.43214127067536623</v>
      </c>
      <c r="V20" s="30">
        <f t="shared" si="11"/>
        <v>0.85911037754829733</v>
      </c>
      <c r="W20" s="30">
        <f t="shared" si="12"/>
        <v>-2.1715054895823149E-2</v>
      </c>
      <c r="X20" s="30">
        <f t="shared" si="13"/>
        <v>-7.3088537472670745E-2</v>
      </c>
    </row>
    <row r="21" spans="1:24" x14ac:dyDescent="0.5">
      <c r="A21" s="10">
        <v>1998</v>
      </c>
      <c r="B21" s="12">
        <f>'Minimum Deflation Total'!F21</f>
        <v>9218.5</v>
      </c>
      <c r="C21" s="12">
        <f>'Average Labor Income'!C38 *251.1 / CPI!B87</f>
        <v>65284.766066871161</v>
      </c>
      <c r="D21" s="12">
        <f>'99.9% Threshold Labor'!C38 * 251.1 / CPI!B87</f>
        <v>1258383.228791411</v>
      </c>
      <c r="E21" s="35">
        <f>Data!F100</f>
        <v>4118277.3</v>
      </c>
      <c r="F21" s="11">
        <f t="shared" si="17"/>
        <v>10.750809819370996</v>
      </c>
      <c r="G21" s="11">
        <f t="shared" si="22"/>
        <v>0.81939511495337525</v>
      </c>
      <c r="H21" s="12">
        <f t="shared" si="16"/>
        <v>133373.25588453951</v>
      </c>
      <c r="I21" s="12">
        <f t="shared" si="16"/>
        <v>313955.92947266076</v>
      </c>
      <c r="J21" s="17">
        <f t="shared" si="18"/>
        <v>0.46215645059122673</v>
      </c>
      <c r="K21" s="17">
        <f t="shared" si="19"/>
        <v>1.5069527590874667</v>
      </c>
      <c r="L21" s="18">
        <f t="shared" si="20"/>
        <v>0.67801543460123648</v>
      </c>
      <c r="M21" s="18">
        <f t="shared" si="14"/>
        <v>0.93408861671061449</v>
      </c>
      <c r="N21" s="30">
        <f>'Top 1% Labor Share'!C38</f>
        <v>0.1245</v>
      </c>
      <c r="O21" s="30">
        <f>'Top 10% Labor Share'!C38 - N21</f>
        <v>0.24860000999999998</v>
      </c>
      <c r="P21" s="30">
        <f t="shared" si="6"/>
        <v>0.62689999000000007</v>
      </c>
      <c r="Q21" s="47">
        <f t="shared" si="7"/>
        <v>0.67801543460123648</v>
      </c>
      <c r="R21" s="47">
        <f t="shared" si="8"/>
        <v>0.25607318210937802</v>
      </c>
      <c r="S21" s="47">
        <f t="shared" si="9"/>
        <v>6.5911383289385506E-2</v>
      </c>
      <c r="T21" s="48">
        <f t="shared" si="15"/>
        <v>0.32198456539876352</v>
      </c>
      <c r="U21" s="49">
        <f t="shared" si="21"/>
        <v>0.4376805894690885</v>
      </c>
      <c r="V21" s="30">
        <f t="shared" si="11"/>
        <v>0.88889981952555552</v>
      </c>
      <c r="W21" s="30">
        <f t="shared" si="12"/>
        <v>-2.9183735867295835E-2</v>
      </c>
      <c r="X21" s="30">
        <f t="shared" si="13"/>
        <v>-7.5389794970226798E-2</v>
      </c>
    </row>
    <row r="22" spans="1:24" x14ac:dyDescent="0.5">
      <c r="A22">
        <v>1999</v>
      </c>
      <c r="B22" s="12">
        <f>'Minimum Deflation Total'!F22</f>
        <v>9218.5</v>
      </c>
      <c r="C22" s="12">
        <f>'Average Labor Income'!C39 *251.1 / CPI!B88</f>
        <v>66251.963312124848</v>
      </c>
      <c r="D22" s="12">
        <f>'99.9% Threshold Labor'!C39 * 251.1 / CPI!B88</f>
        <v>1336111.9924969987</v>
      </c>
      <c r="E22" s="35">
        <f>Data!F101</f>
        <v>4565833.5</v>
      </c>
      <c r="F22" s="11">
        <f t="shared" si="17"/>
        <v>10.757281075622659</v>
      </c>
      <c r="G22" s="11">
        <f t="shared" si="22"/>
        <v>0.82938447379572156</v>
      </c>
      <c r="H22" s="12">
        <f t="shared" si="16"/>
        <v>135968.70751668763</v>
      </c>
      <c r="I22" s="12">
        <f t="shared" si="16"/>
        <v>323423.49808690784</v>
      </c>
      <c r="J22" s="17">
        <f t="shared" si="18"/>
        <v>0.45216709174887859</v>
      </c>
      <c r="K22" s="17">
        <f t="shared" si="19"/>
        <v>1.4969634002451186</v>
      </c>
      <c r="L22" s="18">
        <f t="shared" si="20"/>
        <v>0.67442569327435931</v>
      </c>
      <c r="M22" s="18">
        <f t="shared" si="14"/>
        <v>0.93279860917158386</v>
      </c>
      <c r="N22" s="30">
        <f>'Top 1% Labor Share'!C39</f>
        <v>0.1328</v>
      </c>
      <c r="O22" s="30">
        <f>'Top 10% Labor Share'!C39 - N22</f>
        <v>0.24870001</v>
      </c>
      <c r="P22" s="30">
        <f t="shared" si="6"/>
        <v>0.61849999</v>
      </c>
      <c r="Q22" s="47">
        <f t="shared" si="7"/>
        <v>0.67442569327435931</v>
      </c>
      <c r="R22" s="47">
        <f t="shared" si="8"/>
        <v>0.25837291589722455</v>
      </c>
      <c r="S22" s="47">
        <f t="shared" si="9"/>
        <v>6.7201390828416141E-2</v>
      </c>
      <c r="T22" s="48">
        <f t="shared" si="15"/>
        <v>0.32557430672564069</v>
      </c>
      <c r="U22" s="49">
        <f t="shared" si="21"/>
        <v>0.44243584037801398</v>
      </c>
      <c r="V22" s="30">
        <f t="shared" si="11"/>
        <v>0.9761495761162946</v>
      </c>
      <c r="W22" s="30">
        <f t="shared" si="12"/>
        <v>-3.7437770377883761E-2</v>
      </c>
      <c r="X22" s="30">
        <f t="shared" si="13"/>
        <v>-8.2923447063290467E-2</v>
      </c>
    </row>
    <row r="23" spans="1:24" x14ac:dyDescent="0.5">
      <c r="A23" s="10">
        <v>2000</v>
      </c>
      <c r="B23" s="12">
        <f>'Minimum Deflation Total'!F23</f>
        <v>9218.5</v>
      </c>
      <c r="C23" s="12">
        <f>'Average Labor Income'!C40 *251.1 / CPI!B89</f>
        <v>67055.36258885017</v>
      </c>
      <c r="D23" s="12">
        <f>'99.9% Threshold Labor'!C40 * 251.1 / CPI!B89</f>
        <v>1438824.4207839721</v>
      </c>
      <c r="E23" s="35">
        <f>Data!F102</f>
        <v>4998618.5</v>
      </c>
      <c r="F23" s="11">
        <f t="shared" si="17"/>
        <v>10.759020662060623</v>
      </c>
      <c r="G23" s="11">
        <f t="shared" si="22"/>
        <v>0.84172822502851063</v>
      </c>
      <c r="H23" s="12">
        <f t="shared" si="16"/>
        <v>138377.23015222629</v>
      </c>
      <c r="I23" s="12">
        <f t="shared" si="16"/>
        <v>333425.03247068665</v>
      </c>
      <c r="J23" s="17">
        <f t="shared" si="18"/>
        <v>0.43982334051608896</v>
      </c>
      <c r="K23" s="17">
        <f t="shared" si="19"/>
        <v>1.4846196490123309</v>
      </c>
      <c r="L23" s="18">
        <f t="shared" si="20"/>
        <v>0.66996746929186457</v>
      </c>
      <c r="M23" s="18">
        <f t="shared" si="14"/>
        <v>0.93117769627860003</v>
      </c>
      <c r="N23" s="30">
        <f>'Top 1% Labor Share'!C40</f>
        <v>0.1411</v>
      </c>
      <c r="O23" s="30">
        <f>'Top 10% Labor Share'!C40 - N23</f>
        <v>0.24850000999999999</v>
      </c>
      <c r="P23" s="30">
        <f t="shared" si="6"/>
        <v>0.61039999</v>
      </c>
      <c r="Q23" s="47">
        <f t="shared" si="7"/>
        <v>0.66996746929186457</v>
      </c>
      <c r="R23" s="47">
        <f t="shared" si="8"/>
        <v>0.26121022698673546</v>
      </c>
      <c r="S23" s="47">
        <f t="shared" si="9"/>
        <v>6.8822303721399969E-2</v>
      </c>
      <c r="T23" s="48">
        <f t="shared" si="15"/>
        <v>0.33003253070813543</v>
      </c>
      <c r="U23" s="49">
        <f t="shared" si="21"/>
        <v>0.44828468621841466</v>
      </c>
      <c r="V23" s="30">
        <f t="shared" si="11"/>
        <v>1.0502074526767928</v>
      </c>
      <c r="W23" s="30">
        <f t="shared" si="12"/>
        <v>-4.8658956172420109E-2</v>
      </c>
      <c r="X23" s="30">
        <f t="shared" si="13"/>
        <v>-8.8911002432439878E-2</v>
      </c>
    </row>
    <row r="24" spans="1:24" x14ac:dyDescent="0.5">
      <c r="A24">
        <v>2001</v>
      </c>
      <c r="B24" s="12">
        <f>'Minimum Deflation Total'!F24</f>
        <v>9218.5</v>
      </c>
      <c r="C24" s="12">
        <f>'Average Labor Income'!C41 *251.1 / CPI!B90</f>
        <v>65326.553146245053</v>
      </c>
      <c r="D24" s="12">
        <f>'99.9% Threshold Labor'!C41 * 251.1 / CPI!B90</f>
        <v>1340893.3252004518</v>
      </c>
      <c r="E24" s="35">
        <f>Data!F103</f>
        <v>4589713</v>
      </c>
      <c r="F24" s="11">
        <f t="shared" si="17"/>
        <v>10.74272060434496</v>
      </c>
      <c r="G24" s="11">
        <f t="shared" si="22"/>
        <v>0.82997983281575627</v>
      </c>
      <c r="H24" s="12">
        <f t="shared" si="16"/>
        <v>134105.56381588691</v>
      </c>
      <c r="I24" s="12">
        <f t="shared" si="16"/>
        <v>319190.19412069902</v>
      </c>
      <c r="J24" s="17">
        <f t="shared" si="18"/>
        <v>0.45157173272884454</v>
      </c>
      <c r="K24" s="17">
        <f t="shared" si="19"/>
        <v>1.4963680412250862</v>
      </c>
      <c r="L24" s="18">
        <f t="shared" si="20"/>
        <v>0.67421123116192161</v>
      </c>
      <c r="M24" s="18">
        <f t="shared" si="14"/>
        <v>0.93272111350932918</v>
      </c>
      <c r="N24" s="30">
        <f>'Top 1% Labor Share'!C41</f>
        <v>0.13039999999999999</v>
      </c>
      <c r="O24" s="30">
        <f>'Top 10% Labor Share'!C41 - N24</f>
        <v>0.25020001000000003</v>
      </c>
      <c r="P24" s="30">
        <f t="shared" si="6"/>
        <v>0.61939999000000001</v>
      </c>
      <c r="Q24" s="47">
        <f t="shared" si="7"/>
        <v>0.67421123116192161</v>
      </c>
      <c r="R24" s="47">
        <f t="shared" si="8"/>
        <v>0.25850988234740757</v>
      </c>
      <c r="S24" s="47">
        <f t="shared" si="9"/>
        <v>6.7278886490670819E-2</v>
      </c>
      <c r="T24" s="48">
        <f t="shared" si="15"/>
        <v>0.32578876883807839</v>
      </c>
      <c r="U24" s="49">
        <f t="shared" si="21"/>
        <v>0.44271863093772046</v>
      </c>
      <c r="V24" s="30">
        <f t="shared" si="11"/>
        <v>0.93820092456616111</v>
      </c>
      <c r="W24" s="30">
        <f t="shared" si="12"/>
        <v>-3.2145279213117384E-2</v>
      </c>
      <c r="X24" s="30">
        <f t="shared" si="13"/>
        <v>-8.1296837887824935E-2</v>
      </c>
    </row>
    <row r="25" spans="1:24" x14ac:dyDescent="0.5">
      <c r="A25" s="10">
        <v>2002</v>
      </c>
      <c r="B25" s="12">
        <f>'Minimum Deflation Total'!F25</f>
        <v>9218.5</v>
      </c>
      <c r="C25" s="12">
        <f>'Average Labor Income'!C42 *251.1 / CPI!B91</f>
        <v>63243.560416342407</v>
      </c>
      <c r="D25" s="12">
        <f>'99.9% Threshold Labor'!C42 * 251.1 / CPI!B91</f>
        <v>1218198.3343023902</v>
      </c>
      <c r="E25" s="35">
        <f>Data!F104</f>
        <v>4453547</v>
      </c>
      <c r="F25" s="11">
        <f t="shared" si="17"/>
        <v>10.723461994319921</v>
      </c>
      <c r="G25" s="11">
        <f t="shared" si="22"/>
        <v>0.81398598942164002</v>
      </c>
      <c r="H25" s="12">
        <f t="shared" si="16"/>
        <v>128878.71063212663</v>
      </c>
      <c r="I25" s="12">
        <f t="shared" si="16"/>
        <v>301666.25528291613</v>
      </c>
      <c r="J25" s="17">
        <f t="shared" si="18"/>
        <v>0.46756557612296001</v>
      </c>
      <c r="K25" s="17">
        <f t="shared" si="19"/>
        <v>1.5123618846192008</v>
      </c>
      <c r="L25" s="18">
        <f t="shared" si="20"/>
        <v>0.67995235651535368</v>
      </c>
      <c r="M25" s="18">
        <f t="shared" si="14"/>
        <v>0.93477908712890967</v>
      </c>
      <c r="N25" s="30">
        <f>'Top 1% Labor Share'!C42</f>
        <v>0.1229</v>
      </c>
      <c r="O25" s="30">
        <f>'Top 10% Labor Share'!C42 - N25</f>
        <v>0.251</v>
      </c>
      <c r="P25" s="30">
        <f t="shared" si="6"/>
        <v>0.62609999999999999</v>
      </c>
      <c r="Q25" s="47">
        <f t="shared" si="7"/>
        <v>0.67995235651535368</v>
      </c>
      <c r="R25" s="47">
        <f t="shared" si="8"/>
        <v>0.25482673061355599</v>
      </c>
      <c r="S25" s="47">
        <f t="shared" si="9"/>
        <v>6.5220912871090331E-2</v>
      </c>
      <c r="T25" s="48">
        <f t="shared" si="15"/>
        <v>0.32004764348464632</v>
      </c>
      <c r="U25" s="49">
        <f t="shared" si="21"/>
        <v>0.4350975256352978</v>
      </c>
      <c r="V25" s="30">
        <f t="shared" si="11"/>
        <v>0.88436491594211275</v>
      </c>
      <c r="W25" s="30">
        <f t="shared" si="12"/>
        <v>-1.50169905815698E-2</v>
      </c>
      <c r="X25" s="30">
        <f t="shared" si="13"/>
        <v>-7.9200191012409049E-2</v>
      </c>
    </row>
    <row r="26" spans="1:24" x14ac:dyDescent="0.5">
      <c r="A26">
        <v>2003</v>
      </c>
      <c r="B26" s="12">
        <f>'Minimum Deflation Total'!F26</f>
        <v>9218.5</v>
      </c>
      <c r="C26" s="12">
        <f>'Average Labor Income'!C43 *251.1 / CPI!B92</f>
        <v>61943.913586956522</v>
      </c>
      <c r="D26" s="12">
        <f>'99.9% Threshold Labor'!C43 * 251.1 / CPI!B92</f>
        <v>1192921.5130434784</v>
      </c>
      <c r="E26" s="35">
        <f>Data!F105</f>
        <v>4606096</v>
      </c>
      <c r="F26" s="11">
        <f t="shared" si="17"/>
        <v>10.705536494380523</v>
      </c>
      <c r="G26" s="11">
        <f t="shared" si="22"/>
        <v>0.81049138263929821</v>
      </c>
      <c r="H26" s="12">
        <f t="shared" si="16"/>
        <v>126023.41407501958</v>
      </c>
      <c r="I26" s="12">
        <f t="shared" si="16"/>
        <v>293907.80223890254</v>
      </c>
      <c r="J26" s="17">
        <f t="shared" si="18"/>
        <v>0.47106018290530294</v>
      </c>
      <c r="K26" s="17">
        <f t="shared" si="19"/>
        <v>1.5158564914015433</v>
      </c>
      <c r="L26" s="18">
        <f t="shared" si="20"/>
        <v>0.68120112098886709</v>
      </c>
      <c r="M26" s="18">
        <f t="shared" si="14"/>
        <v>0.93522217803188779</v>
      </c>
      <c r="N26" s="30">
        <f>'Top 1% Labor Share'!C43</f>
        <v>0.1225</v>
      </c>
      <c r="O26" s="30">
        <f>'Top 10% Labor Share'!C43 - N26</f>
        <v>0.25150001</v>
      </c>
      <c r="P26" s="30">
        <f t="shared" si="6"/>
        <v>0.62599998999999995</v>
      </c>
      <c r="Q26" s="47">
        <f t="shared" si="7"/>
        <v>0.68120112098886709</v>
      </c>
      <c r="R26" s="47">
        <f t="shared" si="8"/>
        <v>0.25402105704302069</v>
      </c>
      <c r="S26" s="47">
        <f t="shared" si="9"/>
        <v>6.4777821968112215E-2</v>
      </c>
      <c r="T26" s="48">
        <f t="shared" si="15"/>
        <v>0.31879887901113291</v>
      </c>
      <c r="U26" s="49">
        <f t="shared" si="21"/>
        <v>0.43342568896187061</v>
      </c>
      <c r="V26" s="30">
        <f t="shared" si="11"/>
        <v>0.89107932743250196</v>
      </c>
      <c r="W26" s="30">
        <f t="shared" si="12"/>
        <v>-9.9245592958607798E-3</v>
      </c>
      <c r="X26" s="30">
        <f t="shared" si="13"/>
        <v>-8.1034997283525145E-2</v>
      </c>
    </row>
    <row r="27" spans="1:24" x14ac:dyDescent="0.5">
      <c r="A27" s="10">
        <v>2004</v>
      </c>
      <c r="B27" s="12">
        <f>'Minimum Deflation Total'!F27</f>
        <v>9218.5</v>
      </c>
      <c r="C27" s="12">
        <f>'Average Labor Income'!C44 *251.1 / CPI!B93</f>
        <v>61441.337315510849</v>
      </c>
      <c r="D27" s="12">
        <f>'99.9% Threshold Labor'!C44 * 251.1 / CPI!B93</f>
        <v>1226147.7924457386</v>
      </c>
      <c r="E27" s="35">
        <f>Data!F106</f>
        <v>5224623.5</v>
      </c>
      <c r="F27" s="11">
        <f t="shared" si="17"/>
        <v>10.693668537433901</v>
      </c>
      <c r="G27" s="11">
        <f t="shared" si="22"/>
        <v>0.81507005386500264</v>
      </c>
      <c r="H27" s="12">
        <f t="shared" si="16"/>
        <v>125269.51823190818</v>
      </c>
      <c r="I27" s="12">
        <f t="shared" si="16"/>
        <v>293550.51751289377</v>
      </c>
      <c r="J27" s="17">
        <f t="shared" si="18"/>
        <v>0.46648151167959906</v>
      </c>
      <c r="K27" s="17">
        <f t="shared" si="19"/>
        <v>1.5112778201758386</v>
      </c>
      <c r="L27" s="18">
        <f t="shared" si="20"/>
        <v>0.67956456085083694</v>
      </c>
      <c r="M27" s="18">
        <f t="shared" si="14"/>
        <v>0.93464115875420695</v>
      </c>
      <c r="N27" s="30">
        <f>'Top 1% Labor Share'!C44</f>
        <v>0.1295</v>
      </c>
      <c r="O27" s="30">
        <f>'Top 10% Labor Share'!C44 - N27</f>
        <v>0.25020000999999997</v>
      </c>
      <c r="P27" s="30">
        <f t="shared" si="6"/>
        <v>0.62029999000000013</v>
      </c>
      <c r="Q27" s="47">
        <f t="shared" si="7"/>
        <v>0.67956456085083694</v>
      </c>
      <c r="R27" s="47">
        <f t="shared" si="8"/>
        <v>0.25507659790337001</v>
      </c>
      <c r="S27" s="47">
        <f t="shared" si="9"/>
        <v>6.5358841245793053E-2</v>
      </c>
      <c r="T27" s="48">
        <f t="shared" si="15"/>
        <v>0.32043543914916306</v>
      </c>
      <c r="U27" s="49">
        <f t="shared" si="21"/>
        <v>0.43561566471301916</v>
      </c>
      <c r="V27" s="30">
        <f t="shared" si="11"/>
        <v>0.98136927662155449</v>
      </c>
      <c r="W27" s="30">
        <f t="shared" si="12"/>
        <v>-1.9118131351341883E-2</v>
      </c>
      <c r="X27" s="30">
        <f t="shared" si="13"/>
        <v>-8.7209625494059972E-2</v>
      </c>
    </row>
    <row r="28" spans="1:24" x14ac:dyDescent="0.5">
      <c r="A28">
        <v>2005</v>
      </c>
      <c r="B28" s="12">
        <f>'Minimum Deflation Total'!F28</f>
        <v>9218.5</v>
      </c>
      <c r="C28" s="12">
        <f>'Average Labor Income'!C45 *251.1 / CPI!B94</f>
        <v>59911.458428571423</v>
      </c>
      <c r="D28" s="12">
        <f>'99.9% Threshold Labor'!C45 * 251.1 / CPI!B94</f>
        <v>1271823.2742857141</v>
      </c>
      <c r="E28" s="35">
        <f>Data!F107</f>
        <v>5879200</v>
      </c>
      <c r="F28" s="11">
        <f t="shared" si="17"/>
        <v>10.663466468824447</v>
      </c>
      <c r="G28" s="11">
        <f t="shared" si="22"/>
        <v>0.8211657440682304</v>
      </c>
      <c r="H28" s="12">
        <f t="shared" si="16"/>
        <v>122495.88464974996</v>
      </c>
      <c r="I28" s="12">
        <f t="shared" si="16"/>
        <v>288884.90979460895</v>
      </c>
      <c r="J28" s="17">
        <f t="shared" si="18"/>
        <v>0.46038582147637042</v>
      </c>
      <c r="K28" s="17">
        <f t="shared" si="19"/>
        <v>1.5051821299726087</v>
      </c>
      <c r="L28" s="18">
        <f t="shared" si="20"/>
        <v>0.67738034504141953</v>
      </c>
      <c r="M28" s="18">
        <f t="shared" si="14"/>
        <v>0.93386137091010757</v>
      </c>
      <c r="N28" s="30">
        <f>'Top 1% Labor Share'!C45</f>
        <v>0.13639999999999999</v>
      </c>
      <c r="O28" s="30">
        <f>'Top 10% Labor Share'!C45 - N28</f>
        <v>0.25009999999999999</v>
      </c>
      <c r="P28" s="30">
        <f t="shared" si="6"/>
        <v>0.61350000000000005</v>
      </c>
      <c r="Q28" s="47">
        <f t="shared" si="7"/>
        <v>0.67738034504141953</v>
      </c>
      <c r="R28" s="47">
        <f t="shared" si="8"/>
        <v>0.25648102586868804</v>
      </c>
      <c r="S28" s="47">
        <f t="shared" si="9"/>
        <v>6.6138629089892431E-2</v>
      </c>
      <c r="T28" s="48">
        <f t="shared" si="15"/>
        <v>0.32261965495858047</v>
      </c>
      <c r="U28" s="49">
        <f t="shared" si="21"/>
        <v>0.43852489143701678</v>
      </c>
      <c r="V28" s="30">
        <f t="shared" si="11"/>
        <v>1.0623348544858966</v>
      </c>
      <c r="W28" s="30">
        <f t="shared" si="12"/>
        <v>-2.4879134224747634E-2</v>
      </c>
      <c r="X28" s="30">
        <f t="shared" si="13"/>
        <v>-9.4304987602664259E-2</v>
      </c>
    </row>
    <row r="29" spans="1:24" x14ac:dyDescent="0.5">
      <c r="A29" s="10">
        <v>2006</v>
      </c>
      <c r="B29" s="12">
        <f>'Minimum Deflation Total'!F29</f>
        <v>9218.5</v>
      </c>
      <c r="C29" s="12">
        <f>'Average Labor Income'!C46 *251.1 / CPI!B95</f>
        <v>59034.529205357147</v>
      </c>
      <c r="D29" s="12">
        <f>'99.9% Threshold Labor'!C46 * 251.1 / CPI!B95</f>
        <v>1298095.3285714285</v>
      </c>
      <c r="E29" s="35">
        <f>Data!F108</f>
        <v>6255807</v>
      </c>
      <c r="F29" s="11">
        <f t="shared" si="17"/>
        <v>10.645917063648124</v>
      </c>
      <c r="G29" s="11">
        <f t="shared" si="22"/>
        <v>0.82457350044966393</v>
      </c>
      <c r="H29" s="12">
        <f t="shared" si="16"/>
        <v>120891.71711682359</v>
      </c>
      <c r="I29" s="12">
        <f t="shared" si="16"/>
        <v>286118.65271768044</v>
      </c>
      <c r="J29" s="17">
        <f t="shared" si="18"/>
        <v>0.45697806509493849</v>
      </c>
      <c r="K29" s="17">
        <f t="shared" si="19"/>
        <v>1.5017743735911773</v>
      </c>
      <c r="L29" s="18">
        <f t="shared" si="20"/>
        <v>0.67615659414880558</v>
      </c>
      <c r="M29" s="18">
        <f t="shared" si="14"/>
        <v>0.93342230565322426</v>
      </c>
      <c r="N29" s="30">
        <f>'Top 1% Labor Share'!C46</f>
        <v>0.14040000999999999</v>
      </c>
      <c r="O29" s="30">
        <f>'Top 10% Labor Share'!C46 - N29</f>
        <v>0.25139997999999997</v>
      </c>
      <c r="P29" s="30">
        <f t="shared" si="6"/>
        <v>0.60820001000000001</v>
      </c>
      <c r="Q29" s="47">
        <f t="shared" si="7"/>
        <v>0.67615659414880558</v>
      </c>
      <c r="R29" s="47">
        <f t="shared" si="8"/>
        <v>0.25726571150441868</v>
      </c>
      <c r="S29" s="47">
        <f t="shared" si="9"/>
        <v>6.657769434677574E-2</v>
      </c>
      <c r="T29" s="48">
        <f t="shared" si="15"/>
        <v>0.32384340585119442</v>
      </c>
      <c r="U29" s="49">
        <f t="shared" si="21"/>
        <v>0.44014810913941194</v>
      </c>
      <c r="V29" s="30">
        <f t="shared" si="11"/>
        <v>1.1088145418300952</v>
      </c>
      <c r="W29" s="30">
        <f t="shared" si="12"/>
        <v>-2.280028484992247E-2</v>
      </c>
      <c r="X29" s="30">
        <f t="shared" si="13"/>
        <v>-0.10050420973022411</v>
      </c>
    </row>
    <row r="30" spans="1:24" x14ac:dyDescent="0.5">
      <c r="A30">
        <v>2007</v>
      </c>
      <c r="B30" s="12">
        <f>'Minimum Deflation Total'!F30</f>
        <v>10471.5</v>
      </c>
      <c r="C30" s="12">
        <f>'Average Labor Income'!C47 *251.1 / CPI!B96</f>
        <v>57459.021616497826</v>
      </c>
      <c r="D30" s="12">
        <f>'99.9% Threshold Labor'!C47 * 251.1 / CPI!B96</f>
        <v>1254891.4489146164</v>
      </c>
      <c r="E30" s="35">
        <f>Data!F109</f>
        <v>6140828.5</v>
      </c>
      <c r="F30" s="11">
        <f t="shared" si="17"/>
        <v>10.640671696938034</v>
      </c>
      <c r="G30" s="11">
        <f t="shared" si="22"/>
        <v>0.79769117863996752</v>
      </c>
      <c r="H30" s="12">
        <f t="shared" si="16"/>
        <v>116186.74841818871</v>
      </c>
      <c r="I30" s="12">
        <f t="shared" si="16"/>
        <v>267367.36070366856</v>
      </c>
      <c r="J30" s="17">
        <f t="shared" si="18"/>
        <v>0.48386038690463234</v>
      </c>
      <c r="K30" s="17">
        <f t="shared" si="19"/>
        <v>1.5286566954008727</v>
      </c>
      <c r="L30" s="18">
        <f t="shared" si="20"/>
        <v>0.68575752237677357</v>
      </c>
      <c r="M30" s="18">
        <f t="shared" si="14"/>
        <v>0.93682521350031622</v>
      </c>
      <c r="N30" s="30">
        <f>'Top 1% Labor Share'!C47</f>
        <v>0.14080000000000001</v>
      </c>
      <c r="O30" s="30">
        <f>'Top 10% Labor Share'!C47 - N30</f>
        <v>0.25150001</v>
      </c>
      <c r="P30" s="30">
        <f t="shared" si="6"/>
        <v>0.60769998999999997</v>
      </c>
      <c r="Q30" s="47">
        <f t="shared" si="7"/>
        <v>0.68575752237677357</v>
      </c>
      <c r="R30" s="47">
        <f t="shared" si="8"/>
        <v>0.25106769112354266</v>
      </c>
      <c r="S30" s="47">
        <f t="shared" si="9"/>
        <v>6.3174786499683777E-2</v>
      </c>
      <c r="T30" s="48">
        <f t="shared" si="15"/>
        <v>0.31424247762322643</v>
      </c>
      <c r="U30" s="49">
        <f t="shared" si="21"/>
        <v>0.42728182927302272</v>
      </c>
      <c r="V30" s="30">
        <f t="shared" si="11"/>
        <v>1.2287372510662111</v>
      </c>
      <c r="W30" s="30">
        <f t="shared" si="12"/>
        <v>1.721921584265429E-3</v>
      </c>
      <c r="X30" s="30">
        <f t="shared" si="13"/>
        <v>-0.11382672421329521</v>
      </c>
    </row>
    <row r="31" spans="1:24" x14ac:dyDescent="0.5">
      <c r="A31" s="10">
        <v>2008</v>
      </c>
      <c r="B31" s="12">
        <f>'Minimum Deflation Total'!F31</f>
        <v>11724.5</v>
      </c>
      <c r="C31" s="12">
        <f>'Average Labor Income'!C48 *251.1 / CPI!B97</f>
        <v>54852.111560148624</v>
      </c>
      <c r="D31" s="12">
        <f>'99.9% Threshold Labor'!C48 * 251.1 / CPI!B97</f>
        <v>1152732.1058987458</v>
      </c>
      <c r="E31" s="35">
        <f>Data!F110</f>
        <v>5924267.5</v>
      </c>
      <c r="F31" s="39">
        <f t="shared" si="17"/>
        <v>10.620011708920996</v>
      </c>
      <c r="G31" s="11">
        <f t="shared" si="22"/>
        <v>0.76470157974976694</v>
      </c>
      <c r="H31" s="12">
        <f t="shared" si="16"/>
        <v>109099.56837971497</v>
      </c>
      <c r="I31" s="12">
        <f t="shared" si="16"/>
        <v>242552.53455745894</v>
      </c>
      <c r="J31" s="17">
        <f t="shared" si="18"/>
        <v>0.51684998579483332</v>
      </c>
      <c r="K31" s="17">
        <f t="shared" si="19"/>
        <v>1.5616462942910732</v>
      </c>
      <c r="L31" s="18">
        <f t="shared" si="20"/>
        <v>0.69736955834749736</v>
      </c>
      <c r="M31" s="18">
        <f t="shared" si="14"/>
        <v>0.9408143314243651</v>
      </c>
      <c r="N31" s="30">
        <f>'Top 1% Labor Share'!C48</f>
        <v>0.13770001000000001</v>
      </c>
      <c r="O31" s="30">
        <f>'Top 10% Labor Share'!C48 - N31</f>
        <v>0.25319997999999999</v>
      </c>
      <c r="P31" s="30">
        <f t="shared" si="6"/>
        <v>0.60910001000000003</v>
      </c>
      <c r="Q31" s="47">
        <f t="shared" si="7"/>
        <v>0.69736955834749736</v>
      </c>
      <c r="R31" s="47">
        <f t="shared" si="8"/>
        <v>0.24344477307686774</v>
      </c>
      <c r="S31" s="47">
        <f t="shared" si="9"/>
        <v>5.9185668575634898E-2</v>
      </c>
      <c r="T31" s="48">
        <f t="shared" si="15"/>
        <v>0.30263044165250264</v>
      </c>
      <c r="U31" s="49">
        <f t="shared" si="21"/>
        <v>0.41130331945212339</v>
      </c>
      <c r="V31" s="30">
        <f t="shared" si="11"/>
        <v>1.3265769115040005</v>
      </c>
      <c r="W31" s="30">
        <f t="shared" si="12"/>
        <v>4.007153983976508E-2</v>
      </c>
      <c r="X31" s="30">
        <f t="shared" si="13"/>
        <v>-0.12657499498065683</v>
      </c>
    </row>
    <row r="32" spans="1:24" x14ac:dyDescent="0.5">
      <c r="A32">
        <v>2009</v>
      </c>
      <c r="B32" s="12">
        <f>'Minimum Deflation Total'!F32</f>
        <v>12977.5</v>
      </c>
      <c r="C32" s="12">
        <f>'Average Labor Income'!C49 *251.1 / CPI!B98</f>
        <v>51023.517658741257</v>
      </c>
      <c r="D32" s="12">
        <f>'99.9% Threshold Labor'!C49 * 251.1 / CPI!B98</f>
        <v>965253.42805594404</v>
      </c>
      <c r="E32" s="35">
        <f>Data!F111</f>
        <v>5411472.5</v>
      </c>
      <c r="F32" s="39">
        <f t="shared" si="17"/>
        <v>10.58213947630508</v>
      </c>
      <c r="G32" s="11">
        <f t="shared" si="22"/>
        <v>0.71819559964805035</v>
      </c>
      <c r="H32" s="12">
        <f t="shared" si="16"/>
        <v>98967.240607456901</v>
      </c>
      <c r="I32" s="12">
        <f t="shared" si="16"/>
        <v>209590.78854709721</v>
      </c>
      <c r="J32" s="17">
        <f t="shared" si="18"/>
        <v>0.56335596589655068</v>
      </c>
      <c r="K32" s="17">
        <f t="shared" si="19"/>
        <v>1.6081522743927914</v>
      </c>
      <c r="L32" s="18">
        <f t="shared" si="20"/>
        <v>0.71340374222626135</v>
      </c>
      <c r="M32" s="18">
        <f t="shared" si="14"/>
        <v>0.94609908361843442</v>
      </c>
      <c r="N32" s="30">
        <f>'Top 1% Labor Share'!C49</f>
        <v>0.12520000000000001</v>
      </c>
      <c r="O32" s="30">
        <f>'Top 10% Labor Share'!C49 - N32</f>
        <v>0.25650001</v>
      </c>
      <c r="P32" s="30">
        <f t="shared" si="6"/>
        <v>0.61829999000000002</v>
      </c>
      <c r="Q32" s="47">
        <f t="shared" si="7"/>
        <v>0.71340374222626135</v>
      </c>
      <c r="R32" s="47">
        <f t="shared" si="8"/>
        <v>0.23269534139217307</v>
      </c>
      <c r="S32" s="47">
        <f t="shared" si="9"/>
        <v>5.3900916381565578E-2</v>
      </c>
      <c r="T32" s="48">
        <f t="shared" si="15"/>
        <v>0.28659625777373865</v>
      </c>
      <c r="U32" s="49">
        <f t="shared" si="21"/>
        <v>0.38843513109284222</v>
      </c>
      <c r="V32" s="30">
        <f t="shared" si="11"/>
        <v>1.3227805463214559</v>
      </c>
      <c r="W32" s="30">
        <f t="shared" si="12"/>
        <v>0.1022997214529866</v>
      </c>
      <c r="X32" s="30">
        <f t="shared" si="13"/>
        <v>-0.13330985891590463</v>
      </c>
    </row>
    <row r="33" spans="1:30" x14ac:dyDescent="0.5">
      <c r="A33" s="10">
        <v>2010</v>
      </c>
      <c r="B33" s="12">
        <f>'Minimum Deflation Total'!F33</f>
        <v>12977.5</v>
      </c>
      <c r="C33" s="12">
        <f>'Average Labor Income'!C50 *251.1 / CPI!B99</f>
        <v>49562.721284731771</v>
      </c>
      <c r="D33" s="12">
        <f>'99.9% Threshold Labor'!C50 * 251.1 / CPI!B99</f>
        <v>1000347.8377716644</v>
      </c>
      <c r="E33" s="35">
        <f>Data!F112</f>
        <v>6134241.5</v>
      </c>
      <c r="F33" s="39">
        <f t="shared" si="17"/>
        <v>10.548799325475212</v>
      </c>
      <c r="G33" s="11">
        <f t="shared" si="22"/>
        <v>0.72414766125883701</v>
      </c>
      <c r="H33" s="12">
        <f t="shared" si="16"/>
        <v>96455.003580886667</v>
      </c>
      <c r="I33" s="12">
        <f t="shared" si="16"/>
        <v>205544.6774360064</v>
      </c>
      <c r="J33" s="17">
        <f t="shared" si="18"/>
        <v>0.55740390428576359</v>
      </c>
      <c r="K33" s="17">
        <f t="shared" si="19"/>
        <v>1.6022002127820048</v>
      </c>
      <c r="L33" s="18">
        <f t="shared" si="20"/>
        <v>0.71137425073017446</v>
      </c>
      <c r="M33" s="18">
        <f t="shared" si="14"/>
        <v>0.9454443284773868</v>
      </c>
      <c r="N33" s="30">
        <f>'Top 1% Labor Share'!C50</f>
        <v>0.13139999999999999</v>
      </c>
      <c r="O33" s="30">
        <f>'Top 10% Labor Share'!C50 - N33</f>
        <v>0.25870000000000004</v>
      </c>
      <c r="P33" s="30">
        <f t="shared" si="6"/>
        <v>0.6099</v>
      </c>
      <c r="Q33" s="47">
        <f t="shared" si="7"/>
        <v>0.71137425073017446</v>
      </c>
      <c r="R33" s="47">
        <f t="shared" si="8"/>
        <v>0.23407007774721234</v>
      </c>
      <c r="S33" s="47">
        <f t="shared" si="9"/>
        <v>5.4555671522613203E-2</v>
      </c>
      <c r="T33" s="48">
        <f t="shared" si="15"/>
        <v>0.28862574926982554</v>
      </c>
      <c r="U33" s="49">
        <f t="shared" si="21"/>
        <v>0.39138378873298296</v>
      </c>
      <c r="V33" s="30">
        <f t="shared" si="11"/>
        <v>1.4085488517089373</v>
      </c>
      <c r="W33" s="30">
        <f t="shared" si="12"/>
        <v>0.10522456560802773</v>
      </c>
      <c r="X33" s="30">
        <f t="shared" si="13"/>
        <v>-0.1426453805799387</v>
      </c>
    </row>
    <row r="34" spans="1:30" x14ac:dyDescent="0.5">
      <c r="A34">
        <v>2011</v>
      </c>
      <c r="B34" s="12">
        <f>'Minimum Deflation Total'!F34</f>
        <v>12977.5</v>
      </c>
      <c r="C34" s="12">
        <f>'Average Labor Income'!C51 *251.1 / CPI!B100</f>
        <v>48554.187638950636</v>
      </c>
      <c r="D34" s="12">
        <f>'99.9% Threshold Labor'!C51 * 251.1 / CPI!B100</f>
        <v>993413.54321031563</v>
      </c>
      <c r="E34" s="35">
        <f>Data!F113</f>
        <v>5967492.5</v>
      </c>
      <c r="F34" s="39">
        <f t="shared" si="17"/>
        <v>10.529079665461403</v>
      </c>
      <c r="G34" s="11">
        <f t="shared" si="22"/>
        <v>0.72298832450840622</v>
      </c>
      <c r="H34" s="12">
        <f t="shared" si="16"/>
        <v>94431.169650133015</v>
      </c>
      <c r="I34" s="12">
        <f t="shared" si="16"/>
        <v>200988.3081894897</v>
      </c>
      <c r="J34" s="17">
        <f t="shared" si="18"/>
        <v>0.55856324103619337</v>
      </c>
      <c r="K34" s="17">
        <f t="shared" si="19"/>
        <v>1.6033595495324333</v>
      </c>
      <c r="L34" s="18">
        <f t="shared" si="20"/>
        <v>0.71177008354932736</v>
      </c>
      <c r="M34" s="18">
        <f t="shared" si="14"/>
        <v>0.94557235189978228</v>
      </c>
      <c r="N34" s="30">
        <f>'Top 1% Labor Share'!C51</f>
        <v>0.13259999</v>
      </c>
      <c r="O34" s="30">
        <f>'Top 10% Labor Share'!C51 - N34</f>
        <v>0.26279999999999998</v>
      </c>
      <c r="P34" s="30">
        <f t="shared" si="6"/>
        <v>0.60460001000000008</v>
      </c>
      <c r="Q34" s="47">
        <f t="shared" si="7"/>
        <v>0.71177008354932736</v>
      </c>
      <c r="R34" s="47">
        <f t="shared" si="8"/>
        <v>0.23380226835045492</v>
      </c>
      <c r="S34" s="47">
        <f t="shared" si="9"/>
        <v>5.4427648100217718E-2</v>
      </c>
      <c r="T34" s="48">
        <f t="shared" si="15"/>
        <v>0.28822991645067264</v>
      </c>
      <c r="U34" s="49">
        <f t="shared" si="21"/>
        <v>0.39080994866514707</v>
      </c>
      <c r="V34" s="30">
        <f t="shared" si="11"/>
        <v>1.4362616175485559</v>
      </c>
      <c r="W34" s="30">
        <f t="shared" si="12"/>
        <v>0.12402673359045124</v>
      </c>
      <c r="X34" s="30">
        <f t="shared" si="13"/>
        <v>-0.15056838721699395</v>
      </c>
    </row>
    <row r="35" spans="1:30" x14ac:dyDescent="0.5">
      <c r="A35" s="10">
        <v>2012</v>
      </c>
      <c r="B35" s="12">
        <f>'Minimum Deflation Total'!F35</f>
        <v>12977.5</v>
      </c>
      <c r="C35" s="12">
        <f>'Average Labor Income'!C52 *251.1 / CPI!B101</f>
        <v>48264.458135017419</v>
      </c>
      <c r="D35" s="12">
        <f>'99.9% Threshold Labor'!C52 * 251.1 / CPI!B101</f>
        <v>1051232.6544381534</v>
      </c>
      <c r="E35" s="35">
        <f>Data!F114</f>
        <v>6642507</v>
      </c>
      <c r="F35" s="39">
        <f t="shared" si="17"/>
        <v>10.516233427485307</v>
      </c>
      <c r="G35" s="11">
        <f t="shared" si="22"/>
        <v>0.73241693708197675</v>
      </c>
      <c r="H35" s="12">
        <f t="shared" si="16"/>
        <v>94359.147585096231</v>
      </c>
      <c r="I35" s="12">
        <f t="shared" si="16"/>
        <v>202823.21407577101</v>
      </c>
      <c r="J35" s="17">
        <f t="shared" si="18"/>
        <v>0.54913462846262273</v>
      </c>
      <c r="K35" s="17">
        <f t="shared" si="19"/>
        <v>1.5939309369588641</v>
      </c>
      <c r="L35" s="18">
        <f t="shared" si="20"/>
        <v>0.70854346876104723</v>
      </c>
      <c r="M35" s="18">
        <f t="shared" si="14"/>
        <v>0.94452424783537225</v>
      </c>
      <c r="N35" s="30">
        <f>'Top 1% Labor Share'!C52</f>
        <v>0.1416</v>
      </c>
      <c r="O35" s="30">
        <f>'Top 10% Labor Share'!C52 - N35</f>
        <v>0.26310001</v>
      </c>
      <c r="P35" s="30">
        <f t="shared" si="6"/>
        <v>0.59529999</v>
      </c>
      <c r="Q35" s="47">
        <f t="shared" si="7"/>
        <v>0.70854346876104723</v>
      </c>
      <c r="R35" s="47">
        <f t="shared" si="8"/>
        <v>0.23598077907432502</v>
      </c>
      <c r="S35" s="47">
        <f t="shared" si="9"/>
        <v>5.5475752164627745E-2</v>
      </c>
      <c r="T35" s="48">
        <f t="shared" si="15"/>
        <v>0.29145653123895277</v>
      </c>
      <c r="U35" s="49">
        <f t="shared" si="21"/>
        <v>0.39546985278369462</v>
      </c>
      <c r="V35" s="30">
        <f t="shared" si="11"/>
        <v>1.5524665187015976</v>
      </c>
      <c r="W35" s="30">
        <f t="shared" si="12"/>
        <v>0.11492135517161528</v>
      </c>
      <c r="X35" s="30">
        <f t="shared" si="13"/>
        <v>-0.15982573229990216</v>
      </c>
    </row>
    <row r="36" spans="1:30" x14ac:dyDescent="0.5">
      <c r="A36">
        <v>2013</v>
      </c>
      <c r="B36" s="12">
        <f>'Minimum Deflation Total'!F36</f>
        <v>12977.5</v>
      </c>
      <c r="C36" s="12">
        <f>'Average Labor Income'!C53 *251.1 / CPI!B102</f>
        <v>47820.457106274007</v>
      </c>
      <c r="D36" s="12">
        <f>'99.9% Threshold Labor'!C53 * 251.1 / CPI!B102</f>
        <v>998558.0186427657</v>
      </c>
      <c r="E36" s="35">
        <f>Data!F115</f>
        <v>6018324</v>
      </c>
      <c r="F36" s="39">
        <f t="shared" si="17"/>
        <v>10.513229971519902</v>
      </c>
      <c r="G36" s="11">
        <f t="shared" si="22"/>
        <v>0.72384919470833575</v>
      </c>
      <c r="H36" s="12">
        <f t="shared" si="16"/>
        <v>93048.862763450787</v>
      </c>
      <c r="I36" s="12">
        <f t="shared" si="16"/>
        <v>198224.40108690565</v>
      </c>
      <c r="J36" s="17">
        <f t="shared" si="18"/>
        <v>0.55770237083626462</v>
      </c>
      <c r="K36" s="17">
        <f t="shared" si="19"/>
        <v>1.602498679332506</v>
      </c>
      <c r="L36" s="18">
        <f t="shared" si="20"/>
        <v>0.71147618075855035</v>
      </c>
      <c r="M36" s="18">
        <f t="shared" si="14"/>
        <v>0.9454773103292583</v>
      </c>
      <c r="N36" s="30">
        <f>'Top 1% Labor Share'!C53</f>
        <v>0.1358</v>
      </c>
      <c r="O36" s="30">
        <f>'Top 10% Labor Share'!C53 - N36</f>
        <v>0.26290000000000002</v>
      </c>
      <c r="P36" s="30">
        <f t="shared" si="6"/>
        <v>0.60129999999999995</v>
      </c>
      <c r="Q36" s="47">
        <f t="shared" si="7"/>
        <v>0.71147618075855035</v>
      </c>
      <c r="R36" s="47">
        <f t="shared" si="8"/>
        <v>0.23400112957070796</v>
      </c>
      <c r="S36" s="47">
        <f t="shared" si="9"/>
        <v>5.4522689670741697E-2</v>
      </c>
      <c r="T36" s="48">
        <f t="shared" si="15"/>
        <v>0.28852381924144965</v>
      </c>
      <c r="U36" s="49">
        <f t="shared" si="21"/>
        <v>0.39123607893968027</v>
      </c>
      <c r="V36" s="30">
        <f t="shared" si="11"/>
        <v>1.490706177924928</v>
      </c>
      <c r="W36" s="30">
        <f t="shared" si="12"/>
        <v>0.12349885012225847</v>
      </c>
      <c r="X36" s="30">
        <f t="shared" si="13"/>
        <v>-0.15485575446965005</v>
      </c>
    </row>
    <row r="37" spans="1:30" x14ac:dyDescent="0.5">
      <c r="A37" s="10">
        <v>2014</v>
      </c>
      <c r="B37" s="12">
        <v>20000</v>
      </c>
      <c r="C37" s="12">
        <f>'Average Labor Income'!C54 *251.1 / CPI!B103</f>
        <v>48174.068600760453</v>
      </c>
      <c r="D37" s="12">
        <f>'99.9% Threshold Labor'!C54 * 251.1 / CPI!B103</f>
        <v>1033797.5086311786</v>
      </c>
      <c r="E37" s="35">
        <f>Data!F116</f>
        <v>6416043</v>
      </c>
      <c r="F37" s="39">
        <f t="shared" si="17"/>
        <v>10.566394330394447</v>
      </c>
      <c r="G37" s="39">
        <f t="shared" si="22"/>
        <v>0.6575436548818846</v>
      </c>
      <c r="H37" s="12">
        <f>_xlfn.LOGNORM.INV(H$2,$F37,$G37)</f>
        <v>90135.59536942956</v>
      </c>
      <c r="I37" s="12">
        <f t="shared" si="16"/>
        <v>179166.28391370503</v>
      </c>
      <c r="J37" s="17">
        <f t="shared" si="18"/>
        <v>0.62400791066271621</v>
      </c>
      <c r="K37" s="17">
        <f t="shared" si="19"/>
        <v>1.6688042191589556</v>
      </c>
      <c r="L37" s="18">
        <f t="shared" si="20"/>
        <v>0.73368880505181533</v>
      </c>
      <c r="M37" s="18">
        <f t="shared" si="14"/>
        <v>0.95242190685100447</v>
      </c>
      <c r="N37" s="30">
        <f>'Top 1% Labor Share'!C54</f>
        <v>0.13980000000000001</v>
      </c>
      <c r="O37" s="30">
        <f>'Top 10% Labor Share'!C54 - N37</f>
        <v>0.26339999999999997</v>
      </c>
      <c r="P37" s="30">
        <f t="shared" si="6"/>
        <v>0.5968</v>
      </c>
      <c r="Q37" s="47">
        <f t="shared" si="7"/>
        <v>0.73368880505181533</v>
      </c>
      <c r="R37" s="47">
        <f t="shared" si="8"/>
        <v>0.21873310179918914</v>
      </c>
      <c r="S37" s="47">
        <f t="shared" si="9"/>
        <v>4.7578093148995526E-2</v>
      </c>
      <c r="T37" s="48">
        <f t="shared" si="15"/>
        <v>0.26631119494818467</v>
      </c>
      <c r="U37" s="49">
        <f t="shared" si="21"/>
        <v>0.35803529869593853</v>
      </c>
      <c r="V37" s="30">
        <f t="shared" si="11"/>
        <v>1.9383270902052003</v>
      </c>
      <c r="W37" s="30">
        <f t="shared" si="12"/>
        <v>0.20420730942597731</v>
      </c>
      <c r="X37" s="30">
        <f t="shared" si="13"/>
        <v>-0.18657611252791007</v>
      </c>
    </row>
    <row r="38" spans="1:30" x14ac:dyDescent="0.5">
      <c r="A38">
        <v>2015</v>
      </c>
      <c r="B38" s="12">
        <f>'Minimum Deflation Total'!F38</f>
        <v>12977.5</v>
      </c>
      <c r="C38" s="12">
        <f>'Average Labor Income'!C55 *251.1 / CPI!B104</f>
        <v>0</v>
      </c>
      <c r="D38" s="12">
        <f>'99.9% Threshold Labor'!C55 * 251.1 / CPI!B104</f>
        <v>0</v>
      </c>
      <c r="E38" s="35">
        <f>Data!F117</f>
        <v>0</v>
      </c>
      <c r="F38" s="11"/>
      <c r="G38" s="11"/>
      <c r="H38" s="12"/>
      <c r="I38" s="12"/>
      <c r="J38" s="17"/>
      <c r="K38" s="17"/>
      <c r="L38" s="18"/>
      <c r="M38" s="18"/>
      <c r="N38" s="30"/>
      <c r="O38" s="30"/>
      <c r="P38" s="30"/>
      <c r="Q38" s="30"/>
      <c r="R38" s="30"/>
      <c r="S38" s="30"/>
      <c r="T38" s="19"/>
      <c r="U38" s="19"/>
      <c r="V38" s="19"/>
      <c r="W38" s="30"/>
      <c r="X38" s="11"/>
      <c r="Y38" s="30"/>
      <c r="Z38" s="30"/>
      <c r="AA38" s="30"/>
    </row>
    <row r="39" spans="1:30" x14ac:dyDescent="0.5">
      <c r="A39" s="10">
        <v>2016</v>
      </c>
      <c r="B39" s="12">
        <f>'Minimum Deflation Total'!F39</f>
        <v>12977.5</v>
      </c>
      <c r="C39" s="12">
        <f>'Average Labor Income'!C56 *251.1 / CPI!B105</f>
        <v>0</v>
      </c>
      <c r="D39" s="12">
        <f>'99.9% Threshold Labor'!C56 * 251.1 / CPI!B105</f>
        <v>0</v>
      </c>
      <c r="E39" s="35">
        <f>Data!F118</f>
        <v>0</v>
      </c>
      <c r="F39" s="11"/>
      <c r="G39" s="11"/>
      <c r="H39" s="12"/>
      <c r="I39" s="12"/>
      <c r="J39" s="17"/>
      <c r="K39" s="17"/>
      <c r="L39" s="18"/>
      <c r="M39" s="18"/>
      <c r="N39" s="30"/>
      <c r="O39" s="30"/>
      <c r="P39" s="30"/>
      <c r="Q39" s="30"/>
      <c r="R39" s="30"/>
      <c r="S39" s="30"/>
      <c r="T39" s="19"/>
      <c r="U39" s="19"/>
      <c r="V39" s="19"/>
      <c r="W39" s="30"/>
      <c r="X39" s="11"/>
      <c r="Y39" s="30"/>
      <c r="Z39" s="30"/>
      <c r="AA39" s="30"/>
      <c r="AB39" s="30"/>
      <c r="AC39" s="30"/>
      <c r="AD39" s="30"/>
    </row>
    <row r="40" spans="1:30" x14ac:dyDescent="0.5">
      <c r="A40" s="10">
        <v>2017</v>
      </c>
      <c r="B40" s="12">
        <f>'Minimum Deflation Total'!F40</f>
        <v>12977.5</v>
      </c>
      <c r="C40" s="12">
        <f>'Average Labor Income'!C57 *251.1 / CPI!B106</f>
        <v>0</v>
      </c>
      <c r="D40" s="12">
        <f>'99.9% Threshold Labor'!C57 * 251.1 / CPI!B106</f>
        <v>0</v>
      </c>
      <c r="E40" s="35">
        <f>Data!F119</f>
        <v>0</v>
      </c>
      <c r="F40" s="11"/>
      <c r="G40" s="11"/>
    </row>
    <row r="41" spans="1:30" x14ac:dyDescent="0.5">
      <c r="A41">
        <v>2018</v>
      </c>
      <c r="B41" s="12">
        <f>'Minimum Deflation Total'!F41</f>
        <v>12977.5</v>
      </c>
      <c r="C41" s="12">
        <f>'Average Labor Income'!C58 *251.1 / CPI!B107</f>
        <v>0</v>
      </c>
      <c r="D41" s="12">
        <f>'99.9% Threshold Labor'!C58 * 251.1 / CPI!B107</f>
        <v>0</v>
      </c>
      <c r="E41" s="35">
        <f>Data!F120</f>
        <v>0</v>
      </c>
      <c r="F41" s="11"/>
      <c r="G41" s="11"/>
    </row>
    <row r="42" spans="1:30" x14ac:dyDescent="0.5">
      <c r="A42" s="10">
        <v>2019</v>
      </c>
      <c r="B42" s="12">
        <f>'Minimum Deflation Total'!F42</f>
        <v>12977.5</v>
      </c>
      <c r="C42" s="12"/>
      <c r="D42" s="12"/>
      <c r="E42" s="12"/>
      <c r="F42" s="11"/>
    </row>
    <row r="48" spans="1:30" x14ac:dyDescent="0.5">
      <c r="A48" t="s">
        <v>131</v>
      </c>
    </row>
    <row r="53" spans="1:5" x14ac:dyDescent="0.5">
      <c r="B53" s="13" t="s">
        <v>9</v>
      </c>
      <c r="C53" s="13" t="s">
        <v>10</v>
      </c>
      <c r="D53" s="13" t="s">
        <v>219</v>
      </c>
      <c r="E53" s="29" t="s">
        <v>121</v>
      </c>
    </row>
    <row r="54" spans="1:5" x14ac:dyDescent="0.5">
      <c r="A54">
        <v>2014</v>
      </c>
      <c r="B54">
        <v>12977.5</v>
      </c>
      <c r="C54">
        <v>48174.068600760453</v>
      </c>
      <c r="D54">
        <v>1033797.5086311786</v>
      </c>
      <c r="E54" s="30">
        <v>1.534249937382123</v>
      </c>
    </row>
    <row r="55" spans="1:5" x14ac:dyDescent="0.5">
      <c r="A55">
        <v>2014</v>
      </c>
      <c r="B55">
        <v>20000</v>
      </c>
      <c r="C55">
        <v>48174.068600760453</v>
      </c>
      <c r="D55">
        <v>1033797.5086311786</v>
      </c>
      <c r="E55" s="30">
        <v>1.9383270902052003</v>
      </c>
    </row>
    <row r="56" spans="1:5" x14ac:dyDescent="0.5">
      <c r="A56" t="s">
        <v>540</v>
      </c>
      <c r="B56">
        <f>B54-B55</f>
        <v>-7022.5</v>
      </c>
      <c r="C56">
        <f t="shared" ref="C56:E56" si="23">C54-C55</f>
        <v>0</v>
      </c>
      <c r="D56">
        <f t="shared" si="23"/>
        <v>0</v>
      </c>
      <c r="E56" s="30">
        <f t="shared" si="23"/>
        <v>-0.40407715282307732</v>
      </c>
    </row>
  </sheetData>
  <mergeCells count="8">
    <mergeCell ref="N1:S1"/>
    <mergeCell ref="T1:X1"/>
    <mergeCell ref="A1:A2"/>
    <mergeCell ref="B1:D1"/>
    <mergeCell ref="F1:G1"/>
    <mergeCell ref="H1:I1"/>
    <mergeCell ref="J1:K1"/>
    <mergeCell ref="L1:M1"/>
  </mergeCells>
  <hyperlinks>
    <hyperlink ref="H1" location="Index" display="Back to Index" xr:uid="{5BB6D204-0C7C-4326-88A3-1D6A7BC39751}"/>
  </hyperlinks>
  <pageMargins left="0.7" right="0.7" top="0.75" bottom="0.75" header="0.3" footer="0.3"/>
  <pageSetup orientation="portrait" horizontalDpi="4294967293" verticalDpi="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429DD-4905-403A-A151-7DCE39E13230}">
  <sheetPr codeName="Sheet19"/>
  <dimension ref="A1:AC89"/>
  <sheetViews>
    <sheetView zoomScale="55" zoomScaleNormal="55" workbookViewId="0">
      <pane xSplit="1" ySplit="2" topLeftCell="B21" activePane="bottomRight" state="frozen"/>
      <selection pane="topRight" activeCell="B1" sqref="B1"/>
      <selection pane="bottomLeft" activeCell="A3" sqref="A3"/>
      <selection pane="bottomRight" activeCell="D38" sqref="D38:D41"/>
    </sheetView>
  </sheetViews>
  <sheetFormatPr defaultRowHeight="15.75" x14ac:dyDescent="0.5"/>
  <cols>
    <col min="2" max="2" width="17" customWidth="1"/>
    <col min="3" max="3" width="25.125" customWidth="1"/>
    <col min="4" max="5" width="26" customWidth="1"/>
    <col min="6" max="6" width="9" customWidth="1"/>
    <col min="7" max="7" width="31.5" customWidth="1"/>
    <col min="8" max="8" width="15.375" customWidth="1"/>
    <col min="9" max="9" width="10.875" customWidth="1"/>
    <col min="10" max="10" width="13" customWidth="1"/>
    <col min="11" max="11" width="18.75" customWidth="1"/>
    <col min="12" max="12" width="15.25" customWidth="1"/>
    <col min="13" max="13" width="16" customWidth="1"/>
    <col min="14" max="14" width="16.5" customWidth="1"/>
    <col min="15" max="15" width="15.125" customWidth="1"/>
    <col min="16" max="16" width="13.25" customWidth="1"/>
    <col min="17" max="17" width="11.625" customWidth="1"/>
    <col min="18" max="18" width="11.875" customWidth="1"/>
    <col min="19" max="19" width="12.625" customWidth="1"/>
    <col min="20" max="20" width="13.875" customWidth="1"/>
    <col min="21" max="21" width="16.625" customWidth="1"/>
    <col min="22" max="22" width="17.375" customWidth="1"/>
    <col min="23" max="23" width="17.75" customWidth="1"/>
    <col min="24" max="24" width="41.5" customWidth="1"/>
    <col min="25" max="25" width="33.75" customWidth="1"/>
    <col min="26" max="26" width="28.375" customWidth="1"/>
    <col min="27" max="27" width="13.625" customWidth="1"/>
    <col min="28" max="28" width="18.375" customWidth="1"/>
    <col min="29" max="29" width="24" customWidth="1"/>
    <col min="30" max="30" width="20.5" customWidth="1"/>
  </cols>
  <sheetData>
    <row r="1" spans="1:29" x14ac:dyDescent="0.5">
      <c r="A1" s="105" t="s">
        <v>5</v>
      </c>
      <c r="B1" s="106" t="s">
        <v>12</v>
      </c>
      <c r="C1" s="106"/>
      <c r="D1" s="106"/>
      <c r="E1" s="37"/>
      <c r="F1" s="107" t="s">
        <v>13</v>
      </c>
      <c r="G1" s="107"/>
      <c r="H1" s="108" t="s">
        <v>543</v>
      </c>
      <c r="I1" s="106"/>
      <c r="J1" s="109" t="s">
        <v>19</v>
      </c>
      <c r="K1" s="109"/>
      <c r="L1" s="103" t="s">
        <v>20</v>
      </c>
      <c r="M1" s="103"/>
      <c r="N1" s="104" t="s">
        <v>116</v>
      </c>
      <c r="O1" s="104"/>
      <c r="P1" s="104"/>
      <c r="Q1" s="104"/>
      <c r="R1" s="104"/>
      <c r="S1" s="104"/>
      <c r="T1" s="103" t="s">
        <v>21</v>
      </c>
      <c r="U1" s="103"/>
      <c r="V1" s="103"/>
      <c r="W1" s="103"/>
      <c r="X1" s="103"/>
    </row>
    <row r="2" spans="1:29" ht="31.5" x14ac:dyDescent="0.5">
      <c r="A2" s="105"/>
      <c r="B2" s="62" t="s">
        <v>9</v>
      </c>
      <c r="C2" s="62" t="s">
        <v>10</v>
      </c>
      <c r="D2" s="62" t="s">
        <v>176</v>
      </c>
      <c r="E2" s="63" t="s">
        <v>3</v>
      </c>
      <c r="F2" s="63" t="s">
        <v>4</v>
      </c>
      <c r="G2" s="64">
        <v>0.9</v>
      </c>
      <c r="H2" s="64">
        <v>0.99</v>
      </c>
      <c r="I2" s="65" t="s">
        <v>14</v>
      </c>
      <c r="J2" s="65" t="s">
        <v>15</v>
      </c>
      <c r="K2" s="66" t="s">
        <v>16</v>
      </c>
      <c r="L2" s="66" t="s">
        <v>17</v>
      </c>
      <c r="M2" s="67" t="s">
        <v>117</v>
      </c>
      <c r="N2" s="67" t="s">
        <v>120</v>
      </c>
      <c r="O2" s="67" t="s">
        <v>124</v>
      </c>
      <c r="P2" s="68" t="s">
        <v>0</v>
      </c>
      <c r="Q2" s="68" t="s">
        <v>1</v>
      </c>
      <c r="R2" s="68" t="s">
        <v>2</v>
      </c>
      <c r="S2" s="68" t="s">
        <v>118</v>
      </c>
      <c r="T2" s="69" t="s">
        <v>25</v>
      </c>
      <c r="U2" s="67" t="s">
        <v>121</v>
      </c>
      <c r="V2" s="67" t="s">
        <v>122</v>
      </c>
      <c r="W2" s="67" t="s">
        <v>123</v>
      </c>
      <c r="X2" s="67"/>
      <c r="Y2" s="29"/>
      <c r="Z2" s="29"/>
      <c r="AA2" s="29"/>
      <c r="AB2" s="29"/>
      <c r="AC2" s="29"/>
    </row>
    <row r="3" spans="1:29" x14ac:dyDescent="0.5">
      <c r="A3" s="10">
        <v>1980</v>
      </c>
      <c r="B3" s="12">
        <f>'Minimum Deflation Total'!F3</f>
        <v>5549</v>
      </c>
      <c r="C3" s="12">
        <f>'Average Labor Income'!C20 *251.1 / CPI!B69</f>
        <v>98113.969889563101</v>
      </c>
      <c r="D3" s="35">
        <f>'99.9% Average Labor'!D20*251.1 / CPI!B69</f>
        <v>1896559.2141990289</v>
      </c>
      <c r="E3" s="11">
        <f t="shared" ref="E3:E16" si="0">LN(C3)-F3^2/2</f>
        <v>11.021140000008113</v>
      </c>
      <c r="F3" s="39">
        <f t="shared" ref="F3:F17" si="1">(LN(D3)-LN(B3))/6</f>
        <v>0.97236314203025209</v>
      </c>
      <c r="G3" s="12">
        <f t="shared" ref="G3:H12" si="2">_xlfn.LOGNORM.INV(G$2,$E3,$F3)</f>
        <v>212622.48620406291</v>
      </c>
      <c r="H3" s="12">
        <f t="shared" si="2"/>
        <v>587243.55540393933</v>
      </c>
      <c r="I3" s="17">
        <f t="shared" ref="I3:I16" si="3">(LN(G3)-($E3+$F3^2))/$F3</f>
        <v>0.30918842351434811</v>
      </c>
      <c r="J3" s="17">
        <f t="shared" ref="J3:J16" si="4">(LN(H3)-($E3+$F3^2))/$F3</f>
        <v>1.3539847320105889</v>
      </c>
      <c r="K3" s="18">
        <f t="shared" ref="K3:K16" si="5">_xlfn.NORM.DIST(I3,0,1,TRUE)</f>
        <v>0.62141090026593337</v>
      </c>
      <c r="L3" s="18">
        <f>_xlfn.NORM.DIST(J3,0,1,TRUE)</f>
        <v>0.91212937559271468</v>
      </c>
      <c r="M3" s="30">
        <f>Data!K199</f>
        <v>0.1067</v>
      </c>
      <c r="N3" s="30">
        <f>Data!K316 - M3</f>
        <v>0.23570000999999996</v>
      </c>
      <c r="O3" s="30">
        <f t="shared" ref="O3:O16" si="6">1-N3 - M3</f>
        <v>0.65759999000000002</v>
      </c>
      <c r="P3" s="47">
        <f t="shared" ref="P3:P37" si="7">K3</f>
        <v>0.62141090026593337</v>
      </c>
      <c r="Q3" s="47">
        <f t="shared" ref="Q3:Q37" si="8">L3-K3</f>
        <v>0.2907184753267813</v>
      </c>
      <c r="R3" s="47">
        <f t="shared" ref="R3:R37" si="9">1-L3</f>
        <v>8.7870624407285325E-2</v>
      </c>
      <c r="S3" s="48">
        <f>Q3+R3</f>
        <v>0.37858909973406663</v>
      </c>
      <c r="T3" s="49">
        <f t="shared" ref="T3:T37" si="10">2*_xlfn.NORM.DIST(F3/SQRT(2),0,1,TRUE)-1</f>
        <v>0.50827297496730361</v>
      </c>
      <c r="U3" s="30">
        <f t="shared" ref="U3:U37" si="11">M3/R3 - 1</f>
        <v>0.21428521442432746</v>
      </c>
      <c r="V3" s="30">
        <f t="shared" ref="V3:V37" si="12">N3/Q3 - 1</f>
        <v>-0.18924997891839512</v>
      </c>
      <c r="W3" s="30">
        <f t="shared" ref="W3:W37" si="13">O3/P3 - 1</f>
        <v>5.8236972860597591E-2</v>
      </c>
      <c r="X3" s="30"/>
      <c r="Y3" s="30"/>
      <c r="Z3" s="30"/>
    </row>
    <row r="4" spans="1:29" x14ac:dyDescent="0.5">
      <c r="A4">
        <v>1981</v>
      </c>
      <c r="B4" s="12">
        <f>'Minimum Deflation Total'!F4</f>
        <v>5996.5</v>
      </c>
      <c r="C4" s="12">
        <f>'Average Labor Income'!C21 *251.1 / CPI!B70</f>
        <v>88217.316623762366</v>
      </c>
      <c r="D4" s="35">
        <f>'99.9% Average Labor'!D21*251.1 / CPI!B70</f>
        <v>1785427.3514851483</v>
      </c>
      <c r="E4" s="11">
        <f t="shared" si="0"/>
        <v>10.936904150195637</v>
      </c>
      <c r="F4" s="39">
        <f t="shared" si="1"/>
        <v>0.94937285207769995</v>
      </c>
      <c r="G4" s="12">
        <f t="shared" si="2"/>
        <v>189771.2000169192</v>
      </c>
      <c r="H4" s="12">
        <f t="shared" si="2"/>
        <v>511690.72373344784</v>
      </c>
      <c r="I4" s="17">
        <f t="shared" si="3"/>
        <v>0.33217871346690164</v>
      </c>
      <c r="J4" s="17">
        <f t="shared" si="4"/>
        <v>1.376975021963142</v>
      </c>
      <c r="K4" s="18">
        <f t="shared" si="5"/>
        <v>0.63012284188114787</v>
      </c>
      <c r="L4" s="18">
        <f t="shared" ref="L4:L37" si="14">_xlfn.NORM.DIST(J4,0,1,TRUE)</f>
        <v>0.9157400147524275</v>
      </c>
      <c r="M4" s="30">
        <f>Data!K200</f>
        <v>0.1105</v>
      </c>
      <c r="N4" s="30">
        <f>Data!K317 - M4</f>
        <v>0.23670001000000002</v>
      </c>
      <c r="O4" s="30">
        <f t="shared" si="6"/>
        <v>0.65279998999999989</v>
      </c>
      <c r="P4" s="47">
        <f t="shared" si="7"/>
        <v>0.63012284188114787</v>
      </c>
      <c r="Q4" s="47">
        <f t="shared" si="8"/>
        <v>0.28561717287127963</v>
      </c>
      <c r="R4" s="47">
        <f t="shared" si="9"/>
        <v>8.42599852475725E-2</v>
      </c>
      <c r="S4" s="48">
        <f t="shared" ref="S4:S37" si="15">Q4+R4</f>
        <v>0.36987715811885213</v>
      </c>
      <c r="T4" s="49">
        <f t="shared" si="10"/>
        <v>0.49797564893818524</v>
      </c>
      <c r="U4" s="30">
        <f t="shared" si="11"/>
        <v>0.31141727209338033</v>
      </c>
      <c r="V4" s="30">
        <f t="shared" si="12"/>
        <v>-0.171268283274148</v>
      </c>
      <c r="W4" s="30">
        <f t="shared" si="13"/>
        <v>3.5988455919408358E-2</v>
      </c>
      <c r="X4" s="30"/>
      <c r="Y4" s="30"/>
      <c r="Z4" s="30"/>
    </row>
    <row r="5" spans="1:29" x14ac:dyDescent="0.5">
      <c r="A5" s="10">
        <v>1982</v>
      </c>
      <c r="B5" s="12">
        <f>'Minimum Deflation Total'!F5</f>
        <v>5996.5</v>
      </c>
      <c r="C5" s="12">
        <f>'Average Labor Income'!C22 *251.1 / CPI!B71</f>
        <v>80297.096269430054</v>
      </c>
      <c r="D5" s="35">
        <f>'99.9% Average Labor'!D22*251.1 / CPI!B71</f>
        <v>1770480.8859170985</v>
      </c>
      <c r="E5" s="11">
        <f t="shared" si="0"/>
        <v>10.844163517283755</v>
      </c>
      <c r="F5" s="39">
        <f t="shared" si="1"/>
        <v>0.94797175165613845</v>
      </c>
      <c r="G5" s="12">
        <f t="shared" si="2"/>
        <v>172652.84821200056</v>
      </c>
      <c r="H5" s="12">
        <f t="shared" si="2"/>
        <v>464852.57272678014</v>
      </c>
      <c r="I5" s="17">
        <f t="shared" si="3"/>
        <v>0.33357981388846264</v>
      </c>
      <c r="J5" s="17">
        <f t="shared" si="4"/>
        <v>1.3783761223847018</v>
      </c>
      <c r="K5" s="18">
        <f t="shared" si="5"/>
        <v>0.63065167362368479</v>
      </c>
      <c r="L5" s="18">
        <f t="shared" si="14"/>
        <v>0.91595640419765512</v>
      </c>
      <c r="M5" s="30">
        <f>Data!K201</f>
        <v>0.11260000000000001</v>
      </c>
      <c r="N5" s="30">
        <f>Data!K318 - M5</f>
        <v>0.23640001000000002</v>
      </c>
      <c r="O5" s="30">
        <f t="shared" si="6"/>
        <v>0.65099998999999997</v>
      </c>
      <c r="P5" s="47">
        <f t="shared" si="7"/>
        <v>0.63065167362368479</v>
      </c>
      <c r="Q5" s="47">
        <f t="shared" si="8"/>
        <v>0.28530473057397032</v>
      </c>
      <c r="R5" s="47">
        <f t="shared" si="9"/>
        <v>8.4043595802344884E-2</v>
      </c>
      <c r="S5" s="48">
        <f t="shared" si="15"/>
        <v>0.36934832637631521</v>
      </c>
      <c r="T5" s="49">
        <f t="shared" si="10"/>
        <v>0.49734442955801317</v>
      </c>
      <c r="U5" s="30">
        <f t="shared" si="11"/>
        <v>0.33978084736896008</v>
      </c>
      <c r="V5" s="30">
        <f t="shared" si="12"/>
        <v>-0.1714122316709743</v>
      </c>
      <c r="W5" s="30">
        <f t="shared" si="13"/>
        <v>3.2265539326003845E-2</v>
      </c>
      <c r="X5" s="30"/>
      <c r="Y5" s="30"/>
      <c r="Z5" s="30"/>
    </row>
    <row r="6" spans="1:29" x14ac:dyDescent="0.5">
      <c r="A6">
        <v>1983</v>
      </c>
      <c r="B6" s="12">
        <f>'Minimum Deflation Total'!F6</f>
        <v>5996.5</v>
      </c>
      <c r="C6" s="12">
        <f>'Average Labor Income'!C23 *251.1 / CPI!B72</f>
        <v>77952.936144578329</v>
      </c>
      <c r="D6" s="35">
        <f>'99.9% Average Labor'!D23*251.1 / CPI!B72</f>
        <v>1764109.377921687</v>
      </c>
      <c r="E6" s="11">
        <f t="shared" si="0"/>
        <v>10.815104749521181</v>
      </c>
      <c r="F6" s="39">
        <f t="shared" si="1"/>
        <v>0.94737087909656115</v>
      </c>
      <c r="G6" s="12">
        <f t="shared" si="2"/>
        <v>167578.86961160196</v>
      </c>
      <c r="H6" s="12">
        <f t="shared" si="2"/>
        <v>450908.16840997303</v>
      </c>
      <c r="I6" s="17">
        <f t="shared" si="3"/>
        <v>0.33418068644803889</v>
      </c>
      <c r="J6" s="17">
        <f t="shared" si="4"/>
        <v>1.3789769949442781</v>
      </c>
      <c r="K6" s="18">
        <f t="shared" si="5"/>
        <v>0.6308783914770002</v>
      </c>
      <c r="L6" s="18">
        <f t="shared" si="14"/>
        <v>0.91604907651654677</v>
      </c>
      <c r="M6" s="30">
        <f>Data!K202</f>
        <v>0.11509999999999999</v>
      </c>
      <c r="N6" s="30">
        <f>Data!K319 - M6</f>
        <v>0.23910001000000003</v>
      </c>
      <c r="O6" s="30">
        <f t="shared" si="6"/>
        <v>0.64579998999999999</v>
      </c>
      <c r="P6" s="47">
        <f t="shared" si="7"/>
        <v>0.6308783914770002</v>
      </c>
      <c r="Q6" s="47">
        <f t="shared" si="8"/>
        <v>0.28517068503954657</v>
      </c>
      <c r="R6" s="47">
        <f t="shared" si="9"/>
        <v>8.3950923483453233E-2</v>
      </c>
      <c r="S6" s="48">
        <f t="shared" si="15"/>
        <v>0.3691216085229998</v>
      </c>
      <c r="T6" s="49">
        <f t="shared" si="10"/>
        <v>0.49707359783297655</v>
      </c>
      <c r="U6" s="30">
        <f t="shared" si="11"/>
        <v>0.37103911695130143</v>
      </c>
      <c r="V6" s="30">
        <f t="shared" si="12"/>
        <v>-0.16155473706267387</v>
      </c>
      <c r="W6" s="30">
        <f t="shared" si="13"/>
        <v>2.3652099556089823E-2</v>
      </c>
      <c r="X6" s="30"/>
      <c r="Y6" s="30"/>
      <c r="Z6" s="30"/>
    </row>
    <row r="7" spans="1:29" x14ac:dyDescent="0.5">
      <c r="A7" s="10">
        <v>1984</v>
      </c>
      <c r="B7" s="12">
        <f>'Minimum Deflation Total'!F7</f>
        <v>5996.5</v>
      </c>
      <c r="C7" s="12">
        <f>'Average Labor Income'!C24 *251.1 / CPI!B73</f>
        <v>78527.837044273329</v>
      </c>
      <c r="D7" s="35">
        <f>'99.9% Average Labor'!D24*251.1 / CPI!B73</f>
        <v>2047219.0250240613</v>
      </c>
      <c r="E7" s="11">
        <f t="shared" si="0"/>
        <v>10.798644456092926</v>
      </c>
      <c r="F7" s="39">
        <f t="shared" si="1"/>
        <v>0.97217693538424044</v>
      </c>
      <c r="G7" s="12">
        <f t="shared" si="2"/>
        <v>170167.636909091</v>
      </c>
      <c r="H7" s="12">
        <f t="shared" si="2"/>
        <v>469895.77929477597</v>
      </c>
      <c r="I7" s="17">
        <f t="shared" si="3"/>
        <v>0.30937463016035988</v>
      </c>
      <c r="J7" s="17">
        <f t="shared" si="4"/>
        <v>1.3541709386566005</v>
      </c>
      <c r="K7" s="18">
        <f t="shared" si="5"/>
        <v>0.62148171669276187</v>
      </c>
      <c r="L7" s="18">
        <f t="shared" si="14"/>
        <v>0.91215907583290523</v>
      </c>
      <c r="M7" s="30">
        <f>Data!K203</f>
        <v>0.125</v>
      </c>
      <c r="N7" s="30">
        <f>Data!K320 - M7</f>
        <v>0.24160000999999998</v>
      </c>
      <c r="O7" s="30">
        <f t="shared" si="6"/>
        <v>0.63339999000000002</v>
      </c>
      <c r="P7" s="47">
        <f t="shared" si="7"/>
        <v>0.62148171669276187</v>
      </c>
      <c r="Q7" s="47">
        <f t="shared" si="8"/>
        <v>0.29067735914014337</v>
      </c>
      <c r="R7" s="47">
        <f t="shared" si="9"/>
        <v>8.7840924167094769E-2</v>
      </c>
      <c r="S7" s="48">
        <f t="shared" si="15"/>
        <v>0.37851828330723813</v>
      </c>
      <c r="T7" s="49">
        <f t="shared" si="10"/>
        <v>0.50819003103569615</v>
      </c>
      <c r="U7" s="30">
        <f t="shared" si="11"/>
        <v>0.42302692264734887</v>
      </c>
      <c r="V7" s="30">
        <f t="shared" si="12"/>
        <v>-0.16883788020270918</v>
      </c>
      <c r="W7" s="30">
        <f t="shared" si="13"/>
        <v>1.9177190554634072E-2</v>
      </c>
      <c r="X7" s="30"/>
      <c r="Y7" s="30"/>
      <c r="Z7" s="30"/>
    </row>
    <row r="8" spans="1:29" x14ac:dyDescent="0.5">
      <c r="A8">
        <v>1985</v>
      </c>
      <c r="B8" s="12">
        <f>'Minimum Deflation Total'!F8</f>
        <v>5996.5</v>
      </c>
      <c r="C8" s="12">
        <f>'Average Labor Income'!C25 *251.1 / CPI!B74</f>
        <v>77407.180410780667</v>
      </c>
      <c r="D8" s="35">
        <f>'99.9% Average Labor'!D25*251.1 / CPI!B74</f>
        <v>2016457.8499070634</v>
      </c>
      <c r="E8" s="11">
        <f t="shared" si="0"/>
        <v>10.786720749880137</v>
      </c>
      <c r="F8" s="39">
        <f t="shared" si="1"/>
        <v>0.96965362430088398</v>
      </c>
      <c r="G8" s="12">
        <f t="shared" si="2"/>
        <v>167607.77734148171</v>
      </c>
      <c r="H8" s="12">
        <f t="shared" si="2"/>
        <v>461608.49497334642</v>
      </c>
      <c r="I8" s="17">
        <f t="shared" si="3"/>
        <v>0.31189794124371617</v>
      </c>
      <c r="J8" s="17">
        <f t="shared" si="4"/>
        <v>1.3566942497399577</v>
      </c>
      <c r="K8" s="18">
        <f t="shared" si="5"/>
        <v>0.62244095641637842</v>
      </c>
      <c r="L8" s="18">
        <f t="shared" si="14"/>
        <v>0.91256080982975674</v>
      </c>
      <c r="M8" s="30">
        <f>Data!K204</f>
        <v>0.12549999000000001</v>
      </c>
      <c r="N8" s="30">
        <f>Data!K321 - M8</f>
        <v>0.24110001999999997</v>
      </c>
      <c r="O8" s="30">
        <f t="shared" si="6"/>
        <v>0.63339999000000002</v>
      </c>
      <c r="P8" s="47">
        <f t="shared" si="7"/>
        <v>0.62244095641637842</v>
      </c>
      <c r="Q8" s="47">
        <f t="shared" si="8"/>
        <v>0.29011985341337831</v>
      </c>
      <c r="R8" s="47">
        <f t="shared" si="9"/>
        <v>8.7439190170243264E-2</v>
      </c>
      <c r="S8" s="48">
        <f t="shared" si="15"/>
        <v>0.37755904358362158</v>
      </c>
      <c r="T8" s="49">
        <f t="shared" si="10"/>
        <v>0.5070653068606692</v>
      </c>
      <c r="U8" s="30">
        <f t="shared" si="11"/>
        <v>0.43528307793853904</v>
      </c>
      <c r="V8" s="30">
        <f t="shared" si="12"/>
        <v>-0.16896407755842979</v>
      </c>
      <c r="W8" s="30">
        <f t="shared" si="13"/>
        <v>1.7606543192010937E-2</v>
      </c>
      <c r="X8" s="30"/>
      <c r="Y8" s="30"/>
      <c r="Z8" s="30"/>
    </row>
    <row r="9" spans="1:29" x14ac:dyDescent="0.5">
      <c r="A9" s="10">
        <v>1986</v>
      </c>
      <c r="B9" s="12">
        <f>'Minimum Deflation Total'!F9</f>
        <v>5996.5</v>
      </c>
      <c r="C9" s="12">
        <f>'Average Labor Income'!C26 *251.1 / CPI!B75</f>
        <v>77993.121695255482</v>
      </c>
      <c r="D9" s="35">
        <f>'99.9% Average Labor'!D26*251.1 / CPI!B75</f>
        <v>2023059.5474452556</v>
      </c>
      <c r="E9" s="11">
        <f t="shared" si="0"/>
        <v>10.793733465865229</v>
      </c>
      <c r="F9" s="39">
        <f t="shared" si="1"/>
        <v>0.97019838437708739</v>
      </c>
      <c r="G9" s="12">
        <f t="shared" si="2"/>
        <v>168905.17204321318</v>
      </c>
      <c r="H9" s="12">
        <f t="shared" si="2"/>
        <v>465446.48875809152</v>
      </c>
      <c r="I9" s="17">
        <f t="shared" si="3"/>
        <v>0.31135318116751437</v>
      </c>
      <c r="J9" s="17">
        <f t="shared" si="4"/>
        <v>1.356149489663754</v>
      </c>
      <c r="K9" s="18">
        <f t="shared" si="5"/>
        <v>0.62223392890678642</v>
      </c>
      <c r="L9" s="18">
        <f t="shared" si="14"/>
        <v>0.9124741953673976</v>
      </c>
      <c r="M9" s="30">
        <f>Data!K205</f>
        <v>0.1221</v>
      </c>
      <c r="N9" s="30">
        <f>Data!K322 - M9</f>
        <v>0.24259998999999999</v>
      </c>
      <c r="O9" s="30">
        <f t="shared" si="6"/>
        <v>0.63530001000000003</v>
      </c>
      <c r="P9" s="47">
        <f t="shared" si="7"/>
        <v>0.62223392890678642</v>
      </c>
      <c r="Q9" s="47">
        <f t="shared" si="8"/>
        <v>0.29024026646061118</v>
      </c>
      <c r="R9" s="47">
        <f t="shared" si="9"/>
        <v>8.75258046326024E-2</v>
      </c>
      <c r="S9" s="48">
        <f t="shared" si="15"/>
        <v>0.37776607109321358</v>
      </c>
      <c r="T9" s="49">
        <f t="shared" si="10"/>
        <v>0.50730824125164808</v>
      </c>
      <c r="U9" s="30">
        <f t="shared" si="11"/>
        <v>0.39501716679470644</v>
      </c>
      <c r="V9" s="30">
        <f t="shared" si="12"/>
        <v>-0.16414082388212148</v>
      </c>
      <c r="W9" s="30">
        <f t="shared" si="13"/>
        <v>2.0998663824342678E-2</v>
      </c>
      <c r="X9" s="30"/>
      <c r="Y9" s="30"/>
      <c r="Z9" s="30"/>
    </row>
    <row r="10" spans="1:29" x14ac:dyDescent="0.5">
      <c r="A10">
        <v>1987</v>
      </c>
      <c r="B10" s="12">
        <f>'Minimum Deflation Total'!F10</f>
        <v>5996.5</v>
      </c>
      <c r="C10" s="12">
        <f>'Average Labor Income'!C27 *251.1 / CPI!B76</f>
        <v>77619.295941021133</v>
      </c>
      <c r="D10" s="35">
        <f>'99.9% Average Labor'!D27*251.1 / CPI!B76</f>
        <v>2295931.5237676059</v>
      </c>
      <c r="E10" s="11">
        <f t="shared" si="0"/>
        <v>10.768247042393135</v>
      </c>
      <c r="F10" s="39">
        <f t="shared" si="1"/>
        <v>0.99128632786033999</v>
      </c>
      <c r="G10" s="12">
        <f t="shared" si="2"/>
        <v>169165.29414449711</v>
      </c>
      <c r="H10" s="12">
        <f t="shared" si="2"/>
        <v>476548.07255501777</v>
      </c>
      <c r="I10" s="17">
        <f t="shared" si="3"/>
        <v>0.29026523768425944</v>
      </c>
      <c r="J10" s="17">
        <f t="shared" si="4"/>
        <v>1.3350615461804995</v>
      </c>
      <c r="K10" s="18">
        <f t="shared" si="5"/>
        <v>0.61419333457471337</v>
      </c>
      <c r="L10" s="18">
        <f t="shared" si="14"/>
        <v>0.9090718981340169</v>
      </c>
      <c r="M10" s="30">
        <f>Data!K206</f>
        <v>0.1331</v>
      </c>
      <c r="N10" s="30">
        <f>Data!K323 - M10</f>
        <v>0.24299999999999999</v>
      </c>
      <c r="O10" s="30">
        <f t="shared" si="6"/>
        <v>0.62390000000000001</v>
      </c>
      <c r="P10" s="47">
        <f t="shared" si="7"/>
        <v>0.61419333457471337</v>
      </c>
      <c r="Q10" s="47">
        <f t="shared" si="8"/>
        <v>0.29487856355930353</v>
      </c>
      <c r="R10" s="47">
        <f t="shared" si="9"/>
        <v>9.0928101865983102E-2</v>
      </c>
      <c r="S10" s="48">
        <f t="shared" si="15"/>
        <v>0.38580666542528663</v>
      </c>
      <c r="T10" s="49">
        <f t="shared" si="10"/>
        <v>0.51666283781985634</v>
      </c>
      <c r="U10" s="30">
        <f t="shared" si="11"/>
        <v>0.46379389065190324</v>
      </c>
      <c r="V10" s="30">
        <f t="shared" si="12"/>
        <v>-0.17593195969591102</v>
      </c>
      <c r="W10" s="30">
        <f t="shared" si="13"/>
        <v>1.5803925049117984E-2</v>
      </c>
      <c r="X10" s="30"/>
      <c r="Y10" s="30"/>
      <c r="Z10" s="30"/>
    </row>
    <row r="11" spans="1:29" x14ac:dyDescent="0.5">
      <c r="A11" s="10">
        <v>1988</v>
      </c>
      <c r="B11" s="12">
        <f>'Minimum Deflation Total'!F11</f>
        <v>5996.5</v>
      </c>
      <c r="C11" s="12">
        <f>'Average Labor Income'!C28 *251.1 / CPI!B77</f>
        <v>77426.254118343189</v>
      </c>
      <c r="D11" s="35">
        <f>'99.9% Average Labor'!D28*251.1 / CPI!B77</f>
        <v>2884872.4052409125</v>
      </c>
      <c r="E11" s="11">
        <f t="shared" si="0"/>
        <v>10.727307356137018</v>
      </c>
      <c r="F11" s="39">
        <f t="shared" si="1"/>
        <v>1.0293433308869384</v>
      </c>
      <c r="G11" s="12">
        <f t="shared" si="2"/>
        <v>170495.45412350944</v>
      </c>
      <c r="H11" s="12">
        <f t="shared" si="2"/>
        <v>499777.3736770142</v>
      </c>
      <c r="I11" s="17">
        <f t="shared" si="3"/>
        <v>0.2522082346576624</v>
      </c>
      <c r="J11" s="17">
        <f t="shared" si="4"/>
        <v>1.2970045431539021</v>
      </c>
      <c r="K11" s="18">
        <f t="shared" si="5"/>
        <v>0.59955994328044071</v>
      </c>
      <c r="L11" s="18">
        <f t="shared" si="14"/>
        <v>0.90268518819122623</v>
      </c>
      <c r="M11" s="30">
        <f>Data!K207</f>
        <v>0.14879999999999999</v>
      </c>
      <c r="N11" s="30">
        <f>Data!K324 - M11</f>
        <v>0.24069999000000003</v>
      </c>
      <c r="O11" s="30">
        <f t="shared" si="6"/>
        <v>0.61050000999999998</v>
      </c>
      <c r="P11" s="47">
        <f t="shared" si="7"/>
        <v>0.59955994328044071</v>
      </c>
      <c r="Q11" s="47">
        <f t="shared" si="8"/>
        <v>0.30312524491078552</v>
      </c>
      <c r="R11" s="47">
        <f t="shared" si="9"/>
        <v>9.7314811808773771E-2</v>
      </c>
      <c r="S11" s="48">
        <f t="shared" si="15"/>
        <v>0.40044005671955929</v>
      </c>
      <c r="T11" s="49">
        <f t="shared" si="10"/>
        <v>0.53329804534823788</v>
      </c>
      <c r="U11" s="30">
        <f t="shared" si="11"/>
        <v>0.52905808719433178</v>
      </c>
      <c r="V11" s="30">
        <f t="shared" si="12"/>
        <v>-0.20593881888378585</v>
      </c>
      <c r="W11" s="30">
        <f t="shared" si="13"/>
        <v>1.8246827264179144E-2</v>
      </c>
      <c r="X11" s="30"/>
      <c r="Y11" s="30"/>
      <c r="Z11" s="30"/>
    </row>
    <row r="12" spans="1:29" x14ac:dyDescent="0.5">
      <c r="A12">
        <v>1989</v>
      </c>
      <c r="B12" s="12">
        <f>'Minimum Deflation Total'!F12</f>
        <v>5996.5</v>
      </c>
      <c r="C12" s="12">
        <f>'Average Labor Income'!C29 *251.1 / CPI!B78</f>
        <v>74781.018450000003</v>
      </c>
      <c r="D12" s="35">
        <f>'99.9% Average Labor'!D29*251.1 / CPI!B78</f>
        <v>2468469.7349999999</v>
      </c>
      <c r="E12" s="11">
        <f t="shared" si="0"/>
        <v>10.718950757745606</v>
      </c>
      <c r="F12" s="39">
        <f t="shared" si="1"/>
        <v>1.0033629552420074</v>
      </c>
      <c r="G12" s="12">
        <f t="shared" si="2"/>
        <v>163539.87507666441</v>
      </c>
      <c r="H12" s="12">
        <f t="shared" si="2"/>
        <v>466550.72823940503</v>
      </c>
      <c r="I12" s="17">
        <f t="shared" si="3"/>
        <v>0.27818861030259345</v>
      </c>
      <c r="J12" s="17">
        <f t="shared" si="4"/>
        <v>1.3229849187988347</v>
      </c>
      <c r="K12" s="18">
        <f t="shared" si="5"/>
        <v>0.60956621120783039</v>
      </c>
      <c r="L12" s="18">
        <f t="shared" si="14"/>
        <v>0.90707980340954752</v>
      </c>
      <c r="M12" s="30">
        <f>Data!K208</f>
        <v>0.14460000000000001</v>
      </c>
      <c r="N12" s="30">
        <f>Data!K325 - M12</f>
        <v>0.24209999999999998</v>
      </c>
      <c r="O12" s="30">
        <f t="shared" si="6"/>
        <v>0.61329999999999996</v>
      </c>
      <c r="P12" s="47">
        <f t="shared" si="7"/>
        <v>0.60956621120783039</v>
      </c>
      <c r="Q12" s="47">
        <f t="shared" si="8"/>
        <v>0.29751359220171714</v>
      </c>
      <c r="R12" s="47">
        <f t="shared" si="9"/>
        <v>9.2920196590452475E-2</v>
      </c>
      <c r="S12" s="48">
        <f t="shared" si="15"/>
        <v>0.39043378879216961</v>
      </c>
      <c r="T12" s="49">
        <f t="shared" si="10"/>
        <v>0.52197628803797924</v>
      </c>
      <c r="U12" s="30">
        <f t="shared" si="11"/>
        <v>0.55617406447521023</v>
      </c>
      <c r="V12" s="30">
        <f t="shared" si="12"/>
        <v>-0.18625566580550101</v>
      </c>
      <c r="W12" s="30">
        <f t="shared" si="13"/>
        <v>6.1253211275789088E-3</v>
      </c>
      <c r="X12" s="30"/>
      <c r="Y12" s="30"/>
      <c r="Z12" s="30"/>
    </row>
    <row r="13" spans="1:29" x14ac:dyDescent="0.5">
      <c r="A13" s="10">
        <v>1990</v>
      </c>
      <c r="B13" s="12">
        <f>'Minimum Deflation Total'!F13</f>
        <v>6802</v>
      </c>
      <c r="C13" s="12">
        <f>'Average Labor Income'!C30 *251.1 / CPI!B79</f>
        <v>71164.470016067338</v>
      </c>
      <c r="D13" s="35">
        <f>'99.9% Average Labor'!D30*251.1 / CPI!B79</f>
        <v>2406285.1521805665</v>
      </c>
      <c r="E13" s="11">
        <f t="shared" si="0"/>
        <v>10.694405447468752</v>
      </c>
      <c r="F13" s="39">
        <f t="shared" si="1"/>
        <v>0.97810378667380038</v>
      </c>
      <c r="G13" s="12">
        <f t="shared" ref="G13:H37" si="16">_xlfn.LOGNORM.INV(G$2,$E13,$F13)</f>
        <v>154491.73620538667</v>
      </c>
      <c r="H13" s="12">
        <f t="shared" si="16"/>
        <v>429258.72821310128</v>
      </c>
      <c r="I13" s="17">
        <f t="shared" si="3"/>
        <v>0.30344777887079982</v>
      </c>
      <c r="J13" s="17">
        <f t="shared" si="4"/>
        <v>1.3482440873670396</v>
      </c>
      <c r="K13" s="18">
        <f t="shared" si="5"/>
        <v>0.61922568062815719</v>
      </c>
      <c r="L13" s="18">
        <f t="shared" si="14"/>
        <v>0.91121005554655032</v>
      </c>
      <c r="M13" s="30">
        <f>Data!K209</f>
        <v>0.1454</v>
      </c>
      <c r="N13" s="30">
        <f>Data!K326 - M13</f>
        <v>0.24170000999999999</v>
      </c>
      <c r="O13" s="30">
        <f t="shared" si="6"/>
        <v>0.61289999000000006</v>
      </c>
      <c r="P13" s="47">
        <f t="shared" si="7"/>
        <v>0.61922568062815719</v>
      </c>
      <c r="Q13" s="47">
        <f t="shared" si="8"/>
        <v>0.29198437491839313</v>
      </c>
      <c r="R13" s="47">
        <f t="shared" si="9"/>
        <v>8.8789944453449676E-2</v>
      </c>
      <c r="S13" s="48">
        <f t="shared" si="15"/>
        <v>0.38077431937184281</v>
      </c>
      <c r="T13" s="49">
        <f t="shared" si="10"/>
        <v>0.51082640133477386</v>
      </c>
      <c r="U13" s="30">
        <f t="shared" si="11"/>
        <v>0.63757282308279351</v>
      </c>
      <c r="V13" s="30">
        <f t="shared" si="12"/>
        <v>-0.17221594454308431</v>
      </c>
      <c r="W13" s="30">
        <f t="shared" si="13"/>
        <v>-1.0215484961379806E-2</v>
      </c>
      <c r="X13" s="30"/>
      <c r="Y13" s="30"/>
      <c r="Z13" s="30"/>
    </row>
    <row r="14" spans="1:29" x14ac:dyDescent="0.5">
      <c r="A14">
        <v>1991</v>
      </c>
      <c r="B14" s="12">
        <f>'Minimum Deflation Total'!F14</f>
        <v>7607.5</v>
      </c>
      <c r="C14" s="12">
        <f>'Average Labor Income'!C31 *251.1 / CPI!B80</f>
        <v>66752.781660792956</v>
      </c>
      <c r="D14" s="35">
        <f>'99.9% Average Labor'!D31*251.1 / CPI!B80</f>
        <v>2031953.1898678418</v>
      </c>
      <c r="E14" s="11">
        <f t="shared" si="0"/>
        <v>10.675119625932497</v>
      </c>
      <c r="F14" s="39">
        <f t="shared" si="1"/>
        <v>0.93126969486027955</v>
      </c>
      <c r="G14" s="12">
        <f t="shared" si="16"/>
        <v>142712.8375640336</v>
      </c>
      <c r="H14" s="12">
        <f t="shared" si="16"/>
        <v>377594.78442691592</v>
      </c>
      <c r="I14" s="17">
        <f t="shared" si="3"/>
        <v>0.35028187068431954</v>
      </c>
      <c r="J14" s="17">
        <f t="shared" si="4"/>
        <v>1.3950781791805613</v>
      </c>
      <c r="K14" s="18">
        <f t="shared" si="5"/>
        <v>0.63693641521044086</v>
      </c>
      <c r="L14" s="18">
        <f t="shared" si="14"/>
        <v>0.91850386722545496</v>
      </c>
      <c r="M14" s="30">
        <f>Data!K210</f>
        <v>0.1389</v>
      </c>
      <c r="N14" s="30">
        <f>Data!K327 - M14</f>
        <v>0.2467</v>
      </c>
      <c r="O14" s="30">
        <f t="shared" si="6"/>
        <v>0.61439999999999995</v>
      </c>
      <c r="P14" s="47">
        <f t="shared" si="7"/>
        <v>0.63693641521044086</v>
      </c>
      <c r="Q14" s="47">
        <f t="shared" si="8"/>
        <v>0.2815674520150141</v>
      </c>
      <c r="R14" s="47">
        <f t="shared" si="9"/>
        <v>8.1496132774545038E-2</v>
      </c>
      <c r="S14" s="48">
        <f t="shared" si="15"/>
        <v>0.36306358478955914</v>
      </c>
      <c r="T14" s="49">
        <f t="shared" si="10"/>
        <v>0.48978767423246872</v>
      </c>
      <c r="U14" s="30">
        <f t="shared" si="11"/>
        <v>0.70437535219321235</v>
      </c>
      <c r="V14" s="30">
        <f t="shared" si="12"/>
        <v>-0.12383338970995428</v>
      </c>
      <c r="W14" s="30">
        <f t="shared" si="13"/>
        <v>-3.5382519624027164E-2</v>
      </c>
      <c r="X14" s="30"/>
      <c r="Y14" s="30"/>
      <c r="Z14" s="30"/>
    </row>
    <row r="15" spans="1:29" x14ac:dyDescent="0.5">
      <c r="A15" s="10">
        <v>1992</v>
      </c>
      <c r="B15" s="12">
        <f>'Minimum Deflation Total'!F15</f>
        <v>7607.5</v>
      </c>
      <c r="C15" s="12">
        <f>'Average Labor Income'!C32 *251.1 / CPI!B81</f>
        <v>66273.222111190291</v>
      </c>
      <c r="D15" s="35">
        <f>'99.9% Average Labor'!D32*251.1 / CPI!B81</f>
        <v>2443368.5506058442</v>
      </c>
      <c r="E15" s="11">
        <f t="shared" si="0"/>
        <v>10.638819474713893</v>
      </c>
      <c r="F15" s="39">
        <f t="shared" si="1"/>
        <v>0.96199971948956586</v>
      </c>
      <c r="G15" s="12">
        <f t="shared" si="16"/>
        <v>143153.35128851305</v>
      </c>
      <c r="H15" s="12">
        <f t="shared" si="16"/>
        <v>391118.34936905658</v>
      </c>
      <c r="I15" s="17">
        <f t="shared" si="3"/>
        <v>0.31955184605503512</v>
      </c>
      <c r="J15" s="17">
        <f t="shared" si="4"/>
        <v>1.3643481545512743</v>
      </c>
      <c r="K15" s="18">
        <f t="shared" si="5"/>
        <v>0.62534595852282959</v>
      </c>
      <c r="L15" s="18">
        <f t="shared" si="14"/>
        <v>0.91377099154204444</v>
      </c>
      <c r="M15" s="30">
        <f>Data!K211</f>
        <v>0.15009998999999999</v>
      </c>
      <c r="N15" s="30">
        <f>Data!K328 - M15</f>
        <v>0.24770001</v>
      </c>
      <c r="O15" s="30">
        <f t="shared" si="6"/>
        <v>0.60220000000000007</v>
      </c>
      <c r="P15" s="47">
        <f t="shared" si="7"/>
        <v>0.62534595852282959</v>
      </c>
      <c r="Q15" s="47">
        <f t="shared" si="8"/>
        <v>0.28842503301921485</v>
      </c>
      <c r="R15" s="47">
        <f t="shared" si="9"/>
        <v>8.6229008457955558E-2</v>
      </c>
      <c r="S15" s="48">
        <f t="shared" si="15"/>
        <v>0.37465404147717041</v>
      </c>
      <c r="T15" s="49">
        <f t="shared" si="10"/>
        <v>0.50364529141864312</v>
      </c>
      <c r="U15" s="30">
        <f t="shared" si="11"/>
        <v>0.74071339430033345</v>
      </c>
      <c r="V15" s="30">
        <f t="shared" si="12"/>
        <v>-0.14119794871099745</v>
      </c>
      <c r="W15" s="30">
        <f t="shared" si="13"/>
        <v>-3.7013045670758138E-2</v>
      </c>
      <c r="X15" s="30"/>
      <c r="Y15" s="30"/>
      <c r="Z15" s="30"/>
    </row>
    <row r="16" spans="1:29" x14ac:dyDescent="0.5">
      <c r="A16">
        <v>1993</v>
      </c>
      <c r="B16" s="12">
        <f>'Minimum Deflation Total'!F16</f>
        <v>7607.5</v>
      </c>
      <c r="C16" s="12">
        <f>'Average Labor Income'!C33 *251.1 / CPI!B82</f>
        <v>64617.502291349483</v>
      </c>
      <c r="D16" s="35">
        <f>'99.9% Average Labor'!D33*251.1 / CPI!B82</f>
        <v>2180885.6939792391</v>
      </c>
      <c r="E16" s="11">
        <f t="shared" si="0"/>
        <v>10.631560800949922</v>
      </c>
      <c r="F16" s="39">
        <f t="shared" si="1"/>
        <v>0.94305862535432661</v>
      </c>
      <c r="G16" s="12">
        <f t="shared" si="16"/>
        <v>138709.77208797276</v>
      </c>
      <c r="H16" s="12">
        <f t="shared" si="16"/>
        <v>371551.67404207098</v>
      </c>
      <c r="I16" s="17">
        <f t="shared" si="3"/>
        <v>0.33849294019027582</v>
      </c>
      <c r="J16" s="17">
        <f t="shared" si="4"/>
        <v>1.3832892486865154</v>
      </c>
      <c r="K16" s="18">
        <f t="shared" si="5"/>
        <v>0.63250412681823809</v>
      </c>
      <c r="L16" s="18">
        <f t="shared" si="14"/>
        <v>0.91671190335437891</v>
      </c>
      <c r="M16" s="30">
        <f>Data!K212</f>
        <v>0.1464</v>
      </c>
      <c r="N16" s="30">
        <f>Data!K329 - M16</f>
        <v>0.24919999000000001</v>
      </c>
      <c r="O16" s="30">
        <f t="shared" si="6"/>
        <v>0.60440000999999999</v>
      </c>
      <c r="P16" s="47">
        <f t="shared" si="7"/>
        <v>0.63250412681823809</v>
      </c>
      <c r="Q16" s="47">
        <f t="shared" si="8"/>
        <v>0.28420777653614082</v>
      </c>
      <c r="R16" s="47">
        <f t="shared" si="9"/>
        <v>8.328809664562109E-2</v>
      </c>
      <c r="S16" s="48">
        <f t="shared" si="15"/>
        <v>0.36749587318176191</v>
      </c>
      <c r="T16" s="49">
        <f t="shared" si="10"/>
        <v>0.49512767216002707</v>
      </c>
      <c r="U16" s="30">
        <f t="shared" si="11"/>
        <v>0.75775417972283621</v>
      </c>
      <c r="V16" s="30">
        <f t="shared" si="12"/>
        <v>-0.12317673697323728</v>
      </c>
      <c r="W16" s="30">
        <f t="shared" si="13"/>
        <v>-4.4433096365099845E-2</v>
      </c>
      <c r="X16" s="30"/>
      <c r="Y16" s="30"/>
      <c r="Z16" s="30"/>
    </row>
    <row r="17" spans="1:26" x14ac:dyDescent="0.5">
      <c r="A17" s="10">
        <v>1994</v>
      </c>
      <c r="B17" s="12">
        <f>'Minimum Deflation Total'!F17</f>
        <v>7607.5</v>
      </c>
      <c r="C17" s="12">
        <f>'Average Labor Income'!C34 *251.1 / CPI!B83</f>
        <v>64074.889803643731</v>
      </c>
      <c r="D17" s="35">
        <f>'99.9% Average Labor'!D34*251.1 / CPI!B83</f>
        <v>2013233.7279352229</v>
      </c>
      <c r="E17" s="11">
        <f t="shared" ref="E17:E37" si="17">LN(C17)-F17^2/2</f>
        <v>10.63561154077366</v>
      </c>
      <c r="F17" s="39">
        <f t="shared" si="1"/>
        <v>0.92972715422801377</v>
      </c>
      <c r="G17" s="12">
        <f t="shared" si="16"/>
        <v>136913.52906175188</v>
      </c>
      <c r="H17" s="12">
        <f t="shared" si="16"/>
        <v>361667.41646083602</v>
      </c>
      <c r="I17" s="17">
        <f t="shared" ref="I17:I37" si="18">(LN(G17)-($E17+$F17^2))/$F17</f>
        <v>0.35182441131658632</v>
      </c>
      <c r="J17" s="17">
        <f t="shared" ref="J17:J37" si="19">(LN(H17)-($E17+$F17^2))/$F17</f>
        <v>1.3966207198128262</v>
      </c>
      <c r="K17" s="18">
        <f t="shared" ref="K17:K37" si="20">_xlfn.NORM.DIST(I17,0,1,TRUE)</f>
        <v>0.63751502500661761</v>
      </c>
      <c r="L17" s="18">
        <f t="shared" si="14"/>
        <v>0.91873617191226464</v>
      </c>
      <c r="M17" s="30">
        <f>Data!K213</f>
        <v>0.1469</v>
      </c>
      <c r="N17" s="30">
        <f>Data!K330 - M17</f>
        <v>0.25170000999999997</v>
      </c>
      <c r="O17" s="30">
        <f t="shared" ref="O17:O37" si="21">1-N17 - M17</f>
        <v>0.60139999</v>
      </c>
      <c r="P17" s="47">
        <f t="shared" si="7"/>
        <v>0.63751502500661761</v>
      </c>
      <c r="Q17" s="47">
        <f t="shared" si="8"/>
        <v>0.28122114690564703</v>
      </c>
      <c r="R17" s="47">
        <f t="shared" si="9"/>
        <v>8.1263828087735357E-2</v>
      </c>
      <c r="S17" s="48">
        <f t="shared" si="15"/>
        <v>0.36248497499338239</v>
      </c>
      <c r="T17" s="49">
        <f t="shared" si="10"/>
        <v>0.48908677488206553</v>
      </c>
      <c r="U17" s="30">
        <f t="shared" si="11"/>
        <v>0.80769234549720537</v>
      </c>
      <c r="V17" s="30">
        <f t="shared" si="12"/>
        <v>-0.10497481156903088</v>
      </c>
      <c r="W17" s="30">
        <f t="shared" si="13"/>
        <v>-5.6649700148232118E-2</v>
      </c>
      <c r="X17" s="30"/>
      <c r="Y17" s="30"/>
      <c r="Z17" s="30"/>
    </row>
    <row r="18" spans="1:26" x14ac:dyDescent="0.5">
      <c r="A18">
        <v>1995</v>
      </c>
      <c r="B18" s="12">
        <f>'Minimum Deflation Total'!F18</f>
        <v>7607.5</v>
      </c>
      <c r="C18" s="12">
        <f>'Average Labor Income'!C35 *251.1 / CPI!B84</f>
        <v>62882.752216535424</v>
      </c>
      <c r="D18" s="35">
        <f>'99.9% Average Labor'!D35*251.1 / CPI!B84</f>
        <v>2151913.8188976375</v>
      </c>
      <c r="E18" s="11">
        <f t="shared" si="17"/>
        <v>10.606446922203432</v>
      </c>
      <c r="F18" s="39">
        <f t="shared" ref="F18:F37" si="22">(LN(D18)-LN(B18))/6</f>
        <v>0.94082971178502195</v>
      </c>
      <c r="G18" s="12">
        <f t="shared" si="16"/>
        <v>134883.76846721862</v>
      </c>
      <c r="H18" s="12">
        <f t="shared" si="16"/>
        <v>360462.82944265992</v>
      </c>
      <c r="I18" s="17">
        <f t="shared" si="18"/>
        <v>0.34072185375957847</v>
      </c>
      <c r="J18" s="17">
        <f t="shared" si="19"/>
        <v>1.3855181622558175</v>
      </c>
      <c r="K18" s="18">
        <f t="shared" si="20"/>
        <v>0.63334350742648671</v>
      </c>
      <c r="L18" s="18">
        <f t="shared" si="14"/>
        <v>0.91705295857577562</v>
      </c>
      <c r="M18" s="30">
        <f>Data!K214</f>
        <v>0.15279999</v>
      </c>
      <c r="N18" s="30">
        <f>Data!K331 - M18</f>
        <v>0.25380001000000002</v>
      </c>
      <c r="O18" s="30">
        <f t="shared" si="21"/>
        <v>0.59340000000000004</v>
      </c>
      <c r="P18" s="47">
        <f t="shared" si="7"/>
        <v>0.63334350742648671</v>
      </c>
      <c r="Q18" s="47">
        <f t="shared" si="8"/>
        <v>0.28370945114928892</v>
      </c>
      <c r="R18" s="47">
        <f t="shared" si="9"/>
        <v>8.2947041424224377E-2</v>
      </c>
      <c r="S18" s="48">
        <f t="shared" si="15"/>
        <v>0.36665649257351329</v>
      </c>
      <c r="T18" s="49">
        <f t="shared" si="10"/>
        <v>0.49412031062274164</v>
      </c>
      <c r="U18" s="30">
        <f t="shared" si="11"/>
        <v>0.84213912125593104</v>
      </c>
      <c r="V18" s="30">
        <f t="shared" si="12"/>
        <v>-0.10542278739085942</v>
      </c>
      <c r="W18" s="30">
        <f t="shared" si="13"/>
        <v>-6.3067682794747837E-2</v>
      </c>
      <c r="X18" s="30"/>
      <c r="Y18" s="30"/>
      <c r="Z18" s="30"/>
    </row>
    <row r="19" spans="1:26" x14ac:dyDescent="0.5">
      <c r="A19" s="10">
        <v>1996</v>
      </c>
      <c r="B19" s="12">
        <f>'Minimum Deflation Total'!F19</f>
        <v>8502.5</v>
      </c>
      <c r="C19" s="12">
        <f>'Average Labor Income'!C36 *251.1 / CPI!B85</f>
        <v>62394.108986615669</v>
      </c>
      <c r="D19" s="35">
        <f>'99.9% Average Labor'!D36*251.1 / CPI!B85</f>
        <v>2373612.7715105158</v>
      </c>
      <c r="E19" s="11">
        <f t="shared" si="17"/>
        <v>10.600708590780716</v>
      </c>
      <c r="F19" s="39">
        <f t="shared" si="22"/>
        <v>0.93863470195213095</v>
      </c>
      <c r="G19" s="12">
        <f t="shared" si="16"/>
        <v>133735.24789218063</v>
      </c>
      <c r="H19" s="12">
        <f t="shared" si="16"/>
        <v>356574.84267072642</v>
      </c>
      <c r="I19" s="17">
        <f t="shared" si="18"/>
        <v>0.34291686359246976</v>
      </c>
      <c r="J19" s="17">
        <f t="shared" si="19"/>
        <v>1.387713172088711</v>
      </c>
      <c r="K19" s="18">
        <f t="shared" si="20"/>
        <v>0.6341694975840706</v>
      </c>
      <c r="L19" s="18">
        <f t="shared" si="14"/>
        <v>0.91738779829022155</v>
      </c>
      <c r="M19" s="30">
        <f>Data!K215</f>
        <v>0.15970001</v>
      </c>
      <c r="N19" s="30">
        <f>Data!K332 - M19</f>
        <v>0.25579997999999998</v>
      </c>
      <c r="O19" s="30">
        <f t="shared" si="21"/>
        <v>0.58450001000000007</v>
      </c>
      <c r="P19" s="47">
        <f t="shared" si="7"/>
        <v>0.6341694975840706</v>
      </c>
      <c r="Q19" s="47">
        <f t="shared" si="8"/>
        <v>0.28321830070615095</v>
      </c>
      <c r="R19" s="47">
        <f t="shared" si="9"/>
        <v>8.2612201709778454E-2</v>
      </c>
      <c r="S19" s="48">
        <f t="shared" si="15"/>
        <v>0.3658305024159294</v>
      </c>
      <c r="T19" s="49">
        <f t="shared" si="10"/>
        <v>0.49312723913708312</v>
      </c>
      <c r="U19" s="30">
        <f t="shared" si="11"/>
        <v>0.93312860200767411</v>
      </c>
      <c r="V19" s="30">
        <f t="shared" si="12"/>
        <v>-9.6809848225868911E-2</v>
      </c>
      <c r="W19" s="30">
        <f t="shared" si="13"/>
        <v>-7.8322101225762553E-2</v>
      </c>
      <c r="X19" s="30"/>
      <c r="Y19" s="30"/>
      <c r="Z19" s="30"/>
    </row>
    <row r="20" spans="1:26" x14ac:dyDescent="0.5">
      <c r="A20">
        <v>1997</v>
      </c>
      <c r="B20" s="12">
        <f>'Minimum Deflation Total'!F20</f>
        <v>9218.5</v>
      </c>
      <c r="C20" s="12">
        <f>'Average Labor Income'!C37 *251.1 / CPI!B86</f>
        <v>62960.551166355137</v>
      </c>
      <c r="D20" s="35">
        <f>'99.9% Average Labor'!D37*251.1 / CPI!B86</f>
        <v>2680334.6433644858</v>
      </c>
      <c r="E20" s="11">
        <f t="shared" si="17"/>
        <v>10.603359727342163</v>
      </c>
      <c r="F20" s="39">
        <f t="shared" si="22"/>
        <v>0.94541409968473589</v>
      </c>
      <c r="G20" s="12">
        <f t="shared" si="16"/>
        <v>135260.34028106308</v>
      </c>
      <c r="H20" s="12">
        <f t="shared" si="16"/>
        <v>363204.67896238569</v>
      </c>
      <c r="I20" s="17">
        <f t="shared" si="18"/>
        <v>0.33613746585986548</v>
      </c>
      <c r="J20" s="17">
        <f t="shared" si="19"/>
        <v>1.3809337743561045</v>
      </c>
      <c r="K20" s="18">
        <f t="shared" si="20"/>
        <v>0.63161639659943236</v>
      </c>
      <c r="L20" s="18">
        <f t="shared" si="14"/>
        <v>0.91635033794557907</v>
      </c>
      <c r="M20" s="30">
        <f>Data!K216</f>
        <v>0.1663</v>
      </c>
      <c r="N20" s="30">
        <f>Data!K333 - M20</f>
        <v>0.25639999000000002</v>
      </c>
      <c r="O20" s="30">
        <f t="shared" si="21"/>
        <v>0.57730000999999997</v>
      </c>
      <c r="P20" s="47">
        <f t="shared" si="7"/>
        <v>0.63161639659943236</v>
      </c>
      <c r="Q20" s="47">
        <f t="shared" si="8"/>
        <v>0.28473394134614671</v>
      </c>
      <c r="R20" s="47">
        <f t="shared" si="9"/>
        <v>8.3649662054420926E-2</v>
      </c>
      <c r="S20" s="48">
        <f t="shared" si="15"/>
        <v>0.36838360340056764</v>
      </c>
      <c r="T20" s="49">
        <f t="shared" si="10"/>
        <v>0.49619108302295256</v>
      </c>
      <c r="U20" s="30">
        <f t="shared" si="11"/>
        <v>0.98805345910194231</v>
      </c>
      <c r="V20" s="30">
        <f t="shared" si="12"/>
        <v>-9.951026987576983E-2</v>
      </c>
      <c r="W20" s="30">
        <f t="shared" si="13"/>
        <v>-8.5995846358433825E-2</v>
      </c>
      <c r="X20" s="30"/>
      <c r="Y20" s="30"/>
      <c r="Z20" s="30"/>
    </row>
    <row r="21" spans="1:26" x14ac:dyDescent="0.5">
      <c r="A21" s="10">
        <v>1998</v>
      </c>
      <c r="B21" s="12">
        <f>'Minimum Deflation Total'!F21</f>
        <v>9218.5</v>
      </c>
      <c r="C21" s="12">
        <f>'Average Labor Income'!C38 *251.1 / CPI!B87</f>
        <v>65284.766066871161</v>
      </c>
      <c r="D21" s="35">
        <f>'99.9% Average Labor'!D38*251.1 / CPI!B87</f>
        <v>2996541.5946625769</v>
      </c>
      <c r="E21" s="11">
        <f t="shared" si="17"/>
        <v>10.621865712781196</v>
      </c>
      <c r="F21" s="39">
        <f t="shared" si="22"/>
        <v>0.96400029439261858</v>
      </c>
      <c r="G21" s="12">
        <f t="shared" si="16"/>
        <v>141108.13625876166</v>
      </c>
      <c r="H21" s="12">
        <f t="shared" si="16"/>
        <v>386337.16367827315</v>
      </c>
      <c r="I21" s="17">
        <f t="shared" si="18"/>
        <v>0.31755127115198095</v>
      </c>
      <c r="J21" s="17">
        <f t="shared" si="19"/>
        <v>1.3623475796482216</v>
      </c>
      <c r="K21" s="18">
        <f t="shared" si="20"/>
        <v>0.62458732892947966</v>
      </c>
      <c r="L21" s="18">
        <f t="shared" si="14"/>
        <v>0.91345589068256594</v>
      </c>
      <c r="M21" s="30">
        <f>Data!K217</f>
        <v>0.16919999999999999</v>
      </c>
      <c r="N21" s="30">
        <f>Data!K334 - M21</f>
        <v>0.25709999000000006</v>
      </c>
      <c r="O21" s="30">
        <f t="shared" si="21"/>
        <v>0.57370000999999993</v>
      </c>
      <c r="P21" s="47">
        <f t="shared" si="7"/>
        <v>0.62458732892947966</v>
      </c>
      <c r="Q21" s="47">
        <f t="shared" si="8"/>
        <v>0.28886856175308628</v>
      </c>
      <c r="R21" s="47">
        <f t="shared" si="9"/>
        <v>8.6544109317434059E-2</v>
      </c>
      <c r="S21" s="48">
        <f t="shared" si="15"/>
        <v>0.37541267107052034</v>
      </c>
      <c r="T21" s="49">
        <f t="shared" si="10"/>
        <v>0.50454043365484358</v>
      </c>
      <c r="U21" s="30">
        <f t="shared" si="11"/>
        <v>0.95507240567227303</v>
      </c>
      <c r="V21" s="30">
        <f t="shared" si="12"/>
        <v>-0.10997587124153985</v>
      </c>
      <c r="W21" s="30">
        <f t="shared" si="13"/>
        <v>-8.147350510087803E-2</v>
      </c>
      <c r="X21" s="30"/>
      <c r="Y21" s="30"/>
      <c r="Z21" s="30"/>
    </row>
    <row r="22" spans="1:26" x14ac:dyDescent="0.5">
      <c r="A22">
        <v>1999</v>
      </c>
      <c r="B22" s="12">
        <f>'Minimum Deflation Total'!F22</f>
        <v>9218.5</v>
      </c>
      <c r="C22" s="12">
        <f>'Average Labor Income'!C39 *251.1 / CPI!B88</f>
        <v>66251.963312124848</v>
      </c>
      <c r="D22" s="35">
        <f>'99.9% Average Labor'!D39*251.1 / CPI!B88</f>
        <v>3444370.0498199277</v>
      </c>
      <c r="E22" s="11">
        <f t="shared" si="17"/>
        <v>10.613924641865321</v>
      </c>
      <c r="F22" s="39">
        <f t="shared" si="22"/>
        <v>0.98721399548835509</v>
      </c>
      <c r="G22" s="12">
        <f t="shared" si="16"/>
        <v>144219.29229115171</v>
      </c>
      <c r="H22" s="12">
        <f t="shared" si="16"/>
        <v>404548.86898376403</v>
      </c>
      <c r="I22" s="17">
        <f t="shared" si="18"/>
        <v>0.29433757005624422</v>
      </c>
      <c r="J22" s="17">
        <f t="shared" si="19"/>
        <v>1.3391338785524847</v>
      </c>
      <c r="K22" s="18">
        <f t="shared" si="20"/>
        <v>0.61575001664647766</v>
      </c>
      <c r="L22" s="18">
        <f t="shared" si="14"/>
        <v>0.90973645339978193</v>
      </c>
      <c r="M22" s="30">
        <f>Data!K218</f>
        <v>0.17710000000000001</v>
      </c>
      <c r="N22" s="30">
        <f>Data!K335 - M22</f>
        <v>0.25639999000000002</v>
      </c>
      <c r="O22" s="30">
        <f t="shared" si="21"/>
        <v>0.56650000999999994</v>
      </c>
      <c r="P22" s="47">
        <f t="shared" si="7"/>
        <v>0.61575001664647766</v>
      </c>
      <c r="Q22" s="47">
        <f t="shared" si="8"/>
        <v>0.29398643675330427</v>
      </c>
      <c r="R22" s="47">
        <f t="shared" si="9"/>
        <v>9.026354660021807E-2</v>
      </c>
      <c r="S22" s="48">
        <f t="shared" si="15"/>
        <v>0.38424998335352234</v>
      </c>
      <c r="T22" s="49">
        <f t="shared" si="10"/>
        <v>0.51486389924610076</v>
      </c>
      <c r="U22" s="30">
        <f t="shared" si="11"/>
        <v>0.96203236711255213</v>
      </c>
      <c r="V22" s="30">
        <f t="shared" si="12"/>
        <v>-0.12785095519506751</v>
      </c>
      <c r="W22" s="30">
        <f t="shared" si="13"/>
        <v>-7.9983768274510259E-2</v>
      </c>
      <c r="X22" s="30"/>
      <c r="Y22" s="30"/>
      <c r="Z22" s="30"/>
    </row>
    <row r="23" spans="1:26" x14ac:dyDescent="0.5">
      <c r="A23" s="10">
        <v>2000</v>
      </c>
      <c r="B23" s="12">
        <f>'Minimum Deflation Total'!F23</f>
        <v>9218.5</v>
      </c>
      <c r="C23" s="12">
        <f>'Average Labor Income'!C40 *251.1 / CPI!B89</f>
        <v>67055.36258885017</v>
      </c>
      <c r="D23" s="35">
        <f>'99.9% Average Labor'!D40*251.1 / CPI!B89</f>
        <v>3899462.4078397215</v>
      </c>
      <c r="E23" s="11">
        <f t="shared" si="17"/>
        <v>10.605345742972174</v>
      </c>
      <c r="F23" s="39">
        <f t="shared" si="22"/>
        <v>1.0078969406573985</v>
      </c>
      <c r="G23" s="12">
        <f t="shared" si="16"/>
        <v>146828.07818734652</v>
      </c>
      <c r="H23" s="12">
        <f t="shared" si="16"/>
        <v>420863.84345002315</v>
      </c>
      <c r="I23" s="17">
        <f t="shared" si="18"/>
        <v>0.27365462488720182</v>
      </c>
      <c r="J23" s="17">
        <f t="shared" si="19"/>
        <v>1.3184509333834407</v>
      </c>
      <c r="K23" s="18">
        <f t="shared" si="20"/>
        <v>0.60782497444966577</v>
      </c>
      <c r="L23" s="18">
        <f t="shared" si="14"/>
        <v>0.90632362994636906</v>
      </c>
      <c r="M23" s="30">
        <f>Data!K219</f>
        <v>0.18269999000000001</v>
      </c>
      <c r="N23" s="30">
        <f>Data!K336 - M23</f>
        <v>0.25610001999999998</v>
      </c>
      <c r="O23" s="30">
        <f t="shared" si="21"/>
        <v>0.56119998999999998</v>
      </c>
      <c r="P23" s="47">
        <f t="shared" si="7"/>
        <v>0.60782497444966577</v>
      </c>
      <c r="Q23" s="47">
        <f t="shared" si="8"/>
        <v>0.29849865549670329</v>
      </c>
      <c r="R23" s="47">
        <f t="shared" si="9"/>
        <v>9.3676370053630942E-2</v>
      </c>
      <c r="S23" s="48">
        <f t="shared" si="15"/>
        <v>0.39217502555033423</v>
      </c>
      <c r="T23" s="49">
        <f t="shared" si="10"/>
        <v>0.52396286548595628</v>
      </c>
      <c r="U23" s="30">
        <f t="shared" si="11"/>
        <v>0.95033165669636732</v>
      </c>
      <c r="V23" s="30">
        <f t="shared" si="12"/>
        <v>-0.14203961966311629</v>
      </c>
      <c r="W23" s="30">
        <f t="shared" si="13"/>
        <v>-7.6707911667961315E-2</v>
      </c>
      <c r="X23" s="30"/>
      <c r="Y23" s="30"/>
      <c r="Z23" s="30"/>
    </row>
    <row r="24" spans="1:26" x14ac:dyDescent="0.5">
      <c r="A24">
        <v>2001</v>
      </c>
      <c r="B24" s="12">
        <f>'Minimum Deflation Total'!F24</f>
        <v>9218.5</v>
      </c>
      <c r="C24" s="12">
        <f>'Average Labor Income'!C41 *251.1 / CPI!B90</f>
        <v>65326.553146245053</v>
      </c>
      <c r="D24" s="35">
        <f>'99.9% Average Labor'!D41*251.1 / CPI!B90</f>
        <v>3233795.8162055332</v>
      </c>
      <c r="E24" s="11">
        <f t="shared" si="17"/>
        <v>10.61018249126956</v>
      </c>
      <c r="F24" s="39">
        <f t="shared" si="22"/>
        <v>0.97669992783437465</v>
      </c>
      <c r="G24" s="12">
        <f t="shared" si="16"/>
        <v>141757.59676508902</v>
      </c>
      <c r="H24" s="12">
        <f t="shared" si="16"/>
        <v>393299.34458300803</v>
      </c>
      <c r="I24" s="17">
        <f t="shared" si="18"/>
        <v>0.30485163771022727</v>
      </c>
      <c r="J24" s="17">
        <f t="shared" si="19"/>
        <v>1.3496479462064677</v>
      </c>
      <c r="K24" s="18">
        <f t="shared" si="20"/>
        <v>0.61976042451043711</v>
      </c>
      <c r="L24" s="18">
        <f t="shared" si="14"/>
        <v>0.91143553158503698</v>
      </c>
      <c r="M24" s="30">
        <f>Data!K220</f>
        <v>0.17269999999999999</v>
      </c>
      <c r="N24" s="30">
        <f>Data!K337 - M24</f>
        <v>0.25529999999999997</v>
      </c>
      <c r="O24" s="30">
        <f t="shared" si="21"/>
        <v>0.57200000000000006</v>
      </c>
      <c r="P24" s="47">
        <f t="shared" si="7"/>
        <v>0.61976042451043711</v>
      </c>
      <c r="Q24" s="47">
        <f t="shared" si="8"/>
        <v>0.29167510707459987</v>
      </c>
      <c r="R24" s="47">
        <f t="shared" si="9"/>
        <v>8.8564468414963016E-2</v>
      </c>
      <c r="S24" s="48">
        <f t="shared" si="15"/>
        <v>0.38023957548956289</v>
      </c>
      <c r="T24" s="49">
        <f t="shared" si="10"/>
        <v>0.51020262836242836</v>
      </c>
      <c r="U24" s="30">
        <f t="shared" si="11"/>
        <v>0.94999194474724846</v>
      </c>
      <c r="V24" s="30">
        <f t="shared" si="12"/>
        <v>-0.12471104387148291</v>
      </c>
      <c r="W24" s="30">
        <f t="shared" si="13"/>
        <v>-7.7062720724970668E-2</v>
      </c>
      <c r="X24" s="30"/>
      <c r="Y24" s="30"/>
      <c r="Z24" s="30"/>
    </row>
    <row r="25" spans="1:26" x14ac:dyDescent="0.5">
      <c r="A25" s="10">
        <v>2002</v>
      </c>
      <c r="B25" s="12">
        <f>'Minimum Deflation Total'!F25</f>
        <v>9218.5</v>
      </c>
      <c r="C25" s="12">
        <f>'Average Labor Income'!C42 *251.1 / CPI!B91</f>
        <v>63243.560416342407</v>
      </c>
      <c r="D25" s="35">
        <f>'99.9% Average Labor'!D42*251.1 / CPI!B91</f>
        <v>2790884.0996664809</v>
      </c>
      <c r="E25" s="11">
        <f t="shared" si="17"/>
        <v>10.601453560881229</v>
      </c>
      <c r="F25" s="39">
        <f t="shared" si="22"/>
        <v>0.95215022861527032</v>
      </c>
      <c r="G25" s="12">
        <f t="shared" si="16"/>
        <v>136173.23991476197</v>
      </c>
      <c r="H25" s="12">
        <f t="shared" si="16"/>
        <v>368238.54269188346</v>
      </c>
      <c r="I25" s="17">
        <f t="shared" si="18"/>
        <v>0.32940133692933027</v>
      </c>
      <c r="J25" s="17">
        <f t="shared" si="19"/>
        <v>1.3741976454255704</v>
      </c>
      <c r="K25" s="18">
        <f t="shared" si="20"/>
        <v>0.62907382129811806</v>
      </c>
      <c r="L25" s="18">
        <f t="shared" si="14"/>
        <v>0.91530983422902568</v>
      </c>
      <c r="M25" s="30">
        <f>Data!K221</f>
        <v>0.1706</v>
      </c>
      <c r="N25" s="30">
        <f>Data!K338 - M25</f>
        <v>0.25670000999999998</v>
      </c>
      <c r="O25" s="30">
        <f t="shared" si="21"/>
        <v>0.57269999000000005</v>
      </c>
      <c r="P25" s="47">
        <f t="shared" si="7"/>
        <v>0.62907382129811806</v>
      </c>
      <c r="Q25" s="47">
        <f t="shared" si="8"/>
        <v>0.28623601293090761</v>
      </c>
      <c r="R25" s="47">
        <f t="shared" si="9"/>
        <v>8.4690165770974324E-2</v>
      </c>
      <c r="S25" s="48">
        <f t="shared" si="15"/>
        <v>0.37092617870188194</v>
      </c>
      <c r="T25" s="49">
        <f t="shared" si="10"/>
        <v>0.49922566310284577</v>
      </c>
      <c r="U25" s="30">
        <f t="shared" si="11"/>
        <v>1.0144015358447835</v>
      </c>
      <c r="V25" s="30">
        <f t="shared" si="12"/>
        <v>-0.10318758505777925</v>
      </c>
      <c r="W25" s="30">
        <f t="shared" si="13"/>
        <v>-8.9614015699760685E-2</v>
      </c>
      <c r="X25" s="30"/>
      <c r="Y25" s="30"/>
      <c r="Z25" s="30"/>
    </row>
    <row r="26" spans="1:26" x14ac:dyDescent="0.5">
      <c r="A26">
        <v>2003</v>
      </c>
      <c r="B26" s="12">
        <f>'Minimum Deflation Total'!F26</f>
        <v>9218.5</v>
      </c>
      <c r="C26" s="12">
        <f>'Average Labor Income'!C43 *251.1 / CPI!B92</f>
        <v>61943.913586956522</v>
      </c>
      <c r="D26" s="35">
        <f>'99.9% Average Labor'!D43*251.1 / CPI!B92</f>
        <v>2741612.1505434783</v>
      </c>
      <c r="E26" s="11">
        <f t="shared" si="17"/>
        <v>10.583511864327905</v>
      </c>
      <c r="F26" s="39">
        <f t="shared" si="22"/>
        <v>0.94918151132320128</v>
      </c>
      <c r="G26" s="12">
        <f t="shared" si="16"/>
        <v>133243.94713924275</v>
      </c>
      <c r="H26" s="12">
        <f t="shared" si="16"/>
        <v>359201.30744128564</v>
      </c>
      <c r="I26" s="17">
        <f t="shared" si="18"/>
        <v>0.33237005422139926</v>
      </c>
      <c r="J26" s="17">
        <f t="shared" si="19"/>
        <v>1.3771663627176396</v>
      </c>
      <c r="K26" s="18">
        <f t="shared" si="20"/>
        <v>0.63019507612505721</v>
      </c>
      <c r="L26" s="18">
        <f t="shared" si="14"/>
        <v>0.91576959052452001</v>
      </c>
      <c r="M26" s="30">
        <f>Data!K222</f>
        <v>0.17200001000000001</v>
      </c>
      <c r="N26" s="30">
        <f>Data!K339 - M26</f>
        <v>0.25669998999999999</v>
      </c>
      <c r="O26" s="30">
        <f t="shared" si="21"/>
        <v>0.57130000000000003</v>
      </c>
      <c r="P26" s="47">
        <f t="shared" si="7"/>
        <v>0.63019507612505721</v>
      </c>
      <c r="Q26" s="47">
        <f t="shared" si="8"/>
        <v>0.2855745143994628</v>
      </c>
      <c r="R26" s="47">
        <f t="shared" si="9"/>
        <v>8.4230409475479995E-2</v>
      </c>
      <c r="S26" s="48">
        <f t="shared" si="15"/>
        <v>0.36980492387494279</v>
      </c>
      <c r="T26" s="49">
        <f t="shared" si="10"/>
        <v>0.4978894714351263</v>
      </c>
      <c r="U26" s="30">
        <f t="shared" si="11"/>
        <v>1.0420179727378662</v>
      </c>
      <c r="V26" s="30">
        <f t="shared" si="12"/>
        <v>-0.10111029851589981</v>
      </c>
      <c r="W26" s="30">
        <f t="shared" si="13"/>
        <v>-9.34553098814912E-2</v>
      </c>
      <c r="X26" s="30"/>
      <c r="Y26" s="30"/>
      <c r="Z26" s="30"/>
    </row>
    <row r="27" spans="1:26" x14ac:dyDescent="0.5">
      <c r="A27" s="10">
        <v>2004</v>
      </c>
      <c r="B27" s="12">
        <f>'Minimum Deflation Total'!F27</f>
        <v>9218.5</v>
      </c>
      <c r="C27" s="12">
        <f>'Average Labor Income'!C44 *251.1 / CPI!B93</f>
        <v>61441.337315510849</v>
      </c>
      <c r="D27" s="35">
        <f>'99.9% Average Labor'!D44*251.1 / CPI!B93</f>
        <v>3024291.2026469028</v>
      </c>
      <c r="E27" s="11">
        <f t="shared" si="17"/>
        <v>10.559707655480894</v>
      </c>
      <c r="F27" s="39">
        <f t="shared" si="22"/>
        <v>0.96553661588440587</v>
      </c>
      <c r="G27" s="12">
        <f t="shared" si="16"/>
        <v>132865.49997828761</v>
      </c>
      <c r="H27" s="12">
        <f t="shared" si="16"/>
        <v>364354.18496771489</v>
      </c>
      <c r="I27" s="17">
        <f t="shared" si="18"/>
        <v>0.31601494966019456</v>
      </c>
      <c r="J27" s="17">
        <f t="shared" si="19"/>
        <v>1.360811258156434</v>
      </c>
      <c r="K27" s="18">
        <f t="shared" si="20"/>
        <v>0.62400441950967933</v>
      </c>
      <c r="L27" s="18">
        <f t="shared" si="14"/>
        <v>0.91321332840547842</v>
      </c>
      <c r="M27" s="30">
        <f>Data!K223</f>
        <v>0.1832</v>
      </c>
      <c r="N27" s="30">
        <f>Data!K340 - M27</f>
        <v>0.25580000999999997</v>
      </c>
      <c r="O27" s="30">
        <f t="shared" si="21"/>
        <v>0.56099999</v>
      </c>
      <c r="P27" s="47">
        <f t="shared" si="7"/>
        <v>0.62400441950967933</v>
      </c>
      <c r="Q27" s="47">
        <f t="shared" si="8"/>
        <v>0.28920890889579909</v>
      </c>
      <c r="R27" s="47">
        <f t="shared" si="9"/>
        <v>8.6786671594521581E-2</v>
      </c>
      <c r="S27" s="48">
        <f t="shared" si="15"/>
        <v>0.37599558049032067</v>
      </c>
      <c r="T27" s="49">
        <f t="shared" si="10"/>
        <v>0.50522726356914571</v>
      </c>
      <c r="U27" s="30">
        <f t="shared" si="11"/>
        <v>1.1109232170572669</v>
      </c>
      <c r="V27" s="30">
        <f t="shared" si="12"/>
        <v>-0.11551822183954996</v>
      </c>
      <c r="W27" s="30">
        <f t="shared" si="13"/>
        <v>-0.10096792192463311</v>
      </c>
      <c r="X27" s="30"/>
      <c r="Y27" s="30"/>
      <c r="Z27" s="30"/>
    </row>
    <row r="28" spans="1:26" x14ac:dyDescent="0.5">
      <c r="A28">
        <v>2005</v>
      </c>
      <c r="B28" s="12">
        <f>'Minimum Deflation Total'!F28</f>
        <v>9218.5</v>
      </c>
      <c r="C28" s="12">
        <f>'Average Labor Income'!C45 *251.1 / CPI!B94</f>
        <v>59911.458428571423</v>
      </c>
      <c r="D28" s="35">
        <f>'99.9% Average Labor'!D45*251.1 / CPI!B94</f>
        <v>3237018.8142857137</v>
      </c>
      <c r="E28" s="11">
        <f t="shared" si="17"/>
        <v>10.523489511153796</v>
      </c>
      <c r="F28" s="39">
        <f t="shared" si="22"/>
        <v>0.97686595527351228</v>
      </c>
      <c r="G28" s="12">
        <f t="shared" si="16"/>
        <v>130013.5045845181</v>
      </c>
      <c r="H28" s="12">
        <f t="shared" si="16"/>
        <v>360778.52663721121</v>
      </c>
      <c r="I28" s="17">
        <f t="shared" si="18"/>
        <v>0.30468561027108937</v>
      </c>
      <c r="J28" s="17">
        <f t="shared" si="19"/>
        <v>1.3494819187673293</v>
      </c>
      <c r="K28" s="18">
        <f t="shared" si="20"/>
        <v>0.61969719490832298</v>
      </c>
      <c r="L28" s="18">
        <f t="shared" si="14"/>
        <v>0.91140888791008112</v>
      </c>
      <c r="M28" s="30">
        <f>Data!K224</f>
        <v>0.19370000000000001</v>
      </c>
      <c r="N28" s="30">
        <f>Data!K341 - M28</f>
        <v>0.25690000000000002</v>
      </c>
      <c r="O28" s="30">
        <f t="shared" si="21"/>
        <v>0.5494</v>
      </c>
      <c r="P28" s="47">
        <f t="shared" si="7"/>
        <v>0.61969719490832298</v>
      </c>
      <c r="Q28" s="47">
        <f t="shared" si="8"/>
        <v>0.29171169300175814</v>
      </c>
      <c r="R28" s="47">
        <f t="shared" si="9"/>
        <v>8.8591112089918878E-2</v>
      </c>
      <c r="S28" s="48">
        <f t="shared" si="15"/>
        <v>0.38030280509167702</v>
      </c>
      <c r="T28" s="49">
        <f t="shared" si="10"/>
        <v>0.51027642121650985</v>
      </c>
      <c r="U28" s="30">
        <f t="shared" si="11"/>
        <v>1.1864495820234984</v>
      </c>
      <c r="V28" s="30">
        <f t="shared" si="12"/>
        <v>-0.11933595339816672</v>
      </c>
      <c r="W28" s="30">
        <f t="shared" si="13"/>
        <v>-0.11343797500765296</v>
      </c>
      <c r="X28" s="30"/>
      <c r="Y28" s="30"/>
      <c r="Z28" s="30"/>
    </row>
    <row r="29" spans="1:26" x14ac:dyDescent="0.5">
      <c r="A29" s="10">
        <v>2006</v>
      </c>
      <c r="B29" s="12">
        <f>'Minimum Deflation Total'!F29</f>
        <v>9218.5</v>
      </c>
      <c r="C29" s="12">
        <f>'Average Labor Income'!C46 *251.1 / CPI!B95</f>
        <v>59034.529205357147</v>
      </c>
      <c r="D29" s="35">
        <f>'99.9% Average Labor'!D46*251.1 / CPI!B95</f>
        <v>3308261.1830357146</v>
      </c>
      <c r="E29" s="11">
        <f t="shared" si="17"/>
        <v>10.50519327698127</v>
      </c>
      <c r="F29" s="39">
        <f t="shared" si="22"/>
        <v>0.98049427891116159</v>
      </c>
      <c r="G29" s="12">
        <f t="shared" si="16"/>
        <v>128251.34561816299</v>
      </c>
      <c r="H29" s="12">
        <f t="shared" si="16"/>
        <v>357240.34096346388</v>
      </c>
      <c r="I29" s="17">
        <f t="shared" si="18"/>
        <v>0.30105728663343823</v>
      </c>
      <c r="J29" s="17">
        <f t="shared" si="19"/>
        <v>1.3458535951296797</v>
      </c>
      <c r="K29" s="18">
        <f t="shared" si="20"/>
        <v>0.61831459440960446</v>
      </c>
      <c r="L29" s="18">
        <f t="shared" si="14"/>
        <v>0.91082513153155575</v>
      </c>
      <c r="M29" s="30">
        <f>Data!K225</f>
        <v>0.20100001000000001</v>
      </c>
      <c r="N29" s="30">
        <f>Data!K342 - M29</f>
        <v>0.25929998999999998</v>
      </c>
      <c r="O29" s="30">
        <f t="shared" si="21"/>
        <v>0.53970000000000007</v>
      </c>
      <c r="P29" s="47">
        <f t="shared" si="7"/>
        <v>0.61831459440960446</v>
      </c>
      <c r="Q29" s="47">
        <f t="shared" si="8"/>
        <v>0.2925105371219513</v>
      </c>
      <c r="R29" s="47">
        <f t="shared" si="9"/>
        <v>8.9174868468444246E-2</v>
      </c>
      <c r="S29" s="48">
        <f t="shared" si="15"/>
        <v>0.38168540559039554</v>
      </c>
      <c r="T29" s="49">
        <f t="shared" si="10"/>
        <v>0.51188757725081002</v>
      </c>
      <c r="U29" s="30">
        <f t="shared" si="11"/>
        <v>1.253998390489655</v>
      </c>
      <c r="V29" s="30">
        <f t="shared" si="12"/>
        <v>-0.1135362419717052</v>
      </c>
      <c r="W29" s="30">
        <f t="shared" si="13"/>
        <v>-0.12714335893149875</v>
      </c>
      <c r="X29" s="30"/>
      <c r="Y29" s="30"/>
      <c r="Z29" s="30"/>
    </row>
    <row r="30" spans="1:26" x14ac:dyDescent="0.5">
      <c r="A30">
        <v>2007</v>
      </c>
      <c r="B30" s="12">
        <f>'Minimum Deflation Total'!F30</f>
        <v>10471.5</v>
      </c>
      <c r="C30" s="12">
        <f>'Average Labor Income'!C47 *251.1 / CPI!B96</f>
        <v>57459.021616497826</v>
      </c>
      <c r="D30" s="35">
        <f>'99.9% Average Labor'!D47*251.1 / CPI!B96</f>
        <v>3271485.9659913168</v>
      </c>
      <c r="E30" s="11">
        <f t="shared" si="17"/>
        <v>10.500529131581773</v>
      </c>
      <c r="F30" s="39">
        <f t="shared" si="22"/>
        <v>0.95739038390436271</v>
      </c>
      <c r="G30" s="12">
        <f t="shared" si="16"/>
        <v>123930.26122647715</v>
      </c>
      <c r="H30" s="12">
        <f t="shared" si="16"/>
        <v>336971.02142650518</v>
      </c>
      <c r="I30" s="17">
        <f t="shared" si="18"/>
        <v>0.32416118164023683</v>
      </c>
      <c r="J30" s="17">
        <f t="shared" si="19"/>
        <v>1.3689574901364783</v>
      </c>
      <c r="K30" s="18">
        <f t="shared" si="20"/>
        <v>0.62709199541622906</v>
      </c>
      <c r="L30" s="18">
        <f t="shared" si="14"/>
        <v>0.91449371833243709</v>
      </c>
      <c r="M30" s="30">
        <f>Data!K226</f>
        <v>0.19869999999999999</v>
      </c>
      <c r="N30" s="30">
        <f>Data!K343 - M30</f>
        <v>0.25930000000000003</v>
      </c>
      <c r="O30" s="30">
        <f t="shared" si="21"/>
        <v>0.54199999999999993</v>
      </c>
      <c r="P30" s="47">
        <f t="shared" si="7"/>
        <v>0.62709199541622906</v>
      </c>
      <c r="Q30" s="47">
        <f t="shared" si="8"/>
        <v>0.28740172291620802</v>
      </c>
      <c r="R30" s="47">
        <f t="shared" si="9"/>
        <v>8.5506281667562911E-2</v>
      </c>
      <c r="S30" s="48">
        <f t="shared" si="15"/>
        <v>0.37290800458377094</v>
      </c>
      <c r="T30" s="49">
        <f t="shared" si="10"/>
        <v>0.50157960021822889</v>
      </c>
      <c r="U30" s="30">
        <f t="shared" si="11"/>
        <v>1.3238058786431535</v>
      </c>
      <c r="V30" s="30">
        <f t="shared" si="12"/>
        <v>-9.7778547153668405E-2</v>
      </c>
      <c r="W30" s="30">
        <f t="shared" si="13"/>
        <v>-0.13569300204469958</v>
      </c>
      <c r="X30" s="30"/>
      <c r="Y30" s="30"/>
      <c r="Z30" s="30"/>
    </row>
    <row r="31" spans="1:26" x14ac:dyDescent="0.5">
      <c r="A31" s="10">
        <v>2008</v>
      </c>
      <c r="B31" s="12">
        <f>'Minimum Deflation Total'!F31</f>
        <v>11724.5</v>
      </c>
      <c r="C31" s="12">
        <f>'Average Labor Income'!C48 *251.1 / CPI!B97</f>
        <v>54852.111560148624</v>
      </c>
      <c r="D31" s="35">
        <f>'99.9% Average Labor'!D48*251.1 / CPI!B97</f>
        <v>3021164.5234556431</v>
      </c>
      <c r="E31" s="11">
        <f t="shared" si="17"/>
        <v>10.484318721419109</v>
      </c>
      <c r="F31" s="39">
        <f t="shared" si="22"/>
        <v>0.92528616172271916</v>
      </c>
      <c r="G31" s="12">
        <f t="shared" si="16"/>
        <v>117022.40024633847</v>
      </c>
      <c r="H31" s="12">
        <f t="shared" si="16"/>
        <v>307692.50923069345</v>
      </c>
      <c r="I31" s="17">
        <f t="shared" si="18"/>
        <v>0.35626540382188226</v>
      </c>
      <c r="J31" s="17">
        <f t="shared" si="19"/>
        <v>1.4010617123181226</v>
      </c>
      <c r="K31" s="18">
        <f t="shared" si="20"/>
        <v>0.63917909222698643</v>
      </c>
      <c r="L31" s="18">
        <f t="shared" si="14"/>
        <v>0.91940219014511515</v>
      </c>
      <c r="M31" s="30">
        <f>Data!K227</f>
        <v>0.19520000000000001</v>
      </c>
      <c r="N31" s="30">
        <f>Data!K344 - M31</f>
        <v>0.25790000000000002</v>
      </c>
      <c r="O31" s="30">
        <f t="shared" si="21"/>
        <v>0.54689999999999994</v>
      </c>
      <c r="P31" s="47">
        <f t="shared" si="7"/>
        <v>0.63917909222698643</v>
      </c>
      <c r="Q31" s="47">
        <f t="shared" si="8"/>
        <v>0.28022309791812872</v>
      </c>
      <c r="R31" s="47">
        <f t="shared" si="9"/>
        <v>8.059780985488485E-2</v>
      </c>
      <c r="S31" s="48">
        <f t="shared" si="15"/>
        <v>0.36082090777301357</v>
      </c>
      <c r="T31" s="49">
        <f t="shared" si="10"/>
        <v>0.48706607169858285</v>
      </c>
      <c r="U31" s="30">
        <f t="shared" si="11"/>
        <v>1.4219020386714565</v>
      </c>
      <c r="V31" s="30">
        <f t="shared" si="12"/>
        <v>-7.9661876854458025E-2</v>
      </c>
      <c r="W31" s="30">
        <f t="shared" si="13"/>
        <v>-0.14437126205970485</v>
      </c>
      <c r="X31" s="30"/>
      <c r="Y31" s="30"/>
      <c r="Z31" s="30"/>
    </row>
    <row r="32" spans="1:26" x14ac:dyDescent="0.5">
      <c r="A32">
        <v>2009</v>
      </c>
      <c r="B32" s="12">
        <f>'Minimum Deflation Total'!F32</f>
        <v>12977.5</v>
      </c>
      <c r="C32" s="12">
        <f>'Average Labor Income'!C49 *251.1 / CPI!B98</f>
        <v>51023.517658741257</v>
      </c>
      <c r="D32" s="35">
        <f>'99.9% Average Labor'!D49*251.1 / CPI!B98</f>
        <v>2427774.5731468527</v>
      </c>
      <c r="E32" s="11">
        <f t="shared" si="17"/>
        <v>10.459920678852811</v>
      </c>
      <c r="F32" s="39">
        <f t="shared" si="22"/>
        <v>0.87191886908035343</v>
      </c>
      <c r="G32" s="12">
        <f t="shared" si="16"/>
        <v>106652.34063602622</v>
      </c>
      <c r="H32" s="12">
        <f t="shared" si="16"/>
        <v>265217.96763817093</v>
      </c>
      <c r="I32" s="17">
        <f t="shared" si="18"/>
        <v>0.40963269646424716</v>
      </c>
      <c r="J32" s="17">
        <f t="shared" si="19"/>
        <v>1.4544290049604875</v>
      </c>
      <c r="K32" s="18">
        <f t="shared" si="20"/>
        <v>0.65896229588467792</v>
      </c>
      <c r="L32" s="18">
        <f t="shared" si="14"/>
        <v>0.92708629835524126</v>
      </c>
      <c r="M32" s="30">
        <f>Data!K228</f>
        <v>0.18539998999999999</v>
      </c>
      <c r="N32" s="30">
        <f>Data!K345 - M32</f>
        <v>0.25800001000000006</v>
      </c>
      <c r="O32" s="30">
        <f t="shared" si="21"/>
        <v>0.55659999999999998</v>
      </c>
      <c r="P32" s="47">
        <f t="shared" si="7"/>
        <v>0.65896229588467792</v>
      </c>
      <c r="Q32" s="47">
        <f t="shared" si="8"/>
        <v>0.26812400247056334</v>
      </c>
      <c r="R32" s="47">
        <f t="shared" si="9"/>
        <v>7.2913701644758744E-2</v>
      </c>
      <c r="S32" s="48">
        <f t="shared" si="15"/>
        <v>0.34103770411532208</v>
      </c>
      <c r="T32" s="49">
        <f t="shared" si="10"/>
        <v>0.46246165126311167</v>
      </c>
      <c r="U32" s="30">
        <f t="shared" si="11"/>
        <v>1.5427318297908292</v>
      </c>
      <c r="V32" s="30">
        <f t="shared" si="12"/>
        <v>-3.7758620553468569E-2</v>
      </c>
      <c r="W32" s="30">
        <f t="shared" si="13"/>
        <v>-0.15533862335363713</v>
      </c>
      <c r="X32" s="30"/>
      <c r="Y32" s="30"/>
      <c r="Z32" s="30"/>
    </row>
    <row r="33" spans="1:29" x14ac:dyDescent="0.5">
      <c r="A33" s="10">
        <v>2010</v>
      </c>
      <c r="B33" s="12">
        <f>'Minimum Deflation Total'!F33</f>
        <v>12977.5</v>
      </c>
      <c r="C33" s="12">
        <f>'Average Labor Income'!C50 *251.1 / CPI!B99</f>
        <v>49562.721284731771</v>
      </c>
      <c r="D33" s="35">
        <f>'99.9% Average Labor'!D50*251.1 / CPI!B99</f>
        <v>2491072.3770288858</v>
      </c>
      <c r="E33" s="11">
        <f t="shared" si="17"/>
        <v>10.42712350507202</v>
      </c>
      <c r="F33" s="39">
        <f t="shared" si="22"/>
        <v>0.87620858025531112</v>
      </c>
      <c r="G33" s="12">
        <f t="shared" si="16"/>
        <v>103780.1483972136</v>
      </c>
      <c r="H33" s="12">
        <f t="shared" si="16"/>
        <v>259234.79462288899</v>
      </c>
      <c r="I33" s="17">
        <f t="shared" si="18"/>
        <v>0.40534298528929097</v>
      </c>
      <c r="J33" s="17">
        <f t="shared" si="19"/>
        <v>1.4501392937855302</v>
      </c>
      <c r="K33" s="18">
        <f t="shared" si="20"/>
        <v>0.65738729306486743</v>
      </c>
      <c r="L33" s="18">
        <f t="shared" si="14"/>
        <v>0.92649016024046993</v>
      </c>
      <c r="M33" s="30">
        <f>Data!K229</f>
        <v>0.19800000000000001</v>
      </c>
      <c r="N33" s="30">
        <f>Data!K346 - M33</f>
        <v>0.25950001</v>
      </c>
      <c r="O33" s="30">
        <f t="shared" si="21"/>
        <v>0.54249999000000004</v>
      </c>
      <c r="P33" s="47">
        <f t="shared" si="7"/>
        <v>0.65738729306486743</v>
      </c>
      <c r="Q33" s="47">
        <f t="shared" si="8"/>
        <v>0.2691028671756025</v>
      </c>
      <c r="R33" s="47">
        <f t="shared" si="9"/>
        <v>7.3509839759530071E-2</v>
      </c>
      <c r="S33" s="48">
        <f t="shared" si="15"/>
        <v>0.34261270693513257</v>
      </c>
      <c r="T33" s="49">
        <f t="shared" si="10"/>
        <v>0.4644610717398614</v>
      </c>
      <c r="U33" s="30">
        <f t="shared" si="11"/>
        <v>1.6935169583787673</v>
      </c>
      <c r="V33" s="30">
        <f t="shared" si="12"/>
        <v>-3.5684707771382329E-2</v>
      </c>
      <c r="W33" s="30">
        <f t="shared" si="13"/>
        <v>-0.17476349828613269</v>
      </c>
      <c r="X33" s="30"/>
      <c r="Y33" s="30"/>
      <c r="Z33" s="30"/>
    </row>
    <row r="34" spans="1:29" x14ac:dyDescent="0.5">
      <c r="A34">
        <v>2011</v>
      </c>
      <c r="B34" s="12">
        <f>'Minimum Deflation Total'!F34</f>
        <v>12977.5</v>
      </c>
      <c r="C34" s="12">
        <f>'Average Labor Income'!C51 *251.1 / CPI!B100</f>
        <v>48554.187638950636</v>
      </c>
      <c r="D34" s="35">
        <f>'99.9% Average Labor'!D51*251.1 / CPI!B100</f>
        <v>2405811.5415740325</v>
      </c>
      <c r="E34" s="11">
        <f t="shared" si="17"/>
        <v>10.411633948389129</v>
      </c>
      <c r="F34" s="39">
        <f t="shared" si="22"/>
        <v>0.87040424603744881</v>
      </c>
      <c r="G34" s="12">
        <f t="shared" si="16"/>
        <v>101427.73693785604</v>
      </c>
      <c r="H34" s="12">
        <f t="shared" si="16"/>
        <v>251826.84711887004</v>
      </c>
      <c r="I34" s="17">
        <f t="shared" si="18"/>
        <v>0.41114731950715128</v>
      </c>
      <c r="J34" s="17">
        <f t="shared" si="19"/>
        <v>1.4559436280033911</v>
      </c>
      <c r="K34" s="18">
        <f t="shared" si="20"/>
        <v>0.65951774293100862</v>
      </c>
      <c r="L34" s="18">
        <f t="shared" si="14"/>
        <v>0.92729589812127611</v>
      </c>
      <c r="M34" s="30">
        <f>Data!K230</f>
        <v>0.19599999000000001</v>
      </c>
      <c r="N34" s="30">
        <f>Data!K347 - M34</f>
        <v>0.26319999999999999</v>
      </c>
      <c r="O34" s="30">
        <f t="shared" si="21"/>
        <v>0.54080001</v>
      </c>
      <c r="P34" s="47">
        <f t="shared" si="7"/>
        <v>0.65951774293100862</v>
      </c>
      <c r="Q34" s="47">
        <f t="shared" si="8"/>
        <v>0.26777815519026749</v>
      </c>
      <c r="R34" s="47">
        <f t="shared" si="9"/>
        <v>7.2704101878723892E-2</v>
      </c>
      <c r="S34" s="48">
        <f t="shared" si="15"/>
        <v>0.34048225706899138</v>
      </c>
      <c r="T34" s="49">
        <f t="shared" si="10"/>
        <v>0.46175479574705802</v>
      </c>
      <c r="U34" s="30">
        <f t="shared" si="11"/>
        <v>1.6958587608570319</v>
      </c>
      <c r="V34" s="30">
        <f t="shared" si="12"/>
        <v>-1.7096821012208885E-2</v>
      </c>
      <c r="W34" s="30">
        <f t="shared" si="13"/>
        <v>-0.18000688261002185</v>
      </c>
      <c r="X34" s="30"/>
      <c r="Y34" s="30"/>
      <c r="Z34" s="30"/>
    </row>
    <row r="35" spans="1:29" x14ac:dyDescent="0.5">
      <c r="A35" s="10">
        <v>2012</v>
      </c>
      <c r="B35" s="12">
        <f>'Minimum Deflation Total'!F35</f>
        <v>12977.5</v>
      </c>
      <c r="C35" s="12">
        <f>'Average Labor Income'!C52 *251.1 / CPI!B101</f>
        <v>48264.458135017419</v>
      </c>
      <c r="D35" s="35">
        <f>'99.9% Average Labor'!D52*251.1 / CPI!B101</f>
        <v>2693180.9242160278</v>
      </c>
      <c r="E35" s="11">
        <f t="shared" si="17"/>
        <v>10.389103324681091</v>
      </c>
      <c r="F35" s="39">
        <f t="shared" si="22"/>
        <v>0.88921019749718244</v>
      </c>
      <c r="G35" s="12">
        <f t="shared" si="16"/>
        <v>101587.12111187696</v>
      </c>
      <c r="H35" s="12">
        <f t="shared" si="16"/>
        <v>257227.34332015718</v>
      </c>
      <c r="I35" s="17">
        <f t="shared" si="18"/>
        <v>0.39234136804741709</v>
      </c>
      <c r="J35" s="17">
        <f t="shared" si="19"/>
        <v>1.4371376765436583</v>
      </c>
      <c r="K35" s="18">
        <f t="shared" si="20"/>
        <v>0.65259699921617942</v>
      </c>
      <c r="L35" s="18">
        <f t="shared" si="14"/>
        <v>0.9246605612399833</v>
      </c>
      <c r="M35" s="30">
        <f>Data!K231</f>
        <v>0.20780000000000001</v>
      </c>
      <c r="N35" s="30">
        <f>Data!K348 - M35</f>
        <v>0.26359999000000001</v>
      </c>
      <c r="O35" s="30">
        <f t="shared" si="21"/>
        <v>0.52860001000000001</v>
      </c>
      <c r="P35" s="47">
        <f t="shared" si="7"/>
        <v>0.65259699921617942</v>
      </c>
      <c r="Q35" s="47">
        <f t="shared" si="8"/>
        <v>0.27206356202380388</v>
      </c>
      <c r="R35" s="47">
        <f t="shared" si="9"/>
        <v>7.5339438760016697E-2</v>
      </c>
      <c r="S35" s="48">
        <f t="shared" si="15"/>
        <v>0.34740300078382058</v>
      </c>
      <c r="T35" s="49">
        <f t="shared" si="10"/>
        <v>0.47049810490849953</v>
      </c>
      <c r="U35" s="30">
        <f t="shared" si="11"/>
        <v>1.7581835413178215</v>
      </c>
      <c r="V35" s="30">
        <f t="shared" si="12"/>
        <v>-3.1108803989941758E-2</v>
      </c>
      <c r="W35" s="30">
        <f t="shared" si="13"/>
        <v>-0.19000545415487602</v>
      </c>
      <c r="X35" s="30"/>
      <c r="Y35" s="30"/>
      <c r="Z35" s="30"/>
    </row>
    <row r="36" spans="1:29" x14ac:dyDescent="0.5">
      <c r="A36">
        <v>2013</v>
      </c>
      <c r="B36" s="12">
        <f>'Minimum Deflation Total'!F36</f>
        <v>12977.5</v>
      </c>
      <c r="C36" s="12">
        <f>'Average Labor Income'!C53 *251.1 / CPI!B102</f>
        <v>47820.457106274007</v>
      </c>
      <c r="D36" s="35">
        <f>'99.9% Average Labor'!D53*251.1 / CPI!B102</f>
        <v>2446347.1620998713</v>
      </c>
      <c r="E36" s="11">
        <f t="shared" si="17"/>
        <v>10.393979263461231</v>
      </c>
      <c r="F36" s="39">
        <f t="shared" si="22"/>
        <v>0.8731890246660482</v>
      </c>
      <c r="G36" s="12">
        <f t="shared" si="16"/>
        <v>100009.05641688265</v>
      </c>
      <c r="H36" s="12">
        <f t="shared" si="16"/>
        <v>249028.01885262816</v>
      </c>
      <c r="I36" s="17">
        <f t="shared" si="18"/>
        <v>0.40836254087855134</v>
      </c>
      <c r="J36" s="17">
        <f t="shared" si="19"/>
        <v>1.4531588493747907</v>
      </c>
      <c r="K36" s="18">
        <f t="shared" si="20"/>
        <v>0.65849623486682574</v>
      </c>
      <c r="L36" s="18">
        <f t="shared" si="14"/>
        <v>0.92691017267531561</v>
      </c>
      <c r="M36" s="30">
        <f>Data!K232</f>
        <v>0.19589999</v>
      </c>
      <c r="N36" s="30">
        <f>Data!K349 - M36</f>
        <v>0.26730001000000003</v>
      </c>
      <c r="O36" s="30">
        <f t="shared" si="21"/>
        <v>0.53679999999999994</v>
      </c>
      <c r="P36" s="47">
        <f t="shared" si="7"/>
        <v>0.65849623486682574</v>
      </c>
      <c r="Q36" s="47">
        <f t="shared" si="8"/>
        <v>0.26841393780848988</v>
      </c>
      <c r="R36" s="47">
        <f t="shared" si="9"/>
        <v>7.3089827324684387E-2</v>
      </c>
      <c r="S36" s="48">
        <f t="shared" si="15"/>
        <v>0.34150376513317426</v>
      </c>
      <c r="T36" s="49">
        <f t="shared" si="10"/>
        <v>0.46305405720887372</v>
      </c>
      <c r="U36" s="30">
        <f t="shared" si="11"/>
        <v>1.6802634124412461</v>
      </c>
      <c r="V36" s="30">
        <f t="shared" si="12"/>
        <v>-4.1500371313974993E-3</v>
      </c>
      <c r="W36" s="30">
        <f t="shared" si="13"/>
        <v>-0.18480931009641632</v>
      </c>
      <c r="X36" s="30"/>
      <c r="Y36" s="30"/>
      <c r="Z36" s="30"/>
    </row>
    <row r="37" spans="1:29" x14ac:dyDescent="0.5">
      <c r="A37" s="10">
        <v>2014</v>
      </c>
      <c r="B37" s="12">
        <f>'Minimum Deflation Total'!F37</f>
        <v>12977.5</v>
      </c>
      <c r="C37" s="12">
        <f>'Average Labor Income'!C54 *251.1 / CPI!B103</f>
        <v>48174.068600760453</v>
      </c>
      <c r="D37" s="35">
        <f>'99.9% Average Labor'!D54*251.1 / CPI!B103</f>
        <v>2597493.7129277568</v>
      </c>
      <c r="E37" s="11">
        <f t="shared" si="17"/>
        <v>10.392571935774981</v>
      </c>
      <c r="F37" s="39">
        <f t="shared" si="22"/>
        <v>0.88318086896985992</v>
      </c>
      <c r="G37" s="12">
        <f t="shared" si="16"/>
        <v>101155.45399991625</v>
      </c>
      <c r="H37" s="12">
        <f t="shared" si="16"/>
        <v>254525.89865838995</v>
      </c>
      <c r="I37" s="17">
        <f t="shared" si="18"/>
        <v>0.39837069657474139</v>
      </c>
      <c r="J37" s="17">
        <f t="shared" si="19"/>
        <v>1.4431670050709813</v>
      </c>
      <c r="K37" s="18">
        <f t="shared" si="20"/>
        <v>0.6548215225082612</v>
      </c>
      <c r="L37" s="18">
        <f t="shared" si="14"/>
        <v>0.92551328413844691</v>
      </c>
      <c r="M37" s="30">
        <f>Data!K233</f>
        <v>0.20200001000000001</v>
      </c>
      <c r="N37" s="30">
        <f>Data!K350 - M37</f>
        <v>0.26819999</v>
      </c>
      <c r="O37" s="30">
        <f t="shared" si="21"/>
        <v>0.52979999999999994</v>
      </c>
      <c r="P37" s="47">
        <f t="shared" si="7"/>
        <v>0.6548215225082612</v>
      </c>
      <c r="Q37" s="47">
        <f t="shared" si="8"/>
        <v>0.27069176163018571</v>
      </c>
      <c r="R37" s="47">
        <f t="shared" si="9"/>
        <v>7.4486715861553088E-2</v>
      </c>
      <c r="S37" s="48">
        <f t="shared" si="15"/>
        <v>0.3451784774917388</v>
      </c>
      <c r="T37" s="49">
        <f t="shared" si="10"/>
        <v>0.46770281838135608</v>
      </c>
      <c r="U37" s="30">
        <f t="shared" si="11"/>
        <v>1.7118930894396422</v>
      </c>
      <c r="V37" s="30">
        <f t="shared" si="12"/>
        <v>-9.205199357304128E-3</v>
      </c>
      <c r="W37" s="30">
        <f t="shared" si="13"/>
        <v>-0.19092457747780278</v>
      </c>
      <c r="X37" s="30"/>
      <c r="Y37" s="30"/>
      <c r="Z37" s="30"/>
    </row>
    <row r="38" spans="1:29" x14ac:dyDescent="0.5">
      <c r="A38">
        <v>2015</v>
      </c>
      <c r="B38" s="12">
        <f>'Minimum Deflation Total'!F38</f>
        <v>12977.5</v>
      </c>
      <c r="C38" s="12"/>
      <c r="D38" s="35"/>
      <c r="E38" s="11"/>
      <c r="F38" s="11"/>
      <c r="G38" s="12"/>
      <c r="H38" s="12"/>
      <c r="I38" s="17"/>
      <c r="J38" s="17"/>
      <c r="K38" s="18"/>
      <c r="L38" s="18"/>
      <c r="M38" s="30"/>
      <c r="N38" s="30"/>
      <c r="O38" s="30"/>
      <c r="P38" s="30"/>
      <c r="Q38" s="30"/>
      <c r="R38" s="30"/>
      <c r="S38" s="19"/>
      <c r="T38" s="19"/>
      <c r="U38" s="19"/>
      <c r="V38" s="30"/>
      <c r="W38" s="11"/>
      <c r="X38" s="30"/>
      <c r="Y38" s="30"/>
      <c r="Z38" s="30"/>
      <c r="AA38" s="30"/>
      <c r="AB38" s="30"/>
      <c r="AC38" s="30"/>
    </row>
    <row r="39" spans="1:29" x14ac:dyDescent="0.5">
      <c r="A39" s="10">
        <v>2016</v>
      </c>
      <c r="B39" s="12">
        <f>'Minimum Deflation Total'!F39</f>
        <v>12977.5</v>
      </c>
      <c r="C39" s="12"/>
      <c r="D39" s="35"/>
      <c r="E39" s="11"/>
      <c r="F39" s="11"/>
      <c r="G39" s="12"/>
      <c r="H39" s="12"/>
      <c r="I39" s="17"/>
      <c r="J39" s="17"/>
      <c r="K39" s="18"/>
      <c r="L39" s="18"/>
      <c r="M39" s="30"/>
      <c r="N39" s="30"/>
      <c r="O39" s="30"/>
      <c r="P39" s="30"/>
      <c r="Q39" s="30"/>
      <c r="R39" s="30"/>
      <c r="S39" s="19"/>
      <c r="T39" s="19"/>
      <c r="U39" s="19"/>
      <c r="V39" s="30"/>
      <c r="W39" s="11"/>
      <c r="X39" s="30"/>
      <c r="Y39" s="30"/>
      <c r="Z39" s="30"/>
      <c r="AA39" s="30"/>
      <c r="AB39" s="30"/>
      <c r="AC39" s="30"/>
    </row>
    <row r="40" spans="1:29" x14ac:dyDescent="0.5">
      <c r="A40" s="10">
        <v>2017</v>
      </c>
      <c r="B40" s="12">
        <f>'Minimum Deflation Total'!F40</f>
        <v>12977.5</v>
      </c>
      <c r="C40" s="12"/>
      <c r="D40" s="35"/>
      <c r="E40" s="11"/>
      <c r="F40" s="11"/>
      <c r="AA40" s="30"/>
      <c r="AB40" s="30"/>
      <c r="AC40" s="30"/>
    </row>
    <row r="41" spans="1:29" x14ac:dyDescent="0.5">
      <c r="A41">
        <v>2018</v>
      </c>
      <c r="B41" s="12">
        <f>'Minimum Deflation Total'!F41</f>
        <v>12977.5</v>
      </c>
      <c r="C41" s="12"/>
      <c r="D41" s="35"/>
      <c r="E41" s="11"/>
      <c r="F41" s="11"/>
      <c r="AA41" s="30"/>
      <c r="AB41" s="30"/>
      <c r="AC41" s="30"/>
    </row>
    <row r="42" spans="1:29" x14ac:dyDescent="0.5">
      <c r="A42" s="10">
        <v>2019</v>
      </c>
      <c r="B42" s="12">
        <f>'Minimum Deflation Total'!F42</f>
        <v>12977.5</v>
      </c>
      <c r="C42" s="12"/>
      <c r="D42" s="12"/>
      <c r="E42" s="11"/>
      <c r="AA42" s="30"/>
      <c r="AB42" s="30"/>
      <c r="AC42" s="30"/>
    </row>
    <row r="43" spans="1:29" x14ac:dyDescent="0.5">
      <c r="AA43" s="30"/>
      <c r="AB43" s="30"/>
      <c r="AC43" s="30"/>
    </row>
    <row r="44" spans="1:29" x14ac:dyDescent="0.5">
      <c r="AA44" s="30"/>
      <c r="AB44" s="30"/>
      <c r="AC44" s="30"/>
    </row>
    <row r="45" spans="1:29" x14ac:dyDescent="0.5">
      <c r="AA45" s="30"/>
      <c r="AB45" s="30"/>
      <c r="AC45" s="30"/>
    </row>
    <row r="46" spans="1:29" x14ac:dyDescent="0.5">
      <c r="AA46" s="30"/>
      <c r="AB46" s="30"/>
      <c r="AC46" s="30"/>
    </row>
    <row r="47" spans="1:29" x14ac:dyDescent="0.5">
      <c r="AA47" s="30"/>
      <c r="AB47" s="30"/>
      <c r="AC47" s="30"/>
    </row>
    <row r="48" spans="1:29" x14ac:dyDescent="0.5">
      <c r="A48" t="s">
        <v>131</v>
      </c>
      <c r="AA48" s="30"/>
      <c r="AB48" s="30"/>
      <c r="AC48" s="30"/>
    </row>
    <row r="49" spans="27:29" x14ac:dyDescent="0.5">
      <c r="AA49" s="30"/>
      <c r="AB49" s="30"/>
      <c r="AC49" s="30"/>
    </row>
    <row r="50" spans="27:29" x14ac:dyDescent="0.5">
      <c r="AA50" s="30"/>
      <c r="AB50" s="30"/>
      <c r="AC50" s="30"/>
    </row>
    <row r="51" spans="27:29" x14ac:dyDescent="0.5">
      <c r="AA51" s="30"/>
      <c r="AB51" s="30"/>
      <c r="AC51" s="30"/>
    </row>
    <row r="52" spans="27:29" x14ac:dyDescent="0.5">
      <c r="AA52" s="30"/>
      <c r="AB52" s="30"/>
      <c r="AC52" s="30"/>
    </row>
    <row r="53" spans="27:29" x14ac:dyDescent="0.5">
      <c r="AA53" s="30"/>
      <c r="AB53" s="30"/>
      <c r="AC53" s="30"/>
    </row>
    <row r="54" spans="27:29" x14ac:dyDescent="0.5">
      <c r="AA54" s="30"/>
      <c r="AB54" s="30"/>
      <c r="AC54" s="30"/>
    </row>
    <row r="55" spans="27:29" x14ac:dyDescent="0.5">
      <c r="AA55" s="30"/>
      <c r="AB55" s="30"/>
      <c r="AC55" s="30"/>
    </row>
    <row r="56" spans="27:29" x14ac:dyDescent="0.5">
      <c r="AA56" s="30"/>
      <c r="AB56" s="30"/>
      <c r="AC56" s="30"/>
    </row>
    <row r="57" spans="27:29" x14ac:dyDescent="0.5">
      <c r="AA57" s="30"/>
      <c r="AB57" s="30"/>
      <c r="AC57" s="30"/>
    </row>
    <row r="58" spans="27:29" x14ac:dyDescent="0.5">
      <c r="AA58" s="30"/>
      <c r="AB58" s="30"/>
      <c r="AC58" s="30"/>
    </row>
    <row r="59" spans="27:29" x14ac:dyDescent="0.5">
      <c r="AA59" s="30"/>
      <c r="AB59" s="30"/>
      <c r="AC59" s="30"/>
    </row>
    <row r="60" spans="27:29" x14ac:dyDescent="0.5">
      <c r="AA60" s="30"/>
      <c r="AB60" s="30"/>
      <c r="AC60" s="30"/>
    </row>
    <row r="61" spans="27:29" x14ac:dyDescent="0.5">
      <c r="AA61" s="30"/>
      <c r="AB61" s="30"/>
      <c r="AC61" s="30"/>
    </row>
    <row r="62" spans="27:29" x14ac:dyDescent="0.5">
      <c r="AA62" s="30"/>
      <c r="AB62" s="30"/>
      <c r="AC62" s="30"/>
    </row>
    <row r="63" spans="27:29" x14ac:dyDescent="0.5">
      <c r="AA63" s="30"/>
      <c r="AB63" s="30"/>
      <c r="AC63" s="30"/>
    </row>
    <row r="64" spans="27:29" x14ac:dyDescent="0.5">
      <c r="AA64" s="30"/>
      <c r="AB64" s="30"/>
      <c r="AC64" s="30"/>
    </row>
    <row r="65" spans="27:29" x14ac:dyDescent="0.5">
      <c r="AA65" s="30"/>
      <c r="AB65" s="30"/>
      <c r="AC65" s="30"/>
    </row>
    <row r="66" spans="27:29" x14ac:dyDescent="0.5">
      <c r="AA66" s="30"/>
      <c r="AB66" s="30"/>
      <c r="AC66" s="30"/>
    </row>
    <row r="67" spans="27:29" x14ac:dyDescent="0.5">
      <c r="AA67" s="30"/>
      <c r="AB67" s="30"/>
      <c r="AC67" s="30"/>
    </row>
    <row r="68" spans="27:29" x14ac:dyDescent="0.5">
      <c r="AA68" s="30"/>
      <c r="AB68" s="30"/>
      <c r="AC68" s="30"/>
    </row>
    <row r="69" spans="27:29" x14ac:dyDescent="0.5">
      <c r="AA69" s="30"/>
      <c r="AB69" s="30"/>
      <c r="AC69" s="30"/>
    </row>
    <row r="70" spans="27:29" x14ac:dyDescent="0.5">
      <c r="AA70" s="30"/>
      <c r="AB70" s="30"/>
      <c r="AC70" s="30"/>
    </row>
    <row r="71" spans="27:29" x14ac:dyDescent="0.5">
      <c r="AA71" s="30"/>
      <c r="AB71" s="30"/>
      <c r="AC71" s="30"/>
    </row>
    <row r="72" spans="27:29" x14ac:dyDescent="0.5">
      <c r="AA72" s="30"/>
      <c r="AB72" s="30"/>
      <c r="AC72" s="30"/>
    </row>
    <row r="73" spans="27:29" x14ac:dyDescent="0.5">
      <c r="AA73" s="30"/>
      <c r="AB73" s="30"/>
      <c r="AC73" s="30"/>
    </row>
    <row r="74" spans="27:29" x14ac:dyDescent="0.5">
      <c r="AA74" s="30"/>
      <c r="AB74" s="30"/>
      <c r="AC74" s="30"/>
    </row>
    <row r="75" spans="27:29" x14ac:dyDescent="0.5">
      <c r="AA75" s="30"/>
      <c r="AB75" s="30"/>
      <c r="AC75" s="30"/>
    </row>
    <row r="76" spans="27:29" x14ac:dyDescent="0.5">
      <c r="AA76" s="30"/>
      <c r="AB76" s="30"/>
      <c r="AC76" s="30"/>
    </row>
    <row r="77" spans="27:29" x14ac:dyDescent="0.5">
      <c r="AA77" s="30"/>
      <c r="AB77" s="30"/>
      <c r="AC77" s="30"/>
    </row>
    <row r="78" spans="27:29" x14ac:dyDescent="0.5">
      <c r="AA78" s="30"/>
      <c r="AB78" s="30"/>
      <c r="AC78" s="30"/>
    </row>
    <row r="79" spans="27:29" x14ac:dyDescent="0.5">
      <c r="AA79" s="30"/>
      <c r="AB79" s="30"/>
      <c r="AC79" s="30"/>
    </row>
    <row r="80" spans="27:29" x14ac:dyDescent="0.5">
      <c r="AA80" s="30"/>
      <c r="AB80" s="30"/>
      <c r="AC80" s="30"/>
    </row>
    <row r="81" spans="27:29" x14ac:dyDescent="0.5">
      <c r="AA81" s="30"/>
      <c r="AB81" s="30"/>
      <c r="AC81" s="30"/>
    </row>
    <row r="82" spans="27:29" x14ac:dyDescent="0.5">
      <c r="AA82" s="30"/>
      <c r="AB82" s="30"/>
      <c r="AC82" s="30"/>
    </row>
    <row r="83" spans="27:29" x14ac:dyDescent="0.5">
      <c r="AA83" s="30"/>
      <c r="AB83" s="30"/>
      <c r="AC83" s="30"/>
    </row>
    <row r="84" spans="27:29" x14ac:dyDescent="0.5">
      <c r="AA84" s="30"/>
      <c r="AB84" s="30"/>
      <c r="AC84" s="30"/>
    </row>
    <row r="85" spans="27:29" x14ac:dyDescent="0.5">
      <c r="AA85" s="30"/>
      <c r="AB85" s="30"/>
      <c r="AC85" s="30"/>
    </row>
    <row r="86" spans="27:29" x14ac:dyDescent="0.5">
      <c r="AA86" s="30"/>
      <c r="AB86" s="30"/>
      <c r="AC86" s="30"/>
    </row>
    <row r="87" spans="27:29" x14ac:dyDescent="0.5">
      <c r="AA87" s="30"/>
      <c r="AB87" s="30"/>
      <c r="AC87" s="30"/>
    </row>
    <row r="88" spans="27:29" x14ac:dyDescent="0.5">
      <c r="AA88" s="30"/>
      <c r="AB88" s="30"/>
      <c r="AC88" s="30"/>
    </row>
    <row r="89" spans="27:29" x14ac:dyDescent="0.5">
      <c r="AA89" s="30"/>
      <c r="AB89" s="30"/>
      <c r="AC89" s="30"/>
    </row>
  </sheetData>
  <mergeCells count="8">
    <mergeCell ref="N1:S1"/>
    <mergeCell ref="T1:X1"/>
    <mergeCell ref="A1:A2"/>
    <mergeCell ref="B1:D1"/>
    <mergeCell ref="F1:G1"/>
    <mergeCell ref="H1:I1"/>
    <mergeCell ref="J1:K1"/>
    <mergeCell ref="L1:M1"/>
  </mergeCells>
  <hyperlinks>
    <hyperlink ref="H1" location="Index" display="Back to Index" xr:uid="{E8C9B730-124C-4B37-827C-643A417B470C}"/>
  </hyperlinks>
  <pageMargins left="0.7" right="0.7" top="0.75" bottom="0.75" header="0.3" footer="0.3"/>
  <pageSetup orientation="portrait" horizontalDpi="4294967293"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A8192-7C8D-4814-B48D-B9B1796A38FA}">
  <sheetPr codeName="Sheet20"/>
  <dimension ref="A1:AI66"/>
  <sheetViews>
    <sheetView zoomScale="85" zoomScaleNormal="85" workbookViewId="0">
      <pane xSplit="1" ySplit="2" topLeftCell="B24" activePane="bottomRight" state="frozen"/>
      <selection pane="topRight" activeCell="B1" sqref="B1"/>
      <selection pane="bottomLeft" activeCell="A3" sqref="A3"/>
      <selection pane="bottomRight" activeCell="B48" sqref="B48"/>
    </sheetView>
  </sheetViews>
  <sheetFormatPr defaultRowHeight="15.75" x14ac:dyDescent="0.5"/>
  <cols>
    <col min="2" max="2" width="17" customWidth="1"/>
    <col min="3" max="3" width="25.125" customWidth="1"/>
    <col min="4" max="5" width="26" customWidth="1"/>
    <col min="6" max="6" width="46.25" customWidth="1"/>
    <col min="7" max="7" width="42.875" customWidth="1"/>
    <col min="8" max="8" width="15.375" customWidth="1"/>
    <col min="9" max="9" width="10.875" customWidth="1"/>
    <col min="10" max="10" width="11.625" customWidth="1"/>
    <col min="11" max="11" width="10.375" customWidth="1"/>
    <col min="12" max="12" width="15.25" customWidth="1"/>
    <col min="13" max="13" width="15.5" customWidth="1"/>
    <col min="14" max="14" width="18.125" customWidth="1"/>
    <col min="15" max="15" width="17.375" customWidth="1"/>
    <col min="16" max="19" width="19.625" customWidth="1"/>
    <col min="20" max="20" width="16" customWidth="1"/>
    <col min="21" max="21" width="14.125" customWidth="1"/>
    <col min="23" max="23" width="12.625" customWidth="1"/>
    <col min="24" max="24" width="11.75" customWidth="1"/>
    <col min="25" max="25" width="17.125" customWidth="1"/>
    <col min="26" max="26" width="15.625" customWidth="1"/>
    <col min="27" max="27" width="13.625" customWidth="1"/>
    <col min="28" max="28" width="18.375" customWidth="1"/>
    <col min="29" max="29" width="20.875" customWidth="1"/>
    <col min="30" max="30" width="17.375" customWidth="1"/>
  </cols>
  <sheetData>
    <row r="1" spans="1:33" x14ac:dyDescent="0.5">
      <c r="A1" s="102" t="s">
        <v>5</v>
      </c>
      <c r="B1" s="111" t="s">
        <v>12</v>
      </c>
      <c r="C1" s="111"/>
      <c r="D1" s="111"/>
      <c r="E1" s="70"/>
      <c r="F1" s="112" t="s">
        <v>13</v>
      </c>
      <c r="G1" s="112"/>
      <c r="H1" s="108" t="s">
        <v>543</v>
      </c>
      <c r="I1" s="111"/>
      <c r="J1" s="113" t="s">
        <v>19</v>
      </c>
      <c r="K1" s="113"/>
      <c r="L1" s="110" t="s">
        <v>20</v>
      </c>
      <c r="M1" s="110"/>
      <c r="N1" s="104" t="s">
        <v>116</v>
      </c>
      <c r="O1" s="104"/>
      <c r="P1" s="104"/>
      <c r="Q1" s="104"/>
      <c r="R1" s="104"/>
      <c r="S1" s="104"/>
      <c r="T1" s="110" t="s">
        <v>21</v>
      </c>
      <c r="U1" s="110"/>
      <c r="V1" s="110"/>
      <c r="W1" s="110"/>
      <c r="X1" s="110"/>
    </row>
    <row r="2" spans="1:33" ht="31.5" x14ac:dyDescent="0.5">
      <c r="A2" s="102"/>
      <c r="B2" s="78" t="s">
        <v>9</v>
      </c>
      <c r="C2" s="78" t="s">
        <v>10</v>
      </c>
      <c r="D2" s="78" t="s">
        <v>219</v>
      </c>
      <c r="E2" s="78" t="s">
        <v>176</v>
      </c>
      <c r="F2" s="79" t="s">
        <v>3</v>
      </c>
      <c r="G2" s="79" t="s">
        <v>4</v>
      </c>
      <c r="H2" s="80">
        <v>0.9</v>
      </c>
      <c r="I2" s="80">
        <v>0.99</v>
      </c>
      <c r="J2" s="81" t="s">
        <v>14</v>
      </c>
      <c r="K2" s="81" t="s">
        <v>15</v>
      </c>
      <c r="L2" s="82" t="s">
        <v>16</v>
      </c>
      <c r="M2" s="82" t="s">
        <v>17</v>
      </c>
      <c r="N2" s="83" t="s">
        <v>117</v>
      </c>
      <c r="O2" s="83" t="s">
        <v>120</v>
      </c>
      <c r="P2" s="83" t="s">
        <v>124</v>
      </c>
      <c r="Q2" s="83" t="s">
        <v>125</v>
      </c>
      <c r="R2" s="83" t="s">
        <v>126</v>
      </c>
      <c r="S2" s="83" t="s">
        <v>127</v>
      </c>
      <c r="T2" s="82" t="s">
        <v>0</v>
      </c>
      <c r="U2" s="82" t="s">
        <v>1</v>
      </c>
      <c r="V2" s="82" t="s">
        <v>2</v>
      </c>
      <c r="W2" s="83" t="s">
        <v>118</v>
      </c>
      <c r="X2" s="84" t="s">
        <v>25</v>
      </c>
      <c r="Y2" s="83" t="s">
        <v>121</v>
      </c>
      <c r="Z2" s="83" t="s">
        <v>122</v>
      </c>
      <c r="AA2" s="83" t="s">
        <v>123</v>
      </c>
      <c r="AB2" s="83" t="s">
        <v>128</v>
      </c>
      <c r="AC2" s="83" t="s">
        <v>129</v>
      </c>
      <c r="AD2" s="83" t="s">
        <v>130</v>
      </c>
      <c r="AE2" s="72"/>
      <c r="AF2" s="72"/>
      <c r="AG2" s="72"/>
    </row>
    <row r="3" spans="1:33" x14ac:dyDescent="0.5">
      <c r="A3" s="1">
        <v>1980</v>
      </c>
      <c r="B3" s="73">
        <f>'Minimum Deflation Total'!F3</f>
        <v>5549</v>
      </c>
      <c r="C3" s="73">
        <f>Data!AC523*251.1 / CPI!B69</f>
        <v>88937.547815533981</v>
      </c>
      <c r="D3" s="73">
        <f>Data!X82*251.1 / CPI!B69</f>
        <v>2120221.4501577667</v>
      </c>
      <c r="E3" s="74">
        <f>Data!F82*251.1 / CPI!B69</f>
        <v>4652855.8787621362</v>
      </c>
      <c r="F3" s="3">
        <f t="shared" ref="F3:F16" si="0">LN(C3)-G3^2/2</f>
        <v>10.904705663223783</v>
      </c>
      <c r="G3" s="3">
        <f t="shared" ref="G3:G17" si="1">(LN(D3)-LN(B3))/6</f>
        <v>0.99094301474809399</v>
      </c>
      <c r="H3" s="73">
        <f t="shared" ref="H3:I12" si="2">_xlfn.LOGNORM.INV(H$2,$F3,$G3)</f>
        <v>193813.22860009686</v>
      </c>
      <c r="I3" s="73">
        <f t="shared" si="2"/>
        <v>545786.87455325213</v>
      </c>
      <c r="J3" s="75">
        <f t="shared" ref="J3:K16" si="3">(LN(H3)-($F3+$G3^2))/$G3</f>
        <v>0.29060855079650505</v>
      </c>
      <c r="K3" s="75">
        <f t="shared" si="3"/>
        <v>1.3354048592927461</v>
      </c>
      <c r="L3" s="76">
        <f t="shared" ref="L3:M16" si="4">_xlfn.NORM.DIST(J3,0,1,TRUE)</f>
        <v>0.61432464019193567</v>
      </c>
      <c r="M3" s="76">
        <f>_xlfn.NORM.DIST(K3,0,1,TRUE)</f>
        <v>0.90912806238844002</v>
      </c>
      <c r="N3" s="30">
        <f>Data!K199</f>
        <v>0.1067</v>
      </c>
      <c r="O3" s="30">
        <f>Data!K316 - N3</f>
        <v>0.23570000999999996</v>
      </c>
      <c r="P3" s="30">
        <f t="shared" ref="P3:P16" si="5">1-O3 - N3</f>
        <v>0.65759999000000002</v>
      </c>
      <c r="Q3" s="30">
        <f>Data!P199</f>
        <v>8.5699997999999999E-2</v>
      </c>
      <c r="R3" s="30">
        <f>Data!P316 - Q3</f>
        <v>0.210199992</v>
      </c>
      <c r="S3" s="30">
        <f>1-R3 - Q3</f>
        <v>0.70410001000000011</v>
      </c>
      <c r="T3" s="77">
        <f t="shared" ref="T3:T16" si="6">L3</f>
        <v>0.61432464019193567</v>
      </c>
      <c r="U3" s="77">
        <f t="shared" ref="U3:U16" si="7">M3-L3</f>
        <v>0.29480342219650435</v>
      </c>
      <c r="V3" s="77">
        <f t="shared" ref="V3:V16" si="8">1-M3</f>
        <v>9.0871937611559983E-2</v>
      </c>
      <c r="W3" s="30">
        <f>U3+V3</f>
        <v>0.38567535980806433</v>
      </c>
      <c r="X3" s="3">
        <f t="shared" ref="X3:X16" si="9">2*_xlfn.NORM.DIST(G3/SQRT(2),0,1,TRUE)-1</f>
        <v>0.5165113203581102</v>
      </c>
      <c r="Y3" s="30">
        <f t="shared" ref="Y3:Y17" si="10">N3/V3 - 1</f>
        <v>0.17417987119520273</v>
      </c>
      <c r="Z3" s="30">
        <f t="shared" ref="Z3:Z16" si="11">O3/U3 - 1</f>
        <v>-0.20048414552361737</v>
      </c>
      <c r="AA3" s="30">
        <f>P3/T3 - 1</f>
        <v>7.044378000944862E-2</v>
      </c>
      <c r="AB3" s="30">
        <f>Q3/V3 - 1</f>
        <v>-5.6914595941245261E-2</v>
      </c>
      <c r="AC3" s="30">
        <f>R3/U3 - 1</f>
        <v>-0.2869825240363425</v>
      </c>
      <c r="AD3" s="30">
        <f>S3/T3 - 1</f>
        <v>0.14613669049643785</v>
      </c>
      <c r="AE3">
        <v>0</v>
      </c>
    </row>
    <row r="4" spans="1:33" x14ac:dyDescent="0.5">
      <c r="A4">
        <v>1981</v>
      </c>
      <c r="B4" s="73">
        <f>'Minimum Deflation Total'!F4</f>
        <v>5996.5</v>
      </c>
      <c r="C4" s="73">
        <f>Data!AC524*251.1 / CPI!B70</f>
        <v>81864.677227722757</v>
      </c>
      <c r="D4" s="73">
        <f>Data!X83*251.1 / CPI!B70</f>
        <v>2013169.5543564355</v>
      </c>
      <c r="E4" s="74">
        <f>Data!F83*251.1 / CPI!B70</f>
        <v>4583664.4811881185</v>
      </c>
      <c r="F4" s="3">
        <f t="shared" si="0"/>
        <v>10.842972528209428</v>
      </c>
      <c r="G4" s="3">
        <f t="shared" si="1"/>
        <v>0.96938161434804915</v>
      </c>
      <c r="H4" s="73">
        <f t="shared" si="2"/>
        <v>177244.4360845031</v>
      </c>
      <c r="I4" s="73">
        <f t="shared" si="2"/>
        <v>488010.1022155016</v>
      </c>
      <c r="J4" s="75">
        <f t="shared" si="3"/>
        <v>0.31216995119655028</v>
      </c>
      <c r="K4" s="75">
        <f t="shared" si="3"/>
        <v>1.3569662596927907</v>
      </c>
      <c r="L4" s="76">
        <f t="shared" si="4"/>
        <v>0.62254431636357277</v>
      </c>
      <c r="M4" s="76">
        <f t="shared" si="4"/>
        <v>0.91260403426458003</v>
      </c>
      <c r="N4" s="30">
        <f>Data!K200</f>
        <v>0.1105</v>
      </c>
      <c r="O4" s="30">
        <f>Data!K317 - N4</f>
        <v>0.23670001000000002</v>
      </c>
      <c r="P4" s="30">
        <f t="shared" si="5"/>
        <v>0.65279998999999989</v>
      </c>
      <c r="Q4" s="30">
        <f>Data!P200</f>
        <v>9.2799998999999994E-2</v>
      </c>
      <c r="R4" s="30">
        <f>Data!P317 - Q4</f>
        <v>0.212700001</v>
      </c>
      <c r="S4" s="30">
        <f t="shared" ref="S4:S37" si="12">1-R4 - Q4</f>
        <v>0.69450000000000001</v>
      </c>
      <c r="T4" s="77">
        <f t="shared" si="6"/>
        <v>0.62254431636357277</v>
      </c>
      <c r="U4" s="77">
        <f t="shared" si="7"/>
        <v>0.29005971790100726</v>
      </c>
      <c r="V4" s="77">
        <f t="shared" si="8"/>
        <v>8.7395965735419967E-2</v>
      </c>
      <c r="W4" s="30">
        <f t="shared" ref="W4:W37" si="13">U4+V4</f>
        <v>0.37745568363642723</v>
      </c>
      <c r="X4" s="3">
        <f t="shared" si="9"/>
        <v>0.50694398068206969</v>
      </c>
      <c r="Y4" s="30">
        <f t="shared" si="10"/>
        <v>0.26436042064601151</v>
      </c>
      <c r="Z4" s="30">
        <f t="shared" si="11"/>
        <v>-0.18396111079173727</v>
      </c>
      <c r="AA4" s="30">
        <f t="shared" ref="AA4:AA37" si="14">P4/T4 - 1</f>
        <v>4.8600031903202723E-2</v>
      </c>
      <c r="AB4" s="30">
        <f t="shared" ref="AB4:AB37" si="15">Q4/V4 - 1</f>
        <v>6.1833898385424746E-2</v>
      </c>
      <c r="AC4" s="30">
        <f t="shared" ref="AC4:AC37" si="16">R4/U4 - 1</f>
        <v>-0.26670272404873852</v>
      </c>
      <c r="AD4" s="30">
        <f t="shared" ref="AD4:AD37" si="17">S4/T4 - 1</f>
        <v>0.11558323117739988</v>
      </c>
      <c r="AE4">
        <v>0</v>
      </c>
    </row>
    <row r="5" spans="1:33" x14ac:dyDescent="0.5">
      <c r="A5" s="1">
        <v>1982</v>
      </c>
      <c r="B5" s="73">
        <f>'Minimum Deflation Total'!F5</f>
        <v>5996.5</v>
      </c>
      <c r="C5" s="73">
        <f>Data!AC525*251.1 / CPI!B71</f>
        <v>75106.73957409327</v>
      </c>
      <c r="D5" s="73">
        <f>Data!X84*251.1 / CPI!B71</f>
        <v>1867010.8035544041</v>
      </c>
      <c r="E5" s="74">
        <f>Data!F84*251.1 / CPI!B71</f>
        <v>4431234.2978238333</v>
      </c>
      <c r="F5" s="3">
        <f t="shared" si="0"/>
        <v>10.768913643472326</v>
      </c>
      <c r="G5" s="3">
        <f t="shared" si="1"/>
        <v>0.95681966073674207</v>
      </c>
      <c r="H5" s="73">
        <f t="shared" si="2"/>
        <v>161963.67774639154</v>
      </c>
      <c r="I5" s="73">
        <f t="shared" si="2"/>
        <v>440122.78644545574</v>
      </c>
      <c r="J5" s="75">
        <f t="shared" si="3"/>
        <v>0.32473190480785841</v>
      </c>
      <c r="K5" s="75">
        <f t="shared" si="3"/>
        <v>1.3695282133040991</v>
      </c>
      <c r="L5" s="76">
        <f t="shared" si="4"/>
        <v>0.6273080071969912</v>
      </c>
      <c r="M5" s="76">
        <f t="shared" si="4"/>
        <v>0.91458288905443541</v>
      </c>
      <c r="N5" s="30">
        <f>Data!K201</f>
        <v>0.11260000000000001</v>
      </c>
      <c r="O5" s="30">
        <f>Data!K318 - N5</f>
        <v>0.23640001000000002</v>
      </c>
      <c r="P5" s="30">
        <f t="shared" si="5"/>
        <v>0.65099998999999997</v>
      </c>
      <c r="Q5" s="30">
        <f>Data!P201</f>
        <v>9.4200000000000006E-2</v>
      </c>
      <c r="R5" s="30">
        <f>Data!P318 - Q5</f>
        <v>0.2147</v>
      </c>
      <c r="S5" s="30">
        <f t="shared" si="12"/>
        <v>0.69110000000000005</v>
      </c>
      <c r="T5" s="77">
        <f t="shared" si="6"/>
        <v>0.6273080071969912</v>
      </c>
      <c r="U5" s="77">
        <f t="shared" si="7"/>
        <v>0.28727488185744421</v>
      </c>
      <c r="V5" s="77">
        <f t="shared" si="8"/>
        <v>8.5417110945564589E-2</v>
      </c>
      <c r="W5" s="30">
        <f t="shared" si="13"/>
        <v>0.3726919928030088</v>
      </c>
      <c r="X5" s="3">
        <f t="shared" si="9"/>
        <v>0.50132351076265547</v>
      </c>
      <c r="Y5" s="30">
        <f t="shared" si="10"/>
        <v>0.31823704587431889</v>
      </c>
      <c r="Z5" s="30">
        <f t="shared" si="11"/>
        <v>-0.17709474468669373</v>
      </c>
      <c r="AA5" s="30">
        <f t="shared" si="14"/>
        <v>3.7767703474521186E-2</v>
      </c>
      <c r="AB5" s="30">
        <f t="shared" si="15"/>
        <v>0.10282353216128626</v>
      </c>
      <c r="AC5" s="30">
        <f t="shared" si="16"/>
        <v>-0.25263218763921858</v>
      </c>
      <c r="AD5" s="30">
        <f t="shared" si="17"/>
        <v>0.10169166035047361</v>
      </c>
      <c r="AE5">
        <v>0</v>
      </c>
    </row>
    <row r="6" spans="1:33" x14ac:dyDescent="0.5">
      <c r="A6">
        <v>1983</v>
      </c>
      <c r="B6" s="73">
        <f>'Minimum Deflation Total'!F6</f>
        <v>5996.5</v>
      </c>
      <c r="C6" s="73">
        <f>Data!AC526*251.1 / CPI!B72</f>
        <v>74414.594277108437</v>
      </c>
      <c r="D6" s="73">
        <f>Data!X85*251.1 / CPI!B72</f>
        <v>1897688.577740964</v>
      </c>
      <c r="E6" s="74">
        <f>Data!F85*251.1 / CPI!B72</f>
        <v>4421062.4882530123</v>
      </c>
      <c r="F6" s="3">
        <f t="shared" si="0"/>
        <v>10.757052706232713</v>
      </c>
      <c r="G6" s="3">
        <f t="shared" si="1"/>
        <v>0.95953598680845642</v>
      </c>
      <c r="H6" s="73">
        <f t="shared" si="2"/>
        <v>160612.12123308529</v>
      </c>
      <c r="I6" s="73">
        <f t="shared" si="2"/>
        <v>437690.45213002083</v>
      </c>
      <c r="J6" s="75">
        <f t="shared" si="3"/>
        <v>0.32201557873614317</v>
      </c>
      <c r="K6" s="75">
        <f t="shared" si="3"/>
        <v>1.3668118872323831</v>
      </c>
      <c r="L6" s="76">
        <f t="shared" si="4"/>
        <v>0.62627955375477995</v>
      </c>
      <c r="M6" s="76">
        <f t="shared" si="4"/>
        <v>0.91415786208306837</v>
      </c>
      <c r="N6" s="30">
        <f>Data!K202</f>
        <v>0.11509999999999999</v>
      </c>
      <c r="O6" s="30">
        <f>Data!K319 - N6</f>
        <v>0.23910001000000003</v>
      </c>
      <c r="P6" s="30">
        <f t="shared" si="5"/>
        <v>0.64579998999999999</v>
      </c>
      <c r="Q6" s="30">
        <f>Data!P202</f>
        <v>9.7099996999999993E-2</v>
      </c>
      <c r="R6" s="30">
        <f>Data!P319 - Q6</f>
        <v>0.21880000300000002</v>
      </c>
      <c r="S6" s="30">
        <f t="shared" si="12"/>
        <v>0.68409999999999993</v>
      </c>
      <c r="T6" s="77">
        <f t="shared" si="6"/>
        <v>0.62627955375477995</v>
      </c>
      <c r="U6" s="77">
        <f t="shared" si="7"/>
        <v>0.28787830832828842</v>
      </c>
      <c r="V6" s="77">
        <f t="shared" si="8"/>
        <v>8.5842137916931627E-2</v>
      </c>
      <c r="W6" s="30">
        <f t="shared" si="13"/>
        <v>0.37372044624522005</v>
      </c>
      <c r="X6" s="3">
        <f t="shared" si="9"/>
        <v>0.50254172865492852</v>
      </c>
      <c r="Y6" s="30">
        <f t="shared" si="10"/>
        <v>0.34083333422311579</v>
      </c>
      <c r="Z6" s="30">
        <f t="shared" si="11"/>
        <v>-0.16944068697479975</v>
      </c>
      <c r="AA6" s="30">
        <f t="shared" si="14"/>
        <v>3.1168886367417992E-2</v>
      </c>
      <c r="AB6" s="30">
        <f t="shared" si="15"/>
        <v>0.13114607063913586</v>
      </c>
      <c r="AC6" s="30">
        <f t="shared" si="16"/>
        <v>-0.2399566182302052</v>
      </c>
      <c r="AD6" s="30">
        <f t="shared" si="17"/>
        <v>9.2323700971179479E-2</v>
      </c>
      <c r="AE6">
        <v>0</v>
      </c>
    </row>
    <row r="7" spans="1:33" x14ac:dyDescent="0.5">
      <c r="A7" s="1">
        <v>1984</v>
      </c>
      <c r="B7" s="73">
        <f>'Minimum Deflation Total'!F7</f>
        <v>5996.5</v>
      </c>
      <c r="C7" s="73">
        <f>Data!AC527*251.1 / CPI!B73</f>
        <v>76592.269307988434</v>
      </c>
      <c r="D7" s="73">
        <f>Data!X86*251.1 / CPI!B73</f>
        <v>2193214.2443792108</v>
      </c>
      <c r="E7" s="74">
        <f>Data!F86*251.1 / CPI!B73</f>
        <v>5166734.1366698751</v>
      </c>
      <c r="F7" s="3">
        <f t="shared" si="0"/>
        <v>10.762459983743012</v>
      </c>
      <c r="G7" s="3">
        <f t="shared" si="1"/>
        <v>0.98365791210196674</v>
      </c>
      <c r="H7" s="73">
        <f t="shared" si="2"/>
        <v>166552.91087571363</v>
      </c>
      <c r="I7" s="73">
        <f t="shared" si="2"/>
        <v>465464.20472686895</v>
      </c>
      <c r="J7" s="75">
        <f t="shared" si="3"/>
        <v>0.29789365344263335</v>
      </c>
      <c r="K7" s="75">
        <f t="shared" si="3"/>
        <v>1.3426899619388755</v>
      </c>
      <c r="L7" s="76">
        <f t="shared" si="4"/>
        <v>0.61710783400241276</v>
      </c>
      <c r="M7" s="76">
        <f t="shared" si="4"/>
        <v>0.91031380679219231</v>
      </c>
      <c r="N7" s="30">
        <f>Data!K203</f>
        <v>0.125</v>
      </c>
      <c r="O7" s="30">
        <f>Data!K320 - N7</f>
        <v>0.24160000999999998</v>
      </c>
      <c r="P7" s="30">
        <f t="shared" si="5"/>
        <v>0.63339999000000002</v>
      </c>
      <c r="Q7" s="30">
        <f>Data!P203</f>
        <v>0.1081</v>
      </c>
      <c r="R7" s="30">
        <f>Data!P320 - Q7</f>
        <v>0.22339999000000002</v>
      </c>
      <c r="S7" s="30">
        <f t="shared" si="12"/>
        <v>0.66850001000000003</v>
      </c>
      <c r="T7" s="77">
        <f t="shared" si="6"/>
        <v>0.61710783400241276</v>
      </c>
      <c r="U7" s="77">
        <f t="shared" si="7"/>
        <v>0.29320597278977956</v>
      </c>
      <c r="V7" s="77">
        <f t="shared" si="8"/>
        <v>8.9686193207807685E-2</v>
      </c>
      <c r="W7" s="30">
        <f t="shared" si="13"/>
        <v>0.38289216599758724</v>
      </c>
      <c r="X7" s="3">
        <f t="shared" si="9"/>
        <v>0.51329005107680636</v>
      </c>
      <c r="Y7" s="30">
        <f t="shared" si="10"/>
        <v>0.39374853061684023</v>
      </c>
      <c r="Z7" s="30">
        <f t="shared" si="11"/>
        <v>-0.17600583746218434</v>
      </c>
      <c r="AA7" s="30">
        <f t="shared" si="14"/>
        <v>2.6400825106886572E-2</v>
      </c>
      <c r="AB7" s="30">
        <f t="shared" si="15"/>
        <v>0.2053137292774434</v>
      </c>
      <c r="AC7" s="30">
        <f t="shared" si="16"/>
        <v>-0.23807831104391741</v>
      </c>
      <c r="AD7" s="30">
        <f t="shared" si="17"/>
        <v>8.3279085381674722E-2</v>
      </c>
      <c r="AE7">
        <v>0</v>
      </c>
    </row>
    <row r="8" spans="1:33" x14ac:dyDescent="0.5">
      <c r="A8">
        <v>1985</v>
      </c>
      <c r="B8" s="73">
        <f>'Minimum Deflation Total'!F8</f>
        <v>5996.5</v>
      </c>
      <c r="C8" s="73">
        <f>Data!AC528*251.1 / CPI!B74</f>
        <v>75765.457806691455</v>
      </c>
      <c r="D8" s="73">
        <f>Data!X87*251.1 / CPI!B74</f>
        <v>2104697.1202695169</v>
      </c>
      <c r="E8" s="74">
        <f>Data!F87*251.1 / CPI!B74</f>
        <v>5069689.8641263945</v>
      </c>
      <c r="F8" s="3">
        <f t="shared" si="0"/>
        <v>10.758336642024211</v>
      </c>
      <c r="G8" s="3">
        <f t="shared" si="1"/>
        <v>0.97679181403609461</v>
      </c>
      <c r="H8" s="73">
        <f t="shared" si="2"/>
        <v>164414.46108063738</v>
      </c>
      <c r="I8" s="73">
        <f t="shared" si="2"/>
        <v>456203.47313460056</v>
      </c>
      <c r="J8" s="75">
        <f t="shared" si="3"/>
        <v>0.30475975150850426</v>
      </c>
      <c r="K8" s="75">
        <f t="shared" si="3"/>
        <v>1.3495560600047445</v>
      </c>
      <c r="L8" s="76">
        <f t="shared" si="4"/>
        <v>0.61972543112401179</v>
      </c>
      <c r="M8" s="76">
        <f t="shared" si="4"/>
        <v>0.91142078665116755</v>
      </c>
      <c r="N8" s="30">
        <f>Data!K204</f>
        <v>0.12549999000000001</v>
      </c>
      <c r="O8" s="30">
        <f>Data!K321 - N8</f>
        <v>0.24110001999999997</v>
      </c>
      <c r="P8" s="30">
        <f t="shared" si="5"/>
        <v>0.63339999000000002</v>
      </c>
      <c r="Q8" s="30">
        <f>Data!P204</f>
        <v>0.107</v>
      </c>
      <c r="R8" s="30">
        <f>Data!P321 - Q8</f>
        <v>0.22220000000000001</v>
      </c>
      <c r="S8" s="30">
        <f t="shared" si="12"/>
        <v>0.67080000000000006</v>
      </c>
      <c r="T8" s="77">
        <f t="shared" si="6"/>
        <v>0.61972543112401179</v>
      </c>
      <c r="U8" s="77">
        <f t="shared" si="7"/>
        <v>0.29169535552715575</v>
      </c>
      <c r="V8" s="77">
        <f t="shared" si="8"/>
        <v>8.8579213348832453E-2</v>
      </c>
      <c r="W8" s="30">
        <f t="shared" si="13"/>
        <v>0.38027456887598821</v>
      </c>
      <c r="X8" s="3">
        <f t="shared" si="9"/>
        <v>0.51024346900824358</v>
      </c>
      <c r="Y8" s="30">
        <f t="shared" si="10"/>
        <v>0.41681084371081956</v>
      </c>
      <c r="Z8" s="30">
        <f t="shared" si="11"/>
        <v>-0.17345266069018894</v>
      </c>
      <c r="AA8" s="30">
        <f t="shared" si="14"/>
        <v>2.2065511901272705E-2</v>
      </c>
      <c r="AB8" s="30">
        <f t="shared" si="15"/>
        <v>0.20795834547124414</v>
      </c>
      <c r="AC8" s="30">
        <f t="shared" si="16"/>
        <v>-0.23824635603663558</v>
      </c>
      <c r="AD8" s="30">
        <f t="shared" si="17"/>
        <v>8.2414834555607941E-2</v>
      </c>
      <c r="AE8">
        <v>0</v>
      </c>
    </row>
    <row r="9" spans="1:33" x14ac:dyDescent="0.5">
      <c r="A9" s="1">
        <v>1986</v>
      </c>
      <c r="B9" s="73">
        <f>'Minimum Deflation Total'!F9</f>
        <v>5996.5</v>
      </c>
      <c r="C9" s="73">
        <f>Data!AC529*251.1 / CPI!B75</f>
        <v>75444.552919708032</v>
      </c>
      <c r="D9" s="73">
        <f>Data!X88*251.1 / CPI!B75</f>
        <v>2057967.9688959855</v>
      </c>
      <c r="E9" s="74">
        <f>Data!F88*251.1 / CPI!B75</f>
        <v>4630163.2612226279</v>
      </c>
      <c r="F9" s="3">
        <f t="shared" si="0"/>
        <v>10.757740377456754</v>
      </c>
      <c r="G9" s="3">
        <f t="shared" si="1"/>
        <v>0.97304973106545811</v>
      </c>
      <c r="H9" s="73">
        <f t="shared" si="2"/>
        <v>163530.33440774604</v>
      </c>
      <c r="I9" s="73">
        <f t="shared" si="2"/>
        <v>451979.70196859905</v>
      </c>
      <c r="J9" s="75">
        <f t="shared" si="3"/>
        <v>0.30850183447914109</v>
      </c>
      <c r="K9" s="75">
        <f t="shared" si="3"/>
        <v>1.3532981429753825</v>
      </c>
      <c r="L9" s="76">
        <f t="shared" si="4"/>
        <v>0.62114974772010201</v>
      </c>
      <c r="M9" s="76">
        <f t="shared" si="4"/>
        <v>0.91201979888580886</v>
      </c>
      <c r="N9" s="30">
        <f>Data!K205</f>
        <v>0.1221</v>
      </c>
      <c r="O9" s="30">
        <f>Data!K322 - N9</f>
        <v>0.24259998999999999</v>
      </c>
      <c r="P9" s="30">
        <f t="shared" si="5"/>
        <v>0.63530001000000003</v>
      </c>
      <c r="Q9" s="30">
        <f>Data!P205</f>
        <v>9.9699995999999999E-2</v>
      </c>
      <c r="R9" s="30">
        <f>Data!P322 - Q9</f>
        <v>0.22259999399999997</v>
      </c>
      <c r="S9" s="30">
        <f t="shared" si="12"/>
        <v>0.67770001000000002</v>
      </c>
      <c r="T9" s="77">
        <f t="shared" si="6"/>
        <v>0.62114974772010201</v>
      </c>
      <c r="U9" s="77">
        <f t="shared" si="7"/>
        <v>0.29087005116570686</v>
      </c>
      <c r="V9" s="77">
        <f t="shared" si="8"/>
        <v>8.7980201114191137E-2</v>
      </c>
      <c r="W9" s="30">
        <f t="shared" si="13"/>
        <v>0.37885025227989799</v>
      </c>
      <c r="X9" s="3">
        <f t="shared" si="9"/>
        <v>0.50857874445508644</v>
      </c>
      <c r="Y9" s="30">
        <f t="shared" si="10"/>
        <v>0.38781224018258542</v>
      </c>
      <c r="Z9" s="30">
        <f t="shared" si="11"/>
        <v>-0.16595060568201203</v>
      </c>
      <c r="AA9" s="30">
        <f t="shared" si="14"/>
        <v>2.2780758314457694E-2</v>
      </c>
      <c r="AB9" s="30">
        <f t="shared" si="15"/>
        <v>0.13320945778013771</v>
      </c>
      <c r="AC9" s="30">
        <f t="shared" si="16"/>
        <v>-0.23470981935783364</v>
      </c>
      <c r="AD9" s="30">
        <f t="shared" si="17"/>
        <v>9.1041270623489545E-2</v>
      </c>
      <c r="AE9">
        <v>0</v>
      </c>
    </row>
    <row r="10" spans="1:33" x14ac:dyDescent="0.5">
      <c r="A10">
        <v>1987</v>
      </c>
      <c r="B10" s="73">
        <f>'Minimum Deflation Total'!F10</f>
        <v>5996.5</v>
      </c>
      <c r="C10" s="73">
        <f>Data!AC530*251.1 / CPI!B76</f>
        <v>75260.372799295772</v>
      </c>
      <c r="D10" s="73">
        <f>Data!X89*251.1 / CPI!B76</f>
        <v>2227950.6195422537</v>
      </c>
      <c r="E10" s="74">
        <f>Data!F89*251.1 / CPI!B76</f>
        <v>5130710.1641725348</v>
      </c>
      <c r="F10" s="3">
        <f t="shared" si="0"/>
        <v>10.742337944125282</v>
      </c>
      <c r="G10" s="3">
        <f t="shared" si="1"/>
        <v>0.98627691192187383</v>
      </c>
      <c r="H10" s="73">
        <f t="shared" si="2"/>
        <v>163783.81969468947</v>
      </c>
      <c r="I10" s="73">
        <f t="shared" si="2"/>
        <v>458979.64487891027</v>
      </c>
      <c r="J10" s="75">
        <f t="shared" si="3"/>
        <v>0.29527465362272626</v>
      </c>
      <c r="K10" s="75">
        <f t="shared" si="3"/>
        <v>1.3400709621189664</v>
      </c>
      <c r="L10" s="76">
        <f t="shared" si="4"/>
        <v>0.61610796137146595</v>
      </c>
      <c r="M10" s="76">
        <f t="shared" si="4"/>
        <v>0.90988886223828369</v>
      </c>
      <c r="N10" s="30">
        <f>Data!K206</f>
        <v>0.1331</v>
      </c>
      <c r="O10" s="30">
        <f>Data!K323 - N10</f>
        <v>0.24299999999999999</v>
      </c>
      <c r="P10" s="30">
        <f t="shared" si="5"/>
        <v>0.62390000000000001</v>
      </c>
      <c r="Q10" s="30">
        <f>Data!P206</f>
        <v>0.10979999999999999</v>
      </c>
      <c r="R10" s="30">
        <f>Data!P323 - Q10</f>
        <v>0.21980000999999999</v>
      </c>
      <c r="S10" s="30">
        <f t="shared" si="12"/>
        <v>0.67039999000000006</v>
      </c>
      <c r="T10" s="77">
        <f t="shared" si="6"/>
        <v>0.61610796137146595</v>
      </c>
      <c r="U10" s="77">
        <f t="shared" si="7"/>
        <v>0.29378090086681774</v>
      </c>
      <c r="V10" s="77">
        <f t="shared" si="8"/>
        <v>9.0111137761716309E-2</v>
      </c>
      <c r="W10" s="30">
        <f t="shared" si="13"/>
        <v>0.38389203862853405</v>
      </c>
      <c r="X10" s="3">
        <f t="shared" si="9"/>
        <v>0.51444943327974757</v>
      </c>
      <c r="Y10" s="30">
        <f t="shared" si="10"/>
        <v>0.47706491457205291</v>
      </c>
      <c r="Z10" s="30">
        <f t="shared" si="11"/>
        <v>-0.17285296871575284</v>
      </c>
      <c r="AA10" s="30">
        <f t="shared" si="14"/>
        <v>1.2647196785428472E-2</v>
      </c>
      <c r="AB10" s="30">
        <f t="shared" si="15"/>
        <v>0.21849532396702798</v>
      </c>
      <c r="AC10" s="30">
        <f t="shared" si="16"/>
        <v>-0.25182335083231344</v>
      </c>
      <c r="AD10" s="30">
        <f t="shared" si="17"/>
        <v>8.8120965857475975E-2</v>
      </c>
      <c r="AE10">
        <v>0</v>
      </c>
    </row>
    <row r="11" spans="1:33" x14ac:dyDescent="0.5">
      <c r="A11" s="1">
        <v>1988</v>
      </c>
      <c r="B11" s="73">
        <f>'Minimum Deflation Total'!F11</f>
        <v>5996.5</v>
      </c>
      <c r="C11" s="73">
        <f>Data!AC531*251.1 / CPI!B77</f>
        <v>75408.318578191043</v>
      </c>
      <c r="D11" s="73">
        <f>Data!X90*251.1 / CPI!B77</f>
        <v>2550292.1619611159</v>
      </c>
      <c r="E11" s="74">
        <f>Data!F90*251.1 / CPI!B77</f>
        <v>6327909.5454775989</v>
      </c>
      <c r="F11" s="3">
        <f t="shared" si="0"/>
        <v>10.721836299391859</v>
      </c>
      <c r="G11" s="3">
        <f t="shared" si="1"/>
        <v>1.0087978732029825</v>
      </c>
      <c r="H11" s="73">
        <f t="shared" si="2"/>
        <v>165158.81301803788</v>
      </c>
      <c r="I11" s="73">
        <f t="shared" si="2"/>
        <v>473852.36553911888</v>
      </c>
      <c r="J11" s="75">
        <f t="shared" si="3"/>
        <v>0.27275369234161789</v>
      </c>
      <c r="K11" s="75">
        <f t="shared" si="3"/>
        <v>1.3175500008378576</v>
      </c>
      <c r="L11" s="76">
        <f t="shared" si="4"/>
        <v>0.60747872081038767</v>
      </c>
      <c r="M11" s="76">
        <f t="shared" si="4"/>
        <v>0.90617283374510327</v>
      </c>
      <c r="N11" s="30">
        <f>Data!K207</f>
        <v>0.14879999999999999</v>
      </c>
      <c r="O11" s="30">
        <f>Data!K324 - N11</f>
        <v>0.24069999000000003</v>
      </c>
      <c r="P11" s="30">
        <f t="shared" si="5"/>
        <v>0.61050000999999998</v>
      </c>
      <c r="Q11" s="30">
        <f>Data!P207</f>
        <v>0.1242</v>
      </c>
      <c r="R11" s="30">
        <f>Data!P324 - Q11</f>
        <v>0.21960000999999998</v>
      </c>
      <c r="S11" s="30">
        <f t="shared" si="12"/>
        <v>0.65619999000000007</v>
      </c>
      <c r="T11" s="77">
        <f t="shared" si="6"/>
        <v>0.60747872081038767</v>
      </c>
      <c r="U11" s="77">
        <f t="shared" si="7"/>
        <v>0.29869411293471559</v>
      </c>
      <c r="V11" s="77">
        <f t="shared" si="8"/>
        <v>9.3827166254896732E-2</v>
      </c>
      <c r="W11" s="30">
        <f t="shared" si="13"/>
        <v>0.39252127918961233</v>
      </c>
      <c r="X11" s="3">
        <f t="shared" si="9"/>
        <v>0.52435707176144009</v>
      </c>
      <c r="Y11" s="30">
        <f t="shared" si="10"/>
        <v>0.58589463946678966</v>
      </c>
      <c r="Z11" s="30">
        <f t="shared" si="11"/>
        <v>-0.19415890847300066</v>
      </c>
      <c r="AA11" s="30">
        <f t="shared" si="14"/>
        <v>4.9734897472324402E-3</v>
      </c>
      <c r="AB11" s="30">
        <f t="shared" si="15"/>
        <v>0.32371044503881241</v>
      </c>
      <c r="AC11" s="30">
        <f t="shared" si="16"/>
        <v>-0.26479967133467708</v>
      </c>
      <c r="AD11" s="30">
        <f t="shared" si="17"/>
        <v>8.0202429353603222E-2</v>
      </c>
      <c r="AE11">
        <v>0</v>
      </c>
    </row>
    <row r="12" spans="1:33" x14ac:dyDescent="0.5">
      <c r="A12">
        <v>1989</v>
      </c>
      <c r="B12" s="73">
        <f>'Minimum Deflation Total'!F12</f>
        <v>5996.5</v>
      </c>
      <c r="C12" s="73">
        <f>Data!AC532*251.1 / CPI!B78</f>
        <v>72839.456549999988</v>
      </c>
      <c r="D12" s="73">
        <f>Data!X91*251.1 / CPI!B78</f>
        <v>2442155.67</v>
      </c>
      <c r="E12" s="74">
        <f>Data!F91*251.1 / CPI!B78</f>
        <v>5661930.375</v>
      </c>
      <c r="F12" s="3">
        <f t="shared" si="0"/>
        <v>10.694435090907991</v>
      </c>
      <c r="G12" s="3">
        <f t="shared" si="1"/>
        <v>1.0015767389796679</v>
      </c>
      <c r="H12" s="73">
        <f t="shared" si="2"/>
        <v>159214.4522537406</v>
      </c>
      <c r="I12" s="73">
        <f t="shared" si="2"/>
        <v>453364.1788553567</v>
      </c>
      <c r="J12" s="75">
        <f t="shared" si="3"/>
        <v>0.27997482656493389</v>
      </c>
      <c r="K12" s="75">
        <f t="shared" si="3"/>
        <v>1.3247711350611733</v>
      </c>
      <c r="L12" s="76">
        <f t="shared" si="4"/>
        <v>0.61025159083367875</v>
      </c>
      <c r="M12" s="76">
        <f t="shared" si="4"/>
        <v>0.90737646435634089</v>
      </c>
      <c r="N12" s="30">
        <f>Data!K208</f>
        <v>0.14460000000000001</v>
      </c>
      <c r="O12" s="30">
        <f>Data!K325 - N12</f>
        <v>0.24209999999999998</v>
      </c>
      <c r="P12" s="30">
        <f t="shared" si="5"/>
        <v>0.61329999999999996</v>
      </c>
      <c r="Q12" s="30">
        <f>Data!P208</f>
        <v>0.1206</v>
      </c>
      <c r="R12" s="30">
        <f>Data!P325 - Q12</f>
        <v>0.21910001000000001</v>
      </c>
      <c r="S12" s="30">
        <f t="shared" si="12"/>
        <v>0.66029998999999995</v>
      </c>
      <c r="T12" s="77">
        <f t="shared" si="6"/>
        <v>0.61025159083367875</v>
      </c>
      <c r="U12" s="77">
        <f t="shared" si="7"/>
        <v>0.29712487352266215</v>
      </c>
      <c r="V12" s="77">
        <f t="shared" si="8"/>
        <v>9.2623535643659105E-2</v>
      </c>
      <c r="W12" s="30">
        <f t="shared" si="13"/>
        <v>0.38974840916632125</v>
      </c>
      <c r="X12" s="3">
        <f t="shared" si="9"/>
        <v>0.52119241002147199</v>
      </c>
      <c r="Y12" s="30">
        <f t="shared" si="10"/>
        <v>0.56115828439441717</v>
      </c>
      <c r="Z12" s="30">
        <f t="shared" si="11"/>
        <v>-0.1851910709133725</v>
      </c>
      <c r="AA12" s="30">
        <f t="shared" si="14"/>
        <v>4.9953317813669074E-3</v>
      </c>
      <c r="AB12" s="30">
        <f t="shared" si="15"/>
        <v>0.3020448761961736</v>
      </c>
      <c r="AC12" s="30">
        <f t="shared" si="16"/>
        <v>-0.26259956831487241</v>
      </c>
      <c r="AD12" s="30">
        <f t="shared" si="17"/>
        <v>8.2012730352654994E-2</v>
      </c>
      <c r="AE12">
        <v>0</v>
      </c>
    </row>
    <row r="13" spans="1:33" x14ac:dyDescent="0.5">
      <c r="A13" s="1">
        <v>1990</v>
      </c>
      <c r="B13" s="73">
        <f>'Minimum Deflation Total'!F13</f>
        <v>6802</v>
      </c>
      <c r="C13" s="73">
        <f>Data!AC533*251.1 / CPI!B79</f>
        <v>69192.551169089522</v>
      </c>
      <c r="D13" s="73">
        <f>Data!X92*251.1 / CPI!B79</f>
        <v>2307014.5827084933</v>
      </c>
      <c r="E13" s="74">
        <f>Data!F92*251.1 / CPI!B79</f>
        <v>5381529.2834736044</v>
      </c>
      <c r="F13" s="3">
        <f t="shared" si="0"/>
        <v>10.673148223913838</v>
      </c>
      <c r="G13" s="3">
        <f t="shared" si="1"/>
        <v>0.97108214877312893</v>
      </c>
      <c r="H13" s="73">
        <f t="shared" ref="H13:I37" si="18">_xlfn.LOGNORM.INV(H$2,$F13,$G13)</f>
        <v>149887.46706353966</v>
      </c>
      <c r="I13" s="73">
        <f t="shared" si="18"/>
        <v>413421.57590960228</v>
      </c>
      <c r="J13" s="75">
        <f t="shared" si="3"/>
        <v>0.31046941677147227</v>
      </c>
      <c r="K13" s="75">
        <f t="shared" si="3"/>
        <v>1.3552657252677114</v>
      </c>
      <c r="L13" s="76">
        <f t="shared" si="4"/>
        <v>0.62189799345750096</v>
      </c>
      <c r="M13" s="76">
        <f t="shared" si="4"/>
        <v>0.91233354453651094</v>
      </c>
      <c r="N13" s="30">
        <f>Data!K209</f>
        <v>0.1454</v>
      </c>
      <c r="O13" s="30">
        <f>Data!K326 - N13</f>
        <v>0.24170000999999999</v>
      </c>
      <c r="P13" s="30">
        <f t="shared" si="5"/>
        <v>0.61289999000000006</v>
      </c>
      <c r="Q13" s="30">
        <f>Data!P209</f>
        <v>0.1208</v>
      </c>
      <c r="R13" s="30">
        <f>Data!P326 - Q13</f>
        <v>0.21839998999999999</v>
      </c>
      <c r="S13" s="30">
        <f t="shared" si="12"/>
        <v>0.66080000999999999</v>
      </c>
      <c r="T13" s="77">
        <f t="shared" si="6"/>
        <v>0.62189799345750096</v>
      </c>
      <c r="U13" s="77">
        <f t="shared" si="7"/>
        <v>0.29043555107900998</v>
      </c>
      <c r="V13" s="77">
        <f t="shared" si="8"/>
        <v>8.7666455463489057E-2</v>
      </c>
      <c r="W13" s="30">
        <f t="shared" si="13"/>
        <v>0.37810200654249904</v>
      </c>
      <c r="X13" s="3">
        <f t="shared" si="9"/>
        <v>0.50770221722397402</v>
      </c>
      <c r="Y13" s="30">
        <f t="shared" si="10"/>
        <v>0.65855912881701428</v>
      </c>
      <c r="Z13" s="30">
        <f t="shared" si="11"/>
        <v>-0.16780156870586405</v>
      </c>
      <c r="AA13" s="30">
        <f t="shared" si="14"/>
        <v>-1.44686163199782E-2</v>
      </c>
      <c r="AB13" s="30">
        <f t="shared" si="15"/>
        <v>0.37795008776544248</v>
      </c>
      <c r="AC13" s="30">
        <f t="shared" si="16"/>
        <v>-0.24802597619811861</v>
      </c>
      <c r="AD13" s="30">
        <f t="shared" si="17"/>
        <v>6.2553693614960215E-2</v>
      </c>
      <c r="AE13">
        <v>0</v>
      </c>
    </row>
    <row r="14" spans="1:33" x14ac:dyDescent="0.5">
      <c r="A14">
        <v>1991</v>
      </c>
      <c r="B14" s="73">
        <f>'Minimum Deflation Total'!F14</f>
        <v>7607.5</v>
      </c>
      <c r="C14" s="73">
        <f>Data!AC534*251.1 / CPI!B80</f>
        <v>65142.010189427325</v>
      </c>
      <c r="D14" s="73">
        <f>Data!X93*251.1 / CPI!B80</f>
        <v>2041601.7350220266</v>
      </c>
      <c r="E14" s="74">
        <f>Data!F93*251.1 / CPI!B80</f>
        <v>4681474.661894273</v>
      </c>
      <c r="F14" s="3">
        <f t="shared" si="0"/>
        <v>10.649957739947851</v>
      </c>
      <c r="G14" s="3">
        <f t="shared" si="1"/>
        <v>0.93205922336592961</v>
      </c>
      <c r="H14" s="73">
        <f t="shared" si="18"/>
        <v>139307.59722029607</v>
      </c>
      <c r="I14" s="73">
        <f t="shared" si="18"/>
        <v>368889.24639731797</v>
      </c>
      <c r="J14" s="75">
        <f t="shared" si="3"/>
        <v>0.3494923421786702</v>
      </c>
      <c r="K14" s="75">
        <f t="shared" si="3"/>
        <v>1.3942886506749108</v>
      </c>
      <c r="L14" s="76">
        <f t="shared" si="4"/>
        <v>0.63664014056232654</v>
      </c>
      <c r="M14" s="76">
        <f t="shared" si="4"/>
        <v>0.91838477162730447</v>
      </c>
      <c r="N14" s="30">
        <f>Data!K210</f>
        <v>0.1389</v>
      </c>
      <c r="O14" s="30">
        <f>Data!K327 - N14</f>
        <v>0.2467</v>
      </c>
      <c r="P14" s="30">
        <f t="shared" si="5"/>
        <v>0.61439999999999995</v>
      </c>
      <c r="Q14" s="30">
        <f>Data!P210</f>
        <v>0.115</v>
      </c>
      <c r="R14" s="30">
        <f>Data!P327 - Q14</f>
        <v>0.22180000999999999</v>
      </c>
      <c r="S14" s="30">
        <f t="shared" si="12"/>
        <v>0.66319999000000007</v>
      </c>
      <c r="T14" s="77">
        <f t="shared" si="6"/>
        <v>0.63664014056232654</v>
      </c>
      <c r="U14" s="77">
        <f t="shared" si="7"/>
        <v>0.28174463106497794</v>
      </c>
      <c r="V14" s="77">
        <f t="shared" si="8"/>
        <v>8.1615228372695525E-2</v>
      </c>
      <c r="W14" s="30">
        <f t="shared" si="13"/>
        <v>0.36335985943767346</v>
      </c>
      <c r="X14" s="3">
        <f t="shared" si="9"/>
        <v>0.49014622538065522</v>
      </c>
      <c r="Y14" s="30">
        <f t="shared" si="10"/>
        <v>0.70188827219491268</v>
      </c>
      <c r="Z14" s="30">
        <f t="shared" si="11"/>
        <v>-0.12438437933142266</v>
      </c>
      <c r="AA14" s="30">
        <f t="shared" si="14"/>
        <v>-3.4933613426703647E-2</v>
      </c>
      <c r="AB14" s="30">
        <f t="shared" si="15"/>
        <v>0.40905076531616236</v>
      </c>
      <c r="AC14" s="30">
        <f t="shared" si="16"/>
        <v>-0.21276224799170385</v>
      </c>
      <c r="AD14" s="30">
        <f t="shared" si="17"/>
        <v>4.1718779174391818E-2</v>
      </c>
      <c r="AE14">
        <v>0</v>
      </c>
    </row>
    <row r="15" spans="1:33" x14ac:dyDescent="0.5">
      <c r="A15" s="1">
        <v>1992</v>
      </c>
      <c r="B15" s="73">
        <f>'Minimum Deflation Total'!F15</f>
        <v>7607.5</v>
      </c>
      <c r="C15" s="73">
        <f>Data!AC535*251.1 / CPI!B81</f>
        <v>64495.475275124729</v>
      </c>
      <c r="D15" s="73">
        <f>Data!X94*251.1 / CPI!B81</f>
        <v>2151618.0915181749</v>
      </c>
      <c r="E15" s="74">
        <f>Data!F94*251.1 / CPI!B81</f>
        <v>5219234.3071988588</v>
      </c>
      <c r="F15" s="3">
        <f t="shared" si="0"/>
        <v>10.631791626445578</v>
      </c>
      <c r="G15" s="3">
        <f t="shared" si="1"/>
        <v>0.94080680599615807</v>
      </c>
      <c r="H15" s="73">
        <f t="shared" si="18"/>
        <v>138341.98649232951</v>
      </c>
      <c r="I15" s="73">
        <f t="shared" si="18"/>
        <v>369695.70948380971</v>
      </c>
      <c r="J15" s="75">
        <f t="shared" si="3"/>
        <v>0.34074475954844313</v>
      </c>
      <c r="K15" s="75">
        <f t="shared" si="3"/>
        <v>1.3855410680446822</v>
      </c>
      <c r="L15" s="76">
        <f t="shared" si="4"/>
        <v>0.63335213015477276</v>
      </c>
      <c r="M15" s="76">
        <f t="shared" si="4"/>
        <v>0.91705645802284919</v>
      </c>
      <c r="N15" s="30">
        <f>Data!K211</f>
        <v>0.15009998999999999</v>
      </c>
      <c r="O15" s="30">
        <f>Data!K328 - N15</f>
        <v>0.24770001</v>
      </c>
      <c r="P15" s="30">
        <f t="shared" si="5"/>
        <v>0.60220000000000007</v>
      </c>
      <c r="Q15" s="30">
        <f>Data!P211</f>
        <v>0.1234</v>
      </c>
      <c r="R15" s="30">
        <f>Data!P328 - Q15</f>
        <v>0.22209998999999997</v>
      </c>
      <c r="S15" s="30">
        <f t="shared" si="12"/>
        <v>0.65450001000000002</v>
      </c>
      <c r="T15" s="77">
        <f t="shared" si="6"/>
        <v>0.63335213015477276</v>
      </c>
      <c r="U15" s="77">
        <f t="shared" si="7"/>
        <v>0.28370432786807642</v>
      </c>
      <c r="V15" s="77">
        <f t="shared" si="8"/>
        <v>8.2943541977150814E-2</v>
      </c>
      <c r="W15" s="30">
        <f t="shared" si="13"/>
        <v>0.36664786984522724</v>
      </c>
      <c r="X15" s="3">
        <f t="shared" si="9"/>
        <v>0.49410995282153647</v>
      </c>
      <c r="Y15" s="30">
        <f t="shared" si="10"/>
        <v>0.8096645793273376</v>
      </c>
      <c r="Z15" s="30">
        <f t="shared" si="11"/>
        <v>-0.12690789082646126</v>
      </c>
      <c r="AA15" s="30">
        <f t="shared" si="14"/>
        <v>-4.9186114124476155E-2</v>
      </c>
      <c r="AB15" s="30">
        <f t="shared" si="15"/>
        <v>0.48775898711914278</v>
      </c>
      <c r="AC15" s="30">
        <f t="shared" si="16"/>
        <v>-0.21714274974586467</v>
      </c>
      <c r="AD15" s="30">
        <f t="shared" si="17"/>
        <v>3.3390398229274698E-2</v>
      </c>
      <c r="AE15">
        <v>0</v>
      </c>
    </row>
    <row r="16" spans="1:33" x14ac:dyDescent="0.5">
      <c r="A16">
        <v>1993</v>
      </c>
      <c r="B16" s="73">
        <f>'Minimum Deflation Total'!F16</f>
        <v>7607.5</v>
      </c>
      <c r="C16" s="73">
        <f>Data!AC536*251.1 / CPI!B82</f>
        <v>63083.790442214537</v>
      </c>
      <c r="D16" s="73">
        <f>Data!X95*251.1 / CPI!B82</f>
        <v>2009039.978615917</v>
      </c>
      <c r="E16" s="74">
        <f>Data!F95*251.1 / CPI!B82</f>
        <v>4961639.5567474039</v>
      </c>
      <c r="F16" s="3">
        <f t="shared" si="0"/>
        <v>10.62034589872936</v>
      </c>
      <c r="G16" s="3">
        <f t="shared" si="1"/>
        <v>0.92937961026449845</v>
      </c>
      <c r="H16" s="73">
        <f t="shared" si="18"/>
        <v>134779.28496014676</v>
      </c>
      <c r="I16" s="73">
        <f t="shared" si="18"/>
        <v>355900.39424730337</v>
      </c>
      <c r="J16" s="75">
        <f t="shared" si="3"/>
        <v>0.35217195528010287</v>
      </c>
      <c r="K16" s="75">
        <f t="shared" si="3"/>
        <v>1.3969682637763434</v>
      </c>
      <c r="L16" s="76">
        <f t="shared" si="4"/>
        <v>0.63764534608935841</v>
      </c>
      <c r="M16" s="76">
        <f t="shared" si="4"/>
        <v>0.91878844257209513</v>
      </c>
      <c r="N16" s="30">
        <f>Data!K212</f>
        <v>0.1464</v>
      </c>
      <c r="O16" s="30">
        <f>Data!K329 - N16</f>
        <v>0.24919999000000001</v>
      </c>
      <c r="P16" s="30">
        <f t="shared" si="5"/>
        <v>0.60440000999999999</v>
      </c>
      <c r="Q16" s="30">
        <f>Data!P212</f>
        <v>0.1173</v>
      </c>
      <c r="R16" s="30">
        <f>Data!P329 - Q16</f>
        <v>0.22320000000000001</v>
      </c>
      <c r="S16" s="30">
        <f t="shared" si="12"/>
        <v>0.65949999999999998</v>
      </c>
      <c r="T16" s="77">
        <f t="shared" si="6"/>
        <v>0.63764534608935841</v>
      </c>
      <c r="U16" s="77">
        <f t="shared" si="7"/>
        <v>0.28114309648273672</v>
      </c>
      <c r="V16" s="77">
        <f t="shared" si="8"/>
        <v>8.1211557427904868E-2</v>
      </c>
      <c r="W16" s="30">
        <f t="shared" si="13"/>
        <v>0.36235465391064159</v>
      </c>
      <c r="X16" s="3">
        <f t="shared" si="9"/>
        <v>0.48892878849780441</v>
      </c>
      <c r="Y16" s="30">
        <f t="shared" si="10"/>
        <v>0.80269908171587323</v>
      </c>
      <c r="Z16" s="30">
        <f t="shared" si="11"/>
        <v>-0.11361867633373723</v>
      </c>
      <c r="AA16" s="30">
        <f t="shared" si="14"/>
        <v>-5.213765974024609E-2</v>
      </c>
      <c r="AB16" s="30">
        <f t="shared" si="15"/>
        <v>0.44437569866989013</v>
      </c>
      <c r="AC16" s="30">
        <f t="shared" si="16"/>
        <v>-0.20609823683255424</v>
      </c>
      <c r="AD16" s="30">
        <f t="shared" si="17"/>
        <v>3.4273995795115475E-2</v>
      </c>
      <c r="AE16">
        <v>0</v>
      </c>
    </row>
    <row r="17" spans="1:31" x14ac:dyDescent="0.5">
      <c r="A17" s="1">
        <v>1994</v>
      </c>
      <c r="B17" s="73">
        <f>'Minimum Deflation Total'!F17</f>
        <v>7607.5</v>
      </c>
      <c r="C17" s="73">
        <f>Data!AC537*251.1 / CPI!B83</f>
        <v>63445.782643724706</v>
      </c>
      <c r="D17" s="73">
        <f>Data!X96*251.1 / CPI!B83</f>
        <v>2044947.0479757085</v>
      </c>
      <c r="E17" s="74">
        <f>Data!F96*251.1 / CPI!B83</f>
        <v>4992539.8026315793</v>
      </c>
      <c r="F17" s="3">
        <f t="shared" ref="F17:F37" si="19">LN(C17)-G17^2/2</f>
        <v>10.623319435552144</v>
      </c>
      <c r="G17" s="3">
        <f t="shared" si="1"/>
        <v>0.93233209532371009</v>
      </c>
      <c r="H17" s="73">
        <f t="shared" si="18"/>
        <v>135693.11287037778</v>
      </c>
      <c r="I17" s="73">
        <f t="shared" si="18"/>
        <v>359420.47562888276</v>
      </c>
      <c r="J17" s="75">
        <f t="shared" ref="J17:K37" si="20">(LN(H17)-($F17+$G17^2))/$G17</f>
        <v>0.349219470220891</v>
      </c>
      <c r="K17" s="75">
        <f t="shared" si="20"/>
        <v>1.3940157787171317</v>
      </c>
      <c r="L17" s="76">
        <f t="shared" ref="L17:M37" si="21">_xlfn.NORM.DIST(J17,0,1,TRUE)</f>
        <v>0.63653772493049998</v>
      </c>
      <c r="M17" s="76">
        <f t="shared" si="21"/>
        <v>0.91834358004440653</v>
      </c>
      <c r="N17" s="30">
        <f>Data!K213</f>
        <v>0.1469</v>
      </c>
      <c r="O17" s="30">
        <f>Data!K330 - N17</f>
        <v>0.25170000999999997</v>
      </c>
      <c r="P17" s="30">
        <f t="shared" ref="P17:P37" si="22">1-O17 - N17</f>
        <v>0.60139999</v>
      </c>
      <c r="Q17" s="30">
        <f>Data!P213</f>
        <v>0.1163</v>
      </c>
      <c r="R17" s="30">
        <f>Data!P330 - Q17</f>
        <v>0.22489998999999999</v>
      </c>
      <c r="S17" s="30">
        <f t="shared" si="12"/>
        <v>0.6588000100000001</v>
      </c>
      <c r="T17" s="77">
        <f t="shared" ref="T17:T37" si="23">L17</f>
        <v>0.63653772493049998</v>
      </c>
      <c r="U17" s="77">
        <f t="shared" ref="U17:U37" si="24">M17-L17</f>
        <v>0.28180585511390654</v>
      </c>
      <c r="V17" s="77">
        <f t="shared" ref="V17:V37" si="25">1-M17</f>
        <v>8.1656419955593473E-2</v>
      </c>
      <c r="W17" s="30">
        <f t="shared" si="13"/>
        <v>0.36346227506950002</v>
      </c>
      <c r="X17" s="3">
        <f t="shared" ref="X17:X37" si="26">2*_xlfn.NORM.DIST(G17/SQRT(2),0,1,TRUE)-1</f>
        <v>0.49027011494212092</v>
      </c>
      <c r="Y17" s="30">
        <f t="shared" si="10"/>
        <v>0.79900123076528939</v>
      </c>
      <c r="Z17" s="30">
        <f t="shared" ref="Z17:Z37" si="27">O17/U17 - 1</f>
        <v>-0.10683186515673249</v>
      </c>
      <c r="AA17" s="30">
        <f t="shared" si="14"/>
        <v>-5.5201339298996732E-2</v>
      </c>
      <c r="AB17" s="30">
        <f t="shared" si="15"/>
        <v>0.42426033449968115</v>
      </c>
      <c r="AC17" s="30">
        <f t="shared" si="16"/>
        <v>-0.20193287002821525</v>
      </c>
      <c r="AD17" s="30">
        <f t="shared" si="17"/>
        <v>3.497402305877606E-2</v>
      </c>
      <c r="AE17">
        <v>0</v>
      </c>
    </row>
    <row r="18" spans="1:31" x14ac:dyDescent="0.5">
      <c r="A18">
        <v>1995</v>
      </c>
      <c r="B18" s="73">
        <f>'Minimum Deflation Total'!F18</f>
        <v>7607.5</v>
      </c>
      <c r="C18" s="73">
        <f>Data!AC538*251.1 / CPI!B84</f>
        <v>63039.613925196849</v>
      </c>
      <c r="D18" s="73">
        <f>Data!X97*251.1 / CPI!B84</f>
        <v>2106466.2017716533</v>
      </c>
      <c r="E18" s="74">
        <f>Data!F97*251.1 / CPI!B84</f>
        <v>5229878.0120078735</v>
      </c>
      <c r="F18" s="3">
        <f t="shared" si="19"/>
        <v>10.612279131478008</v>
      </c>
      <c r="G18" s="3">
        <f t="shared" ref="G18:G37" si="28">(LN(D18)-LN(B18))/6</f>
        <v>0.9372720722948632</v>
      </c>
      <c r="H18" s="73">
        <f t="shared" si="18"/>
        <v>135055.57279764392</v>
      </c>
      <c r="I18" s="73">
        <f t="shared" si="18"/>
        <v>359582.89879416418</v>
      </c>
      <c r="J18" s="75">
        <f t="shared" si="20"/>
        <v>0.34427949324973878</v>
      </c>
      <c r="K18" s="75">
        <f t="shared" si="20"/>
        <v>1.3890758017459779</v>
      </c>
      <c r="L18" s="76">
        <f t="shared" si="21"/>
        <v>0.63468194762634134</v>
      </c>
      <c r="M18" s="76">
        <f t="shared" si="21"/>
        <v>0.91759514941188958</v>
      </c>
      <c r="N18" s="30">
        <f>Data!K214</f>
        <v>0.15279999</v>
      </c>
      <c r="O18" s="30">
        <f>Data!K331 - N18</f>
        <v>0.25380001000000002</v>
      </c>
      <c r="P18" s="30">
        <f t="shared" si="22"/>
        <v>0.59340000000000004</v>
      </c>
      <c r="Q18" s="30">
        <f>Data!P214</f>
        <v>0.1205</v>
      </c>
      <c r="R18" s="30">
        <f>Data!P331 - Q18</f>
        <v>0.22649999999999998</v>
      </c>
      <c r="S18" s="30">
        <f t="shared" si="12"/>
        <v>0.65300000000000002</v>
      </c>
      <c r="T18" s="77">
        <f t="shared" si="23"/>
        <v>0.63468194762634134</v>
      </c>
      <c r="U18" s="77">
        <f t="shared" si="24"/>
        <v>0.28291320178554824</v>
      </c>
      <c r="V18" s="77">
        <f t="shared" si="25"/>
        <v>8.2404850588110423E-2</v>
      </c>
      <c r="W18" s="30">
        <f t="shared" si="13"/>
        <v>0.36531805237365866</v>
      </c>
      <c r="X18" s="3">
        <f t="shared" si="26"/>
        <v>0.49251024002821198</v>
      </c>
      <c r="Y18" s="30">
        <f t="shared" ref="Y18:Y37" si="29">N18/V18 - 1</f>
        <v>0.85425965716205488</v>
      </c>
      <c r="Z18" s="30">
        <f t="shared" si="27"/>
        <v>-0.10290503094873737</v>
      </c>
      <c r="AA18" s="30">
        <f t="shared" si="14"/>
        <v>-6.5043519483628631E-2</v>
      </c>
      <c r="AB18" s="30">
        <f t="shared" si="15"/>
        <v>0.46229256093555771</v>
      </c>
      <c r="AC18" s="30">
        <f t="shared" si="16"/>
        <v>-0.19940109344317614</v>
      </c>
      <c r="AD18" s="30">
        <f t="shared" si="17"/>
        <v>2.8861782570257066E-2</v>
      </c>
      <c r="AE18">
        <v>0</v>
      </c>
    </row>
    <row r="19" spans="1:31" x14ac:dyDescent="0.5">
      <c r="A19" s="1">
        <v>1996</v>
      </c>
      <c r="B19" s="73">
        <f>'Minimum Deflation Total'!F19</f>
        <v>8502.5</v>
      </c>
      <c r="C19" s="73">
        <f>Data!AC539*251.1 / CPI!B85</f>
        <v>63134.922803059279</v>
      </c>
      <c r="D19" s="73">
        <f>Data!X98*251.1 / CPI!B85</f>
        <v>2192144.6099426388</v>
      </c>
      <c r="E19" s="74">
        <f>Data!F98*251.1 / CPI!B85</f>
        <v>5660672.6099426383</v>
      </c>
      <c r="F19" s="3">
        <f t="shared" si="19"/>
        <v>10.624865987535276</v>
      </c>
      <c r="G19" s="3">
        <f t="shared" si="28"/>
        <v>0.92537922994696942</v>
      </c>
      <c r="H19" s="73">
        <f t="shared" si="18"/>
        <v>134697.55198415113</v>
      </c>
      <c r="I19" s="73">
        <f t="shared" si="18"/>
        <v>354201.05816454883</v>
      </c>
      <c r="J19" s="75">
        <f t="shared" si="20"/>
        <v>0.35617233559763067</v>
      </c>
      <c r="K19" s="75">
        <f t="shared" si="20"/>
        <v>1.4009686440938711</v>
      </c>
      <c r="L19" s="76">
        <f t="shared" si="21"/>
        <v>0.63914424587886554</v>
      </c>
      <c r="M19" s="76">
        <f t="shared" si="21"/>
        <v>0.91938827507379095</v>
      </c>
      <c r="N19" s="30">
        <f>Data!K215</f>
        <v>0.15970001</v>
      </c>
      <c r="O19" s="30">
        <f>Data!K332 - N19</f>
        <v>0.25579997999999998</v>
      </c>
      <c r="P19" s="30">
        <f t="shared" si="22"/>
        <v>0.58450001000000007</v>
      </c>
      <c r="Q19" s="30">
        <f>Data!P215</f>
        <v>0.12479999999999999</v>
      </c>
      <c r="R19" s="30">
        <f>Data!P332 - Q19</f>
        <v>0.22830000000000003</v>
      </c>
      <c r="S19" s="30">
        <f t="shared" si="12"/>
        <v>0.64689999999999992</v>
      </c>
      <c r="T19" s="77">
        <f t="shared" si="23"/>
        <v>0.63914424587886554</v>
      </c>
      <c r="U19" s="77">
        <f t="shared" si="24"/>
        <v>0.28024402919492541</v>
      </c>
      <c r="V19" s="77">
        <f t="shared" si="25"/>
        <v>8.061172492620905E-2</v>
      </c>
      <c r="W19" s="30">
        <f t="shared" si="13"/>
        <v>0.36085575412113446</v>
      </c>
      <c r="X19" s="3">
        <f t="shared" si="26"/>
        <v>0.48710846149682419</v>
      </c>
      <c r="Y19" s="30">
        <f t="shared" si="29"/>
        <v>0.98110151030991299</v>
      </c>
      <c r="Z19" s="30">
        <f t="shared" si="27"/>
        <v>-8.7224156978999323E-2</v>
      </c>
      <c r="AA19" s="30">
        <f t="shared" si="14"/>
        <v>-8.5495936529516925E-2</v>
      </c>
      <c r="AB19" s="30">
        <f t="shared" si="15"/>
        <v>0.54816188481564354</v>
      </c>
      <c r="AC19" s="30">
        <f t="shared" si="16"/>
        <v>-0.18535284888726533</v>
      </c>
      <c r="AD19" s="30">
        <f t="shared" si="17"/>
        <v>1.2134591168023068E-2</v>
      </c>
      <c r="AE19">
        <v>0</v>
      </c>
    </row>
    <row r="20" spans="1:31" x14ac:dyDescent="0.5">
      <c r="A20">
        <v>1997</v>
      </c>
      <c r="B20" s="73">
        <f>'Minimum Deflation Total'!F20</f>
        <v>9218.5</v>
      </c>
      <c r="C20" s="73">
        <f>Data!AC540*251.1 / CPI!B86</f>
        <v>63992.170093457935</v>
      </c>
      <c r="D20" s="73">
        <f>Data!X99*251.1 / CPI!B86</f>
        <v>2367268.0132710282</v>
      </c>
      <c r="E20" s="74">
        <f>Data!F99*251.1 / CPI!B86</f>
        <v>6145042.7943925234</v>
      </c>
      <c r="F20" s="3">
        <f t="shared" si="19"/>
        <v>10.638968715563655</v>
      </c>
      <c r="G20" s="3">
        <f t="shared" si="28"/>
        <v>0.92471324961201373</v>
      </c>
      <c r="H20" s="73">
        <f t="shared" si="18"/>
        <v>136494.06711229618</v>
      </c>
      <c r="I20" s="73">
        <f t="shared" si="18"/>
        <v>358675.52112982038</v>
      </c>
      <c r="J20" s="75">
        <f t="shared" si="20"/>
        <v>0.35683831593258647</v>
      </c>
      <c r="K20" s="75">
        <f t="shared" si="20"/>
        <v>1.4016346244288278</v>
      </c>
      <c r="L20" s="76">
        <f t="shared" si="21"/>
        <v>0.63939357494382798</v>
      </c>
      <c r="M20" s="76">
        <f t="shared" si="21"/>
        <v>0.9194878089939833</v>
      </c>
      <c r="N20" s="30">
        <f>Data!K216</f>
        <v>0.1663</v>
      </c>
      <c r="O20" s="30">
        <f>Data!K333 - N20</f>
        <v>0.25639999000000002</v>
      </c>
      <c r="P20" s="30">
        <f t="shared" si="22"/>
        <v>0.57730000999999997</v>
      </c>
      <c r="Q20" s="30">
        <f>Data!P216</f>
        <v>0.12980000999999999</v>
      </c>
      <c r="R20" s="30">
        <f>Data!P333 - Q20</f>
        <v>0.22890000000000002</v>
      </c>
      <c r="S20" s="30">
        <f t="shared" si="12"/>
        <v>0.64129999000000004</v>
      </c>
      <c r="T20" s="77">
        <f t="shared" si="23"/>
        <v>0.63939357494382798</v>
      </c>
      <c r="U20" s="77">
        <f t="shared" si="24"/>
        <v>0.28009423405015532</v>
      </c>
      <c r="V20" s="77">
        <f t="shared" si="25"/>
        <v>8.0512191006016698E-2</v>
      </c>
      <c r="W20" s="30">
        <f t="shared" si="13"/>
        <v>0.36060642505617202</v>
      </c>
      <c r="X20" s="3">
        <f t="shared" si="26"/>
        <v>0.4868050871356342</v>
      </c>
      <c r="Y20" s="30">
        <f t="shared" si="29"/>
        <v>1.0655257038970949</v>
      </c>
      <c r="Z20" s="30">
        <f t="shared" si="27"/>
        <v>-8.4593830110449408E-2</v>
      </c>
      <c r="AA20" s="30">
        <f t="shared" si="14"/>
        <v>-9.7113213796812148E-2</v>
      </c>
      <c r="AB20" s="30">
        <f t="shared" si="15"/>
        <v>0.61217833446241698</v>
      </c>
      <c r="AC20" s="30">
        <f t="shared" si="16"/>
        <v>-0.18277503720761412</v>
      </c>
      <c r="AD20" s="30">
        <f t="shared" si="17"/>
        <v>2.9815987067738359E-3</v>
      </c>
      <c r="AE20">
        <v>0</v>
      </c>
    </row>
    <row r="21" spans="1:31" x14ac:dyDescent="0.5">
      <c r="A21" s="1">
        <v>1998</v>
      </c>
      <c r="B21" s="73">
        <f>'Minimum Deflation Total'!F21</f>
        <v>9218.5</v>
      </c>
      <c r="C21" s="73">
        <f>Data!AC541*251.1 / CPI!B87</f>
        <v>65455.760545398778</v>
      </c>
      <c r="D21" s="73">
        <f>Data!X100*251.1 / CPI!B87</f>
        <v>2439093.1246012272</v>
      </c>
      <c r="E21" s="74">
        <f>Data!F100*251.1 / CPI!B87</f>
        <v>6344168.2823926378</v>
      </c>
      <c r="F21" s="3">
        <f t="shared" si="19"/>
        <v>10.656963502472491</v>
      </c>
      <c r="G21" s="3">
        <f t="shared" si="28"/>
        <v>0.92969487407117268</v>
      </c>
      <c r="H21" s="73">
        <f t="shared" si="18"/>
        <v>139862.54863036997</v>
      </c>
      <c r="I21" s="73">
        <f t="shared" si="18"/>
        <v>369445.01395781385</v>
      </c>
      <c r="J21" s="75">
        <f t="shared" si="20"/>
        <v>0.35185669147342885</v>
      </c>
      <c r="K21" s="75">
        <f t="shared" si="20"/>
        <v>1.3966529999696682</v>
      </c>
      <c r="L21" s="76">
        <f t="shared" si="21"/>
        <v>0.63752713000288652</v>
      </c>
      <c r="M21" s="76">
        <f t="shared" si="21"/>
        <v>0.91874102792127765</v>
      </c>
      <c r="N21" s="30">
        <f>Data!K217</f>
        <v>0.16919999999999999</v>
      </c>
      <c r="O21" s="30">
        <f>Data!K334 - N21</f>
        <v>0.25709999000000006</v>
      </c>
      <c r="P21" s="30">
        <f t="shared" si="22"/>
        <v>0.57370000999999993</v>
      </c>
      <c r="Q21" s="30">
        <f>Data!P217</f>
        <v>0.13109999999999999</v>
      </c>
      <c r="R21" s="30">
        <f>Data!P334 - Q21</f>
        <v>0.22920000000000001</v>
      </c>
      <c r="S21" s="30">
        <f t="shared" si="12"/>
        <v>0.63969999999999994</v>
      </c>
      <c r="T21" s="77">
        <f t="shared" si="23"/>
        <v>0.63752713000288652</v>
      </c>
      <c r="U21" s="77">
        <f t="shared" si="24"/>
        <v>0.28121389791839113</v>
      </c>
      <c r="V21" s="77">
        <f t="shared" si="25"/>
        <v>8.1258972078722347E-2</v>
      </c>
      <c r="W21" s="30">
        <f t="shared" si="13"/>
        <v>0.36247286999711348</v>
      </c>
      <c r="X21" s="3">
        <f t="shared" si="26"/>
        <v>0.48907210205745733</v>
      </c>
      <c r="Y21" s="30">
        <f t="shared" si="29"/>
        <v>1.0822316068197595</v>
      </c>
      <c r="Z21" s="30">
        <f t="shared" si="27"/>
        <v>-8.5749346305028618E-2</v>
      </c>
      <c r="AA21" s="30">
        <f t="shared" si="14"/>
        <v>-0.10011671189992744</v>
      </c>
      <c r="AB21" s="30">
        <f t="shared" si="15"/>
        <v>0.61336030528410435</v>
      </c>
      <c r="AC21" s="30">
        <f t="shared" si="16"/>
        <v>-0.18496204598495936</v>
      </c>
      <c r="AD21" s="30">
        <f t="shared" si="17"/>
        <v>3.4082784792288656E-3</v>
      </c>
      <c r="AE21">
        <v>0</v>
      </c>
    </row>
    <row r="22" spans="1:31" x14ac:dyDescent="0.5">
      <c r="A22">
        <v>1999</v>
      </c>
      <c r="B22" s="73">
        <f>'Minimum Deflation Total'!F22</f>
        <v>9218.5</v>
      </c>
      <c r="C22" s="73">
        <f>Data!AC542*251.1 / CPI!B88</f>
        <v>66033.418894357746</v>
      </c>
      <c r="D22" s="73">
        <f>Data!X101*251.1 / CPI!B88</f>
        <v>2548595.0657863147</v>
      </c>
      <c r="E22" s="74">
        <f>Data!F101*251.1 / CPI!B88</f>
        <v>6881637.4060624242</v>
      </c>
      <c r="F22" s="3">
        <f t="shared" si="19"/>
        <v>10.658918434679006</v>
      </c>
      <c r="G22" s="3">
        <f t="shared" si="28"/>
        <v>0.93701419953321796</v>
      </c>
      <c r="H22" s="73">
        <f t="shared" si="18"/>
        <v>141456.91315556774</v>
      </c>
      <c r="I22" s="73">
        <f t="shared" si="18"/>
        <v>376524.88727940305</v>
      </c>
      <c r="J22" s="75">
        <f t="shared" si="20"/>
        <v>0.3445373660113828</v>
      </c>
      <c r="K22" s="75">
        <f t="shared" si="20"/>
        <v>1.3893336745076228</v>
      </c>
      <c r="L22" s="76">
        <f t="shared" si="21"/>
        <v>0.63477889993288827</v>
      </c>
      <c r="M22" s="76">
        <f t="shared" si="21"/>
        <v>0.91763434573164149</v>
      </c>
      <c r="N22" s="30">
        <f>Data!K218</f>
        <v>0.17710000000000001</v>
      </c>
      <c r="O22" s="30">
        <f>Data!K335 - N22</f>
        <v>0.25639999000000002</v>
      </c>
      <c r="P22" s="30">
        <f t="shared" si="22"/>
        <v>0.56650000999999994</v>
      </c>
      <c r="Q22" s="30">
        <f>Data!P218</f>
        <v>0.13689999</v>
      </c>
      <c r="R22" s="30">
        <f>Data!P335 - Q22</f>
        <v>0.22840001000000001</v>
      </c>
      <c r="S22" s="30">
        <f t="shared" si="12"/>
        <v>0.63470000000000004</v>
      </c>
      <c r="T22" s="77">
        <f t="shared" si="23"/>
        <v>0.63477889993288827</v>
      </c>
      <c r="U22" s="77">
        <f t="shared" si="24"/>
        <v>0.28285544579875321</v>
      </c>
      <c r="V22" s="77">
        <f t="shared" si="25"/>
        <v>8.2365654268358512E-2</v>
      </c>
      <c r="W22" s="30">
        <f t="shared" si="13"/>
        <v>0.36522110006711173</v>
      </c>
      <c r="X22" s="3">
        <f t="shared" si="26"/>
        <v>0.49239343080497378</v>
      </c>
      <c r="Y22" s="30">
        <f t="shared" si="29"/>
        <v>1.1501680715481735</v>
      </c>
      <c r="Z22" s="30">
        <f t="shared" si="27"/>
        <v>-9.352995033928313E-2</v>
      </c>
      <c r="AA22" s="30">
        <f t="shared" si="14"/>
        <v>-0.10756326327183696</v>
      </c>
      <c r="AB22" s="30">
        <f t="shared" si="15"/>
        <v>0.66210043756783854</v>
      </c>
      <c r="AC22" s="30">
        <f t="shared" si="16"/>
        <v>-0.19252037253508392</v>
      </c>
      <c r="AD22" s="30">
        <f t="shared" si="17"/>
        <v>-1.2429514102718642E-4</v>
      </c>
      <c r="AE22">
        <v>0</v>
      </c>
    </row>
    <row r="23" spans="1:31" x14ac:dyDescent="0.5">
      <c r="A23" s="1">
        <v>2000</v>
      </c>
      <c r="B23" s="73">
        <f>'Minimum Deflation Total'!F23</f>
        <v>9218.5</v>
      </c>
      <c r="C23" s="73">
        <f>Data!AC543*251.1 / CPI!B89</f>
        <v>66057.381533101041</v>
      </c>
      <c r="D23" s="73">
        <f>Data!X102*251.1 / CPI!B89</f>
        <v>2639229.2749128919</v>
      </c>
      <c r="E23" s="74">
        <f>Data!F102*251.1 / CPI!B89</f>
        <v>7288926.2796167247</v>
      </c>
      <c r="F23" s="3">
        <f t="shared" si="19"/>
        <v>10.653807018274396</v>
      </c>
      <c r="G23" s="3">
        <f t="shared" si="28"/>
        <v>0.94283831294466935</v>
      </c>
      <c r="H23" s="73">
        <f t="shared" si="18"/>
        <v>141790.08018970647</v>
      </c>
      <c r="I23" s="73">
        <f t="shared" si="18"/>
        <v>379715.25548965903</v>
      </c>
      <c r="J23" s="75">
        <f t="shared" si="20"/>
        <v>0.33871325259993196</v>
      </c>
      <c r="K23" s="75">
        <f t="shared" si="20"/>
        <v>1.3835095610961721</v>
      </c>
      <c r="L23" s="76">
        <f t="shared" si="21"/>
        <v>0.63258712195555156</v>
      </c>
      <c r="M23" s="76">
        <f t="shared" si="21"/>
        <v>0.91674566114064371</v>
      </c>
      <c r="N23" s="30">
        <f>Data!K219</f>
        <v>0.18269999000000001</v>
      </c>
      <c r="O23" s="30">
        <f>Data!K336 - N23</f>
        <v>0.25610001999999998</v>
      </c>
      <c r="P23" s="30">
        <f t="shared" si="22"/>
        <v>0.56119998999999998</v>
      </c>
      <c r="Q23" s="30">
        <f>Data!P219</f>
        <v>0.14080000000000001</v>
      </c>
      <c r="R23" s="30">
        <f>Data!P336 - Q23</f>
        <v>0.22879999999999998</v>
      </c>
      <c r="S23" s="30">
        <f t="shared" si="12"/>
        <v>0.63039999999999996</v>
      </c>
      <c r="T23" s="77">
        <f t="shared" si="23"/>
        <v>0.63258712195555156</v>
      </c>
      <c r="U23" s="77">
        <f t="shared" si="24"/>
        <v>0.28415853918509215</v>
      </c>
      <c r="V23" s="77">
        <f t="shared" si="25"/>
        <v>8.3254338859356292E-2</v>
      </c>
      <c r="W23" s="30">
        <f t="shared" si="13"/>
        <v>0.36741287804444844</v>
      </c>
      <c r="X23" s="3">
        <f t="shared" si="26"/>
        <v>0.49502814867113343</v>
      </c>
      <c r="Y23" s="30">
        <f t="shared" si="29"/>
        <v>1.1944801016153623</v>
      </c>
      <c r="Z23" s="30">
        <f t="shared" si="27"/>
        <v>-9.8742481100720036E-2</v>
      </c>
      <c r="AA23" s="30">
        <f t="shared" si="14"/>
        <v>-0.11284948662070227</v>
      </c>
      <c r="AB23" s="30">
        <f t="shared" si="15"/>
        <v>0.69120314843718944</v>
      </c>
      <c r="AC23" s="30">
        <f t="shared" si="16"/>
        <v>-0.19481568051359288</v>
      </c>
      <c r="AD23" s="30">
        <f t="shared" si="17"/>
        <v>-3.4574240917052412E-3</v>
      </c>
      <c r="AE23">
        <v>0</v>
      </c>
    </row>
    <row r="24" spans="1:31" x14ac:dyDescent="0.5">
      <c r="A24">
        <v>2001</v>
      </c>
      <c r="B24" s="73">
        <f>'Minimum Deflation Total'!F24</f>
        <v>9218.5</v>
      </c>
      <c r="C24" s="73">
        <f>Data!AC544*251.1 / CPI!B90</f>
        <v>63968.114906832299</v>
      </c>
      <c r="D24" s="73">
        <f>Data!X103*251.1 / CPI!B90</f>
        <v>2443833.089440994</v>
      </c>
      <c r="E24" s="74">
        <f>Data!F103*251.1 / CPI!B90</f>
        <v>6507492.5708639184</v>
      </c>
      <c r="F24" s="3">
        <f t="shared" si="19"/>
        <v>10.633672876585408</v>
      </c>
      <c r="G24" s="3">
        <f t="shared" si="28"/>
        <v>0.93001844823693691</v>
      </c>
      <c r="H24" s="73">
        <f t="shared" si="18"/>
        <v>136699.37831671248</v>
      </c>
      <c r="I24" s="73">
        <f t="shared" si="18"/>
        <v>361211.63658323529</v>
      </c>
      <c r="J24" s="75">
        <f t="shared" si="20"/>
        <v>0.35153311730766301</v>
      </c>
      <c r="K24" s="75">
        <f t="shared" si="20"/>
        <v>1.3963294258039047</v>
      </c>
      <c r="L24" s="76">
        <f t="shared" si="21"/>
        <v>0.63740578410128501</v>
      </c>
      <c r="M24" s="76">
        <f t="shared" si="21"/>
        <v>0.91869234170458469</v>
      </c>
      <c r="N24" s="30">
        <f>Data!K220</f>
        <v>0.17269999999999999</v>
      </c>
      <c r="O24" s="30">
        <f>Data!K337 - N24</f>
        <v>0.25529999999999997</v>
      </c>
      <c r="P24" s="30">
        <f t="shared" si="22"/>
        <v>0.57200000000000006</v>
      </c>
      <c r="Q24" s="30">
        <f>Data!P220</f>
        <v>0.13770001000000001</v>
      </c>
      <c r="R24" s="30">
        <f>Data!P337 - Q24</f>
        <v>0.22769998</v>
      </c>
      <c r="S24" s="30">
        <f t="shared" si="12"/>
        <v>0.63460000999999999</v>
      </c>
      <c r="T24" s="77">
        <f t="shared" si="23"/>
        <v>0.63740578410128501</v>
      </c>
      <c r="U24" s="77">
        <f t="shared" si="24"/>
        <v>0.28128655760329968</v>
      </c>
      <c r="V24" s="77">
        <f t="shared" si="25"/>
        <v>8.1307658295415308E-2</v>
      </c>
      <c r="W24" s="30">
        <f t="shared" si="13"/>
        <v>0.36259421589871499</v>
      </c>
      <c r="X24" s="3">
        <f t="shared" si="26"/>
        <v>0.4892191715261669</v>
      </c>
      <c r="Y24" s="30">
        <f t="shared" si="29"/>
        <v>1.1240311628767943</v>
      </c>
      <c r="Z24" s="30">
        <f t="shared" si="27"/>
        <v>-9.2384640861326695E-2</v>
      </c>
      <c r="AA24" s="30">
        <f t="shared" si="14"/>
        <v>-0.10261247345520141</v>
      </c>
      <c r="AB24" s="30">
        <f t="shared" si="15"/>
        <v>0.69356752963778923</v>
      </c>
      <c r="AC24" s="30">
        <f t="shared" si="16"/>
        <v>-0.19050529132953875</v>
      </c>
      <c r="AD24" s="30">
        <f t="shared" si="17"/>
        <v>-4.4018648265657934E-3</v>
      </c>
      <c r="AE24">
        <v>0</v>
      </c>
    </row>
    <row r="25" spans="1:31" x14ac:dyDescent="0.5">
      <c r="A25" s="1">
        <v>2002</v>
      </c>
      <c r="B25" s="73">
        <f>'Minimum Deflation Total'!F25</f>
        <v>9218.5</v>
      </c>
      <c r="C25" s="73">
        <f>Data!AC545*251.1 / CPI!B91</f>
        <v>62969.290544191208</v>
      </c>
      <c r="D25" s="73">
        <f>Data!X104*251.1 / CPI!B91</f>
        <v>2363803.0584213454</v>
      </c>
      <c r="E25" s="74">
        <f>Data!F104*251.1 / CPI!B91</f>
        <v>6216151.4824902723</v>
      </c>
      <c r="F25" s="3">
        <f t="shared" si="19"/>
        <v>10.623080856099591</v>
      </c>
      <c r="G25" s="3">
        <f t="shared" si="28"/>
        <v>0.9244691219844855</v>
      </c>
      <c r="H25" s="73">
        <f t="shared" si="18"/>
        <v>134300.58073663156</v>
      </c>
      <c r="I25" s="73">
        <f t="shared" si="18"/>
        <v>352821.53187515668</v>
      </c>
      <c r="J25" s="75">
        <f t="shared" si="20"/>
        <v>0.35708244356011554</v>
      </c>
      <c r="K25" s="75">
        <f t="shared" si="20"/>
        <v>1.4018787520563545</v>
      </c>
      <c r="L25" s="76">
        <f t="shared" si="21"/>
        <v>0.63948495637159009</v>
      </c>
      <c r="M25" s="76">
        <f t="shared" si="21"/>
        <v>0.91952427176306506</v>
      </c>
      <c r="N25" s="30">
        <f>Data!K221</f>
        <v>0.1706</v>
      </c>
      <c r="O25" s="30">
        <f>Data!K338 - N25</f>
        <v>0.25670000999999998</v>
      </c>
      <c r="P25" s="30">
        <f t="shared" si="22"/>
        <v>0.57269999000000005</v>
      </c>
      <c r="Q25" s="30">
        <f>Data!P221</f>
        <v>0.13940000999999999</v>
      </c>
      <c r="R25" s="30">
        <f>Data!P338 - Q25</f>
        <v>0.22859999</v>
      </c>
      <c r="S25" s="30">
        <f t="shared" si="12"/>
        <v>0.63200000000000001</v>
      </c>
      <c r="T25" s="77">
        <f t="shared" si="23"/>
        <v>0.63948495637159009</v>
      </c>
      <c r="U25" s="77">
        <f t="shared" si="24"/>
        <v>0.28003931539147497</v>
      </c>
      <c r="V25" s="77">
        <f t="shared" si="25"/>
        <v>8.047572823693494E-2</v>
      </c>
      <c r="W25" s="30">
        <f t="shared" si="13"/>
        <v>0.36051504362840991</v>
      </c>
      <c r="X25" s="3">
        <f t="shared" si="26"/>
        <v>0.48669385614971716</v>
      </c>
      <c r="Y25" s="30">
        <f t="shared" si="29"/>
        <v>1.1198938330539003</v>
      </c>
      <c r="Z25" s="30">
        <f t="shared" si="27"/>
        <v>-8.334295975137751E-2</v>
      </c>
      <c r="AA25" s="30">
        <f t="shared" si="14"/>
        <v>-0.1044355550606304</v>
      </c>
      <c r="AB25" s="30">
        <f t="shared" si="15"/>
        <v>0.73219942278225081</v>
      </c>
      <c r="AC25" s="30">
        <f t="shared" si="16"/>
        <v>-0.18368608464695924</v>
      </c>
      <c r="AD25" s="30">
        <f t="shared" si="17"/>
        <v>-1.1704663725100595E-2</v>
      </c>
      <c r="AE25">
        <v>0</v>
      </c>
    </row>
    <row r="26" spans="1:31" x14ac:dyDescent="0.5">
      <c r="A26">
        <v>2003</v>
      </c>
      <c r="B26" s="73">
        <f>'Minimum Deflation Total'!F26</f>
        <v>9218.5</v>
      </c>
      <c r="C26" s="73">
        <f>Data!AC546*251.1 / CPI!B92</f>
        <v>62387.16103858695</v>
      </c>
      <c r="D26" s="73">
        <f>Data!X105*251.1 / CPI!B92</f>
        <v>2353177.6454347824</v>
      </c>
      <c r="E26" s="74">
        <f>Data!F105*251.1 / CPI!B92</f>
        <v>6285819.0521739125</v>
      </c>
      <c r="F26" s="3">
        <f t="shared" si="19"/>
        <v>10.614487070400735</v>
      </c>
      <c r="G26" s="3">
        <f t="shared" si="28"/>
        <v>0.92371825812860242</v>
      </c>
      <c r="H26" s="73">
        <f t="shared" si="18"/>
        <v>133023.30936449219</v>
      </c>
      <c r="I26" s="73">
        <f t="shared" si="18"/>
        <v>349191.95922597172</v>
      </c>
      <c r="J26" s="75">
        <f t="shared" si="20"/>
        <v>0.35783330741599823</v>
      </c>
      <c r="K26" s="75">
        <f t="shared" si="20"/>
        <v>1.4026296159122387</v>
      </c>
      <c r="L26" s="76">
        <f t="shared" si="21"/>
        <v>0.63976596847231471</v>
      </c>
      <c r="M26" s="76">
        <f t="shared" si="21"/>
        <v>0.91963634218520385</v>
      </c>
      <c r="N26" s="30">
        <f>Data!K222</f>
        <v>0.17200001000000001</v>
      </c>
      <c r="O26" s="30">
        <f>Data!K339 - N26</f>
        <v>0.25669998999999999</v>
      </c>
      <c r="P26" s="30">
        <f t="shared" si="22"/>
        <v>0.57130000000000003</v>
      </c>
      <c r="Q26" s="30">
        <f>Data!P222</f>
        <v>0.1409</v>
      </c>
      <c r="R26" s="30">
        <f>Data!P339 - Q26</f>
        <v>0.22890000000000002</v>
      </c>
      <c r="S26" s="30">
        <f t="shared" si="12"/>
        <v>0.63019999999999998</v>
      </c>
      <c r="T26" s="77">
        <f t="shared" si="23"/>
        <v>0.63976596847231471</v>
      </c>
      <c r="U26" s="77">
        <f t="shared" si="24"/>
        <v>0.27987037371288914</v>
      </c>
      <c r="V26" s="77">
        <f t="shared" si="25"/>
        <v>8.0363657814796152E-2</v>
      </c>
      <c r="W26" s="30">
        <f t="shared" si="13"/>
        <v>0.36023403152768529</v>
      </c>
      <c r="X26" s="3">
        <f t="shared" si="26"/>
        <v>0.48635166410459774</v>
      </c>
      <c r="Y26" s="30">
        <f t="shared" si="29"/>
        <v>1.1402710463526491</v>
      </c>
      <c r="Z26" s="30">
        <f t="shared" si="27"/>
        <v>-8.2789697978747023E-2</v>
      </c>
      <c r="AA26" s="30">
        <f t="shared" si="14"/>
        <v>-0.10701720917697966</v>
      </c>
      <c r="AB26" s="30">
        <f t="shared" si="15"/>
        <v>0.75328007499004346</v>
      </c>
      <c r="AC26" s="30">
        <f t="shared" si="16"/>
        <v>-0.18212136224600228</v>
      </c>
      <c r="AD26" s="30">
        <f t="shared" si="17"/>
        <v>-1.4952293406848671E-2</v>
      </c>
      <c r="AE26">
        <v>0</v>
      </c>
    </row>
    <row r="27" spans="1:31" x14ac:dyDescent="0.5">
      <c r="A27" s="1">
        <v>2004</v>
      </c>
      <c r="B27" s="73">
        <f>'Minimum Deflation Total'!F27</f>
        <v>9218.5</v>
      </c>
      <c r="C27" s="73">
        <f>Data!AC547*251.1 / CPI!B93</f>
        <v>62602.594394388565</v>
      </c>
      <c r="D27" s="73">
        <f>Data!X106*251.1 / CPI!B93</f>
        <v>2473602.8488618312</v>
      </c>
      <c r="E27" s="74">
        <f>Data!F106*251.1 / CPI!B93</f>
        <v>6944960.0892006345</v>
      </c>
      <c r="F27" s="3">
        <f t="shared" si="19"/>
        <v>10.610216031959732</v>
      </c>
      <c r="G27" s="3">
        <f t="shared" si="28"/>
        <v>0.93203644592848123</v>
      </c>
      <c r="H27" s="73">
        <f t="shared" si="18"/>
        <v>133875.93587439149</v>
      </c>
      <c r="I27" s="73">
        <f t="shared" si="18"/>
        <v>354497.66439143359</v>
      </c>
      <c r="J27" s="75">
        <f t="shared" si="20"/>
        <v>0.34951511961611936</v>
      </c>
      <c r="K27" s="75">
        <f t="shared" si="20"/>
        <v>1.3943114281123608</v>
      </c>
      <c r="L27" s="76">
        <f t="shared" si="21"/>
        <v>0.63664868905949945</v>
      </c>
      <c r="M27" s="76">
        <f t="shared" si="21"/>
        <v>0.91838820930318654</v>
      </c>
      <c r="N27" s="30">
        <f>Data!K223</f>
        <v>0.1832</v>
      </c>
      <c r="O27" s="30">
        <f>Data!K340 - N27</f>
        <v>0.25580000999999997</v>
      </c>
      <c r="P27" s="30">
        <f t="shared" si="22"/>
        <v>0.56099999</v>
      </c>
      <c r="Q27" s="30">
        <f>Data!P223</f>
        <v>0.1479</v>
      </c>
      <c r="R27" s="30">
        <f>Data!P340 - Q27</f>
        <v>0.22790001000000001</v>
      </c>
      <c r="S27" s="30">
        <f t="shared" si="12"/>
        <v>0.62419998999999993</v>
      </c>
      <c r="T27" s="77">
        <f t="shared" si="23"/>
        <v>0.63664868905949945</v>
      </c>
      <c r="U27" s="77">
        <f t="shared" si="24"/>
        <v>0.28173952024368709</v>
      </c>
      <c r="V27" s="77">
        <f t="shared" si="25"/>
        <v>8.1611790696813458E-2</v>
      </c>
      <c r="W27" s="30">
        <f t="shared" si="13"/>
        <v>0.36335131094050055</v>
      </c>
      <c r="X27" s="3">
        <f t="shared" si="26"/>
        <v>0.49013588323636292</v>
      </c>
      <c r="Y27" s="30">
        <f t="shared" si="29"/>
        <v>1.2447736832608558</v>
      </c>
      <c r="Z27" s="30">
        <f t="shared" si="27"/>
        <v>-9.2069121936642295E-2</v>
      </c>
      <c r="AA27" s="30">
        <f t="shared" si="14"/>
        <v>-0.11882330138973951</v>
      </c>
      <c r="AB27" s="30">
        <f t="shared" si="15"/>
        <v>0.81223814276354034</v>
      </c>
      <c r="AC27" s="30">
        <f t="shared" si="16"/>
        <v>-0.19109676270165887</v>
      </c>
      <c r="AD27" s="30">
        <f t="shared" si="17"/>
        <v>-1.95534825931859E-2</v>
      </c>
      <c r="AE27">
        <v>0</v>
      </c>
    </row>
    <row r="28" spans="1:31" x14ac:dyDescent="0.5">
      <c r="A28">
        <v>2005</v>
      </c>
      <c r="B28" s="73">
        <f>'Minimum Deflation Total'!F28</f>
        <v>9218.5</v>
      </c>
      <c r="C28" s="73">
        <f>Data!AC548*251.1 / CPI!B94</f>
        <v>62076.214285714283</v>
      </c>
      <c r="D28" s="73">
        <f>Data!X107*251.1 / CPI!B94</f>
        <v>2567173.3714285712</v>
      </c>
      <c r="E28" s="74">
        <f>Data!F107*251.1 / CPI!B94</f>
        <v>7558971.4285714282</v>
      </c>
      <c r="F28" s="3">
        <f t="shared" si="19"/>
        <v>10.595985349376807</v>
      </c>
      <c r="G28" s="3">
        <f t="shared" si="28"/>
        <v>0.93822473043346688</v>
      </c>
      <c r="H28" s="73">
        <f t="shared" si="18"/>
        <v>133035.1584471493</v>
      </c>
      <c r="I28" s="73">
        <f t="shared" si="18"/>
        <v>354556.3102168967</v>
      </c>
      <c r="J28" s="75">
        <f t="shared" si="20"/>
        <v>0.34332683511113293</v>
      </c>
      <c r="K28" s="75">
        <f t="shared" si="20"/>
        <v>1.3881231436073738</v>
      </c>
      <c r="L28" s="76">
        <f t="shared" si="21"/>
        <v>0.63432370257843451</v>
      </c>
      <c r="M28" s="76">
        <f t="shared" si="21"/>
        <v>0.91745022484595207</v>
      </c>
      <c r="N28" s="30">
        <f>Data!K224</f>
        <v>0.19370000000000001</v>
      </c>
      <c r="O28" s="30">
        <f>Data!K341 - N28</f>
        <v>0.25690000000000002</v>
      </c>
      <c r="P28" s="30">
        <f t="shared" si="22"/>
        <v>0.5494</v>
      </c>
      <c r="Q28" s="30">
        <f>Data!P224</f>
        <v>0.15260001000000001</v>
      </c>
      <c r="R28" s="30">
        <f>Data!P341 - Q28</f>
        <v>0.22799999999999998</v>
      </c>
      <c r="S28" s="30">
        <f t="shared" si="12"/>
        <v>0.61939999000000001</v>
      </c>
      <c r="T28" s="77">
        <f t="shared" si="23"/>
        <v>0.63432370257843451</v>
      </c>
      <c r="U28" s="77">
        <f t="shared" si="24"/>
        <v>0.28312652226751756</v>
      </c>
      <c r="V28" s="77">
        <f t="shared" si="25"/>
        <v>8.2549775154047933E-2</v>
      </c>
      <c r="W28" s="30">
        <f t="shared" si="13"/>
        <v>0.36567629742156549</v>
      </c>
      <c r="X28" s="3">
        <f t="shared" si="26"/>
        <v>0.492941645383844</v>
      </c>
      <c r="Y28" s="30">
        <f t="shared" si="29"/>
        <v>1.3464630841032847</v>
      </c>
      <c r="Z28" s="30">
        <f t="shared" si="27"/>
        <v>-9.2631810179679697E-2</v>
      </c>
      <c r="AA28" s="30">
        <f t="shared" si="14"/>
        <v>-0.13388070197161461</v>
      </c>
      <c r="AB28" s="30">
        <f t="shared" si="15"/>
        <v>0.84858177645220478</v>
      </c>
      <c r="AC28" s="30">
        <f t="shared" si="16"/>
        <v>-0.19470631654716619</v>
      </c>
      <c r="AD28" s="30">
        <f t="shared" si="17"/>
        <v>-2.3526966622517409E-2</v>
      </c>
      <c r="AE28">
        <v>0</v>
      </c>
    </row>
    <row r="29" spans="1:31" x14ac:dyDescent="0.5">
      <c r="A29" s="1">
        <v>2006</v>
      </c>
      <c r="B29" s="73">
        <f>'Minimum Deflation Total'!F29</f>
        <v>9218.5</v>
      </c>
      <c r="C29" s="73">
        <f>Data!AC549*251.1 / CPI!B95</f>
        <v>61789.158482142855</v>
      </c>
      <c r="D29" s="73">
        <f>Data!X108*251.1 / CPI!B95</f>
        <v>2676771.4620535714</v>
      </c>
      <c r="E29" s="74">
        <f>Data!F108*251.1 / CPI!B95</f>
        <v>7791831.0401785718</v>
      </c>
      <c r="F29" s="3">
        <f t="shared" si="19"/>
        <v>10.584788872785236</v>
      </c>
      <c r="G29" s="3">
        <f t="shared" si="28"/>
        <v>0.94519238907168912</v>
      </c>
      <c r="H29" s="73">
        <f t="shared" si="18"/>
        <v>132733.90100803945</v>
      </c>
      <c r="I29" s="73">
        <f t="shared" si="18"/>
        <v>356338.06416104897</v>
      </c>
      <c r="J29" s="75">
        <f t="shared" si="20"/>
        <v>0.3363591764729123</v>
      </c>
      <c r="K29" s="75">
        <f t="shared" si="20"/>
        <v>1.381155484969153</v>
      </c>
      <c r="L29" s="76">
        <f t="shared" si="21"/>
        <v>0.63169998485151757</v>
      </c>
      <c r="M29" s="76">
        <f t="shared" si="21"/>
        <v>0.91638442072726212</v>
      </c>
      <c r="N29" s="30">
        <f>Data!K225</f>
        <v>0.20100001000000001</v>
      </c>
      <c r="O29" s="30">
        <f>Data!K342 - N29</f>
        <v>0.25929998999999998</v>
      </c>
      <c r="P29" s="30">
        <f t="shared" si="22"/>
        <v>0.53970000000000007</v>
      </c>
      <c r="Q29" s="30">
        <f>Data!P225</f>
        <v>0.1578</v>
      </c>
      <c r="R29" s="30">
        <f>Data!P342 - Q29</f>
        <v>0.2298</v>
      </c>
      <c r="S29" s="30">
        <f t="shared" si="12"/>
        <v>0.61240000000000006</v>
      </c>
      <c r="T29" s="77">
        <f t="shared" si="23"/>
        <v>0.63169998485151757</v>
      </c>
      <c r="U29" s="77">
        <f t="shared" si="24"/>
        <v>0.28468443587574455</v>
      </c>
      <c r="V29" s="77">
        <f t="shared" si="25"/>
        <v>8.3615579272737883E-2</v>
      </c>
      <c r="W29" s="30">
        <f t="shared" si="13"/>
        <v>0.36830001514848243</v>
      </c>
      <c r="X29" s="3">
        <f t="shared" si="26"/>
        <v>0.49609103918322095</v>
      </c>
      <c r="Y29" s="30">
        <f t="shared" si="29"/>
        <v>1.4038583688379025</v>
      </c>
      <c r="Z29" s="30">
        <f t="shared" si="27"/>
        <v>-8.9166960595007949E-2</v>
      </c>
      <c r="AA29" s="30">
        <f t="shared" si="14"/>
        <v>-0.14563873208441236</v>
      </c>
      <c r="AB29" s="30">
        <f t="shared" si="15"/>
        <v>0.88720811806238697</v>
      </c>
      <c r="AC29" s="30">
        <f t="shared" si="16"/>
        <v>-0.19279043375486749</v>
      </c>
      <c r="AD29" s="30">
        <f t="shared" si="17"/>
        <v>-3.0552454193985779E-2</v>
      </c>
      <c r="AE29">
        <v>0</v>
      </c>
    </row>
    <row r="30" spans="1:31" x14ac:dyDescent="0.5">
      <c r="A30">
        <v>2007</v>
      </c>
      <c r="B30" s="73">
        <f>'Minimum Deflation Total'!F30</f>
        <v>10471.5</v>
      </c>
      <c r="C30" s="73">
        <f>Data!AC550*251.1 / CPI!B96</f>
        <v>59455.224221418233</v>
      </c>
      <c r="D30" s="73">
        <f>Data!X109*251.1 / CPI!B96</f>
        <v>2504234.9565846599</v>
      </c>
      <c r="E30" s="74">
        <f>Data!F109*251.1 / CPI!B96</f>
        <v>7438311.8010130236</v>
      </c>
      <c r="F30" s="3">
        <f t="shared" si="19"/>
        <v>10.576334061099276</v>
      </c>
      <c r="G30" s="3">
        <f t="shared" si="28"/>
        <v>0.91284687987057112</v>
      </c>
      <c r="H30" s="73">
        <f t="shared" si="18"/>
        <v>126272.10350742615</v>
      </c>
      <c r="I30" s="73">
        <f t="shared" si="18"/>
        <v>327726.09406093613</v>
      </c>
      <c r="J30" s="75">
        <f t="shared" si="20"/>
        <v>0.36870468567403014</v>
      </c>
      <c r="K30" s="75">
        <f t="shared" si="20"/>
        <v>1.4135009941702708</v>
      </c>
      <c r="L30" s="76">
        <f t="shared" si="21"/>
        <v>0.64382607210280429</v>
      </c>
      <c r="M30" s="76">
        <f t="shared" si="21"/>
        <v>0.92124576536580494</v>
      </c>
      <c r="N30" s="30">
        <f>Data!K226</f>
        <v>0.19869999999999999</v>
      </c>
      <c r="O30" s="30">
        <f>Data!K343 - N30</f>
        <v>0.25930000000000003</v>
      </c>
      <c r="P30" s="30">
        <f t="shared" si="22"/>
        <v>0.54199999999999993</v>
      </c>
      <c r="Q30" s="30">
        <f>Data!P226</f>
        <v>0.15260001000000001</v>
      </c>
      <c r="R30" s="30">
        <f>Data!P343 - Q30</f>
        <v>0.22959998999999998</v>
      </c>
      <c r="S30" s="30">
        <f t="shared" si="12"/>
        <v>0.61780000000000002</v>
      </c>
      <c r="T30" s="77">
        <f t="shared" si="23"/>
        <v>0.64382607210280429</v>
      </c>
      <c r="U30" s="77">
        <f t="shared" si="24"/>
        <v>0.27741969326300064</v>
      </c>
      <c r="V30" s="77">
        <f t="shared" si="25"/>
        <v>7.8754234634195064E-2</v>
      </c>
      <c r="W30" s="30">
        <f t="shared" si="13"/>
        <v>0.35617392789719571</v>
      </c>
      <c r="X30" s="3">
        <f t="shared" si="26"/>
        <v>0.48138396686031726</v>
      </c>
      <c r="Y30" s="30">
        <f t="shared" si="29"/>
        <v>1.5230389314674961</v>
      </c>
      <c r="Z30" s="30">
        <f t="shared" si="27"/>
        <v>-6.5315093711904249E-2</v>
      </c>
      <c r="AA30" s="30">
        <f t="shared" si="14"/>
        <v>-0.15815773314403003</v>
      </c>
      <c r="AB30" s="30">
        <f t="shared" si="15"/>
        <v>0.93767370997649357</v>
      </c>
      <c r="AC30" s="30">
        <f t="shared" si="16"/>
        <v>-0.17237313869302862</v>
      </c>
      <c r="AD30" s="30">
        <f t="shared" si="17"/>
        <v>-4.0424072945353662E-2</v>
      </c>
      <c r="AE30">
        <v>0</v>
      </c>
    </row>
    <row r="31" spans="1:31" x14ac:dyDescent="0.5">
      <c r="A31" s="1">
        <v>2008</v>
      </c>
      <c r="B31" s="73">
        <f>'Minimum Deflation Total'!F31</f>
        <v>11724.5</v>
      </c>
      <c r="C31" s="73">
        <f>Data!AC551*251.1 / CPI!B97</f>
        <v>56067.607003251273</v>
      </c>
      <c r="D31" s="73">
        <f>Data!X110*251.1 / CPI!B97</f>
        <v>2322263.6531816069</v>
      </c>
      <c r="E31" s="74">
        <f>Data!F110*251.1 / CPI!B97</f>
        <v>6909352.3885276355</v>
      </c>
      <c r="F31" s="3">
        <f t="shared" si="19"/>
        <v>10.545848646809592</v>
      </c>
      <c r="G31" s="3">
        <f t="shared" si="28"/>
        <v>0.88143617200678293</v>
      </c>
      <c r="H31" s="73">
        <f t="shared" si="18"/>
        <v>117648.25394777875</v>
      </c>
      <c r="I31" s="73">
        <f t="shared" si="18"/>
        <v>295485.72646308795</v>
      </c>
      <c r="J31" s="75">
        <f t="shared" si="20"/>
        <v>0.40011539353781872</v>
      </c>
      <c r="K31" s="75">
        <f t="shared" si="20"/>
        <v>1.4449117020340581</v>
      </c>
      <c r="L31" s="76">
        <f t="shared" si="21"/>
        <v>0.65546423662385489</v>
      </c>
      <c r="M31" s="76">
        <f t="shared" si="21"/>
        <v>0.92575865552752679</v>
      </c>
      <c r="N31" s="30">
        <f>Data!K227</f>
        <v>0.19520000000000001</v>
      </c>
      <c r="O31" s="30">
        <f>Data!K344 - N31</f>
        <v>0.25790000000000002</v>
      </c>
      <c r="P31" s="30">
        <f t="shared" si="22"/>
        <v>0.54689999999999994</v>
      </c>
      <c r="Q31" s="30">
        <f>Data!P227</f>
        <v>0.1532</v>
      </c>
      <c r="R31" s="30">
        <f>Data!P344 - Q31</f>
        <v>0.22470000000000001</v>
      </c>
      <c r="S31" s="30">
        <f t="shared" si="12"/>
        <v>0.62209999999999999</v>
      </c>
      <c r="T31" s="77">
        <f t="shared" si="23"/>
        <v>0.65546423662385489</v>
      </c>
      <c r="U31" s="77">
        <f t="shared" si="24"/>
        <v>0.2702944189036719</v>
      </c>
      <c r="V31" s="77">
        <f t="shared" si="25"/>
        <v>7.4241344472473214E-2</v>
      </c>
      <c r="W31" s="30">
        <f t="shared" si="13"/>
        <v>0.34453576337614511</v>
      </c>
      <c r="X31" s="3">
        <f t="shared" si="26"/>
        <v>0.46689255926241269</v>
      </c>
      <c r="Y31" s="30">
        <f t="shared" si="29"/>
        <v>1.6292627293727846</v>
      </c>
      <c r="Z31" s="30">
        <f t="shared" si="27"/>
        <v>-4.5855252779336997E-2</v>
      </c>
      <c r="AA31" s="30">
        <f t="shared" si="14"/>
        <v>-0.16562953485157983</v>
      </c>
      <c r="AB31" s="30">
        <f t="shared" si="15"/>
        <v>1.0635402158806895</v>
      </c>
      <c r="AC31" s="30">
        <f t="shared" si="16"/>
        <v>-0.16868427801286168</v>
      </c>
      <c r="AD31" s="30">
        <f t="shared" si="17"/>
        <v>-5.0901688848359439E-2</v>
      </c>
      <c r="AE31">
        <v>0</v>
      </c>
    </row>
    <row r="32" spans="1:31" x14ac:dyDescent="0.5">
      <c r="A32">
        <v>2009</v>
      </c>
      <c r="B32" s="73">
        <f>'Minimum Deflation Total'!F32</f>
        <v>12977.5</v>
      </c>
      <c r="C32" s="73">
        <f>Data!AC552*251.1 / CPI!B98</f>
        <v>53808.564335664334</v>
      </c>
      <c r="D32" s="73">
        <f>Data!X111*251.1 / CPI!B98</f>
        <v>2017971.2958041958</v>
      </c>
      <c r="E32" s="74">
        <f>Data!F111*251.1 / CPI!B98</f>
        <v>6334828.6468531471</v>
      </c>
      <c r="F32" s="3">
        <f t="shared" si="19"/>
        <v>10.539458986878266</v>
      </c>
      <c r="G32" s="3">
        <f t="shared" si="28"/>
        <v>0.84110514800199565</v>
      </c>
      <c r="H32" s="73">
        <f t="shared" si="18"/>
        <v>111010.3374443986</v>
      </c>
      <c r="I32" s="73">
        <f t="shared" si="18"/>
        <v>267309.42453612259</v>
      </c>
      <c r="J32" s="75">
        <f t="shared" si="20"/>
        <v>0.44044641754260605</v>
      </c>
      <c r="K32" s="75">
        <f t="shared" si="20"/>
        <v>1.4852427260388461</v>
      </c>
      <c r="L32" s="76">
        <f t="shared" si="21"/>
        <v>0.67019309382211623</v>
      </c>
      <c r="M32" s="76">
        <f t="shared" si="21"/>
        <v>0.93126023118565382</v>
      </c>
      <c r="N32" s="30">
        <f>Data!K228</f>
        <v>0.18539998999999999</v>
      </c>
      <c r="O32" s="30">
        <f>Data!K345 - N32</f>
        <v>0.25800001000000006</v>
      </c>
      <c r="P32" s="30">
        <f t="shared" si="22"/>
        <v>0.55659999999999998</v>
      </c>
      <c r="Q32" s="30">
        <f>Data!P228</f>
        <v>0.15090001</v>
      </c>
      <c r="R32" s="30">
        <f>Data!P345 - Q32</f>
        <v>0.22559999999999999</v>
      </c>
      <c r="S32" s="30">
        <f t="shared" si="12"/>
        <v>0.62349999</v>
      </c>
      <c r="T32" s="77">
        <f t="shared" si="23"/>
        <v>0.67019309382211623</v>
      </c>
      <c r="U32" s="77">
        <f t="shared" si="24"/>
        <v>0.26106713736353759</v>
      </c>
      <c r="V32" s="77">
        <f t="shared" si="25"/>
        <v>6.873976881434618E-2</v>
      </c>
      <c r="W32" s="30">
        <f t="shared" si="13"/>
        <v>0.32980690617788377</v>
      </c>
      <c r="X32" s="3">
        <f t="shared" si="26"/>
        <v>0.44799017718069467</v>
      </c>
      <c r="Y32" s="30">
        <f t="shared" si="29"/>
        <v>1.6971285065088333</v>
      </c>
      <c r="Z32" s="30">
        <f t="shared" si="27"/>
        <v>-1.1748423775247319E-2</v>
      </c>
      <c r="AA32" s="30">
        <f t="shared" si="14"/>
        <v>-0.1694930832162026</v>
      </c>
      <c r="AB32" s="30">
        <f t="shared" si="15"/>
        <v>1.1952359253280869</v>
      </c>
      <c r="AC32" s="30">
        <f t="shared" si="16"/>
        <v>-0.13585446916725252</v>
      </c>
      <c r="AD32" s="30">
        <f t="shared" si="17"/>
        <v>-6.9671120536060838E-2</v>
      </c>
      <c r="AE32">
        <v>0</v>
      </c>
    </row>
    <row r="33" spans="1:31" x14ac:dyDescent="0.5">
      <c r="A33" s="1">
        <v>2010</v>
      </c>
      <c r="B33" s="73">
        <f>'Minimum Deflation Total'!F33</f>
        <v>12977.5</v>
      </c>
      <c r="C33" s="73">
        <f>Data!AC553*251.1 / CPI!B99</f>
        <v>54267.877064649248</v>
      </c>
      <c r="D33" s="73">
        <f>Data!X112*251.1 / CPI!B99</f>
        <v>2164754.0537826684</v>
      </c>
      <c r="E33" s="74">
        <f>Data!F112*251.1 / CPI!B99</f>
        <v>7062393.5839064643</v>
      </c>
      <c r="F33" s="3">
        <f t="shared" si="19"/>
        <v>10.538047440162138</v>
      </c>
      <c r="G33" s="3">
        <f t="shared" si="28"/>
        <v>0.85280749070668127</v>
      </c>
      <c r="H33" s="73">
        <f t="shared" si="18"/>
        <v>112528.7715438608</v>
      </c>
      <c r="I33" s="73">
        <f t="shared" si="18"/>
        <v>274299.0827993977</v>
      </c>
      <c r="J33" s="75">
        <f t="shared" si="20"/>
        <v>0.42874407483791938</v>
      </c>
      <c r="K33" s="75">
        <f t="shared" si="20"/>
        <v>1.4735403833341592</v>
      </c>
      <c r="L33" s="76">
        <f t="shared" si="21"/>
        <v>0.66594525909384261</v>
      </c>
      <c r="M33" s="76">
        <f t="shared" si="21"/>
        <v>0.92969730845164811</v>
      </c>
      <c r="N33" s="30">
        <f>Data!K229</f>
        <v>0.19800000000000001</v>
      </c>
      <c r="O33" s="30">
        <f>Data!K346 - N33</f>
        <v>0.25950001</v>
      </c>
      <c r="P33" s="30">
        <f t="shared" si="22"/>
        <v>0.54249999000000004</v>
      </c>
      <c r="Q33" s="30">
        <f>Data!P229</f>
        <v>0.15939999999999999</v>
      </c>
      <c r="R33" s="30">
        <f>Data!P346 - Q33</f>
        <v>0.22550000000000003</v>
      </c>
      <c r="S33" s="30">
        <f t="shared" si="12"/>
        <v>0.61509999999999998</v>
      </c>
      <c r="T33" s="77">
        <f t="shared" si="23"/>
        <v>0.66594525909384261</v>
      </c>
      <c r="U33" s="77">
        <f t="shared" si="24"/>
        <v>0.2637520493578055</v>
      </c>
      <c r="V33" s="77">
        <f t="shared" si="25"/>
        <v>7.0302691548351892E-2</v>
      </c>
      <c r="W33" s="30">
        <f t="shared" si="13"/>
        <v>0.33405474090615739</v>
      </c>
      <c r="X33" s="3">
        <f t="shared" si="26"/>
        <v>0.45350858030051855</v>
      </c>
      <c r="Y33" s="30">
        <f t="shared" si="29"/>
        <v>1.8163928811149725</v>
      </c>
      <c r="Z33" s="30">
        <f t="shared" si="27"/>
        <v>-1.6121350973986925E-2</v>
      </c>
      <c r="AA33" s="30">
        <f t="shared" si="14"/>
        <v>-0.18536849299267566</v>
      </c>
      <c r="AB33" s="30">
        <f t="shared" si="15"/>
        <v>1.2673385113622553</v>
      </c>
      <c r="AC33" s="30">
        <f t="shared" si="16"/>
        <v>-0.14503033986254577</v>
      </c>
      <c r="AD33" s="30">
        <f t="shared" si="17"/>
        <v>-7.6350508393179695E-2</v>
      </c>
      <c r="AE33">
        <v>0</v>
      </c>
    </row>
    <row r="34" spans="1:31" x14ac:dyDescent="0.5">
      <c r="A34">
        <v>2011</v>
      </c>
      <c r="B34" s="73">
        <f>'Minimum Deflation Total'!F34</f>
        <v>12977.5</v>
      </c>
      <c r="C34" s="73">
        <f>Data!AC554*251.1 / CPI!B100</f>
        <v>53582.55055091151</v>
      </c>
      <c r="D34" s="73">
        <f>Data!X113*251.1 / CPI!B100</f>
        <v>2167738.9311249442</v>
      </c>
      <c r="E34" s="74">
        <f>Data!F113*251.1 / CPI!B100</f>
        <v>6662682.8223654954</v>
      </c>
      <c r="F34" s="3">
        <f t="shared" si="19"/>
        <v>10.525142562475876</v>
      </c>
      <c r="G34" s="3">
        <f t="shared" si="28"/>
        <v>0.85303714122775032</v>
      </c>
      <c r="H34" s="73">
        <f t="shared" si="18"/>
        <v>111118.6297717009</v>
      </c>
      <c r="I34" s="73">
        <f t="shared" si="18"/>
        <v>270926.73220725905</v>
      </c>
      <c r="J34" s="75">
        <f t="shared" si="20"/>
        <v>0.42851442431685183</v>
      </c>
      <c r="K34" s="75">
        <f t="shared" si="20"/>
        <v>1.4733107328130912</v>
      </c>
      <c r="L34" s="76">
        <f t="shared" si="21"/>
        <v>0.66586168290743419</v>
      </c>
      <c r="M34" s="76">
        <f t="shared" si="21"/>
        <v>0.92966636601142649</v>
      </c>
      <c r="N34" s="30">
        <f>Data!K230</f>
        <v>0.19599999000000001</v>
      </c>
      <c r="O34" s="30">
        <f>Data!K347 - N34</f>
        <v>0.26319999999999999</v>
      </c>
      <c r="P34" s="30">
        <f t="shared" si="22"/>
        <v>0.54080001</v>
      </c>
      <c r="Q34" s="30">
        <f>Data!P230</f>
        <v>0.1583</v>
      </c>
      <c r="R34" s="30">
        <f>Data!P347 - Q34</f>
        <v>0.22869999000000002</v>
      </c>
      <c r="S34" s="30">
        <f t="shared" si="12"/>
        <v>0.61300001000000004</v>
      </c>
      <c r="T34" s="77">
        <f t="shared" si="23"/>
        <v>0.66586168290743419</v>
      </c>
      <c r="U34" s="77">
        <f t="shared" si="24"/>
        <v>0.2638046831039923</v>
      </c>
      <c r="V34" s="77">
        <f t="shared" si="25"/>
        <v>7.0333633988573507E-2</v>
      </c>
      <c r="W34" s="30">
        <f t="shared" si="13"/>
        <v>0.33413831709256581</v>
      </c>
      <c r="X34" s="3">
        <f t="shared" si="26"/>
        <v>0.45361660118862823</v>
      </c>
      <c r="Y34" s="30">
        <f t="shared" si="29"/>
        <v>1.7867178032041173</v>
      </c>
      <c r="Z34" s="30">
        <f t="shared" si="27"/>
        <v>-2.2921621287289584E-3</v>
      </c>
      <c r="AA34" s="30">
        <f t="shared" si="14"/>
        <v>-0.18781929658628493</v>
      </c>
      <c r="AB34" s="30">
        <f t="shared" si="15"/>
        <v>1.2507012793582883</v>
      </c>
      <c r="AC34" s="30">
        <f t="shared" si="16"/>
        <v>-0.13307077300880954</v>
      </c>
      <c r="AD34" s="30">
        <f t="shared" si="17"/>
        <v>-7.9388368882584937E-2</v>
      </c>
      <c r="AE34">
        <v>0</v>
      </c>
    </row>
    <row r="35" spans="1:31" x14ac:dyDescent="0.5">
      <c r="A35" s="1">
        <v>2012</v>
      </c>
      <c r="B35" s="73">
        <f>'Minimum Deflation Total'!F35</f>
        <v>12977.5</v>
      </c>
      <c r="C35" s="73">
        <f>Data!AC555*251.1 / CPI!B101</f>
        <v>53842.139372822297</v>
      </c>
      <c r="D35" s="73">
        <f>Data!X114*251.1 / CPI!B101</f>
        <v>2300588.9176829271</v>
      </c>
      <c r="E35" s="74">
        <f>Data!F114*251.1 / CPI!B101</f>
        <v>7264518.761759582</v>
      </c>
      <c r="F35" s="3">
        <f t="shared" si="19"/>
        <v>10.521469868864012</v>
      </c>
      <c r="G35" s="3">
        <f t="shared" si="28"/>
        <v>0.86295055526482989</v>
      </c>
      <c r="H35" s="73">
        <f t="shared" si="18"/>
        <v>112126.78331635079</v>
      </c>
      <c r="I35" s="73">
        <f t="shared" si="18"/>
        <v>276231.08489643148</v>
      </c>
      <c r="J35" s="75">
        <f t="shared" si="20"/>
        <v>0.41860101027977048</v>
      </c>
      <c r="K35" s="75">
        <f t="shared" si="20"/>
        <v>1.4633973187760114</v>
      </c>
      <c r="L35" s="76">
        <f t="shared" si="21"/>
        <v>0.66224612443970776</v>
      </c>
      <c r="M35" s="76">
        <f t="shared" si="21"/>
        <v>0.92832065403787889</v>
      </c>
      <c r="N35" s="30">
        <f>Data!K231</f>
        <v>0.20780000000000001</v>
      </c>
      <c r="O35" s="30">
        <f>Data!K348 - N35</f>
        <v>0.26359999000000001</v>
      </c>
      <c r="P35" s="30">
        <f t="shared" si="22"/>
        <v>0.52860001000000001</v>
      </c>
      <c r="Q35" s="30">
        <f>Data!P231</f>
        <v>0.16670001000000001</v>
      </c>
      <c r="R35" s="30">
        <f>Data!P348 - Q35</f>
        <v>0.23149999999999998</v>
      </c>
      <c r="S35" s="30">
        <f t="shared" si="12"/>
        <v>0.60179998999999995</v>
      </c>
      <c r="T35" s="77">
        <f t="shared" si="23"/>
        <v>0.66224612443970776</v>
      </c>
      <c r="U35" s="77">
        <f t="shared" si="24"/>
        <v>0.26607452959817113</v>
      </c>
      <c r="V35" s="77">
        <f t="shared" si="25"/>
        <v>7.167934596212111E-2</v>
      </c>
      <c r="W35" s="30">
        <f t="shared" si="13"/>
        <v>0.33775387556029224</v>
      </c>
      <c r="X35" s="3">
        <f t="shared" si="26"/>
        <v>0.45826947101234605</v>
      </c>
      <c r="Y35" s="30">
        <f t="shared" si="29"/>
        <v>1.8990219875863787</v>
      </c>
      <c r="Z35" s="30">
        <f t="shared" si="27"/>
        <v>-9.3001746612432212E-3</v>
      </c>
      <c r="AA35" s="30">
        <f t="shared" si="14"/>
        <v>-0.20180731831806309</v>
      </c>
      <c r="AB35" s="30">
        <f t="shared" si="15"/>
        <v>1.3256351988492261</v>
      </c>
      <c r="AC35" s="30">
        <f t="shared" si="16"/>
        <v>-0.12994302630314147</v>
      </c>
      <c r="AD35" s="30">
        <f t="shared" si="17"/>
        <v>-9.1274425336725362E-2</v>
      </c>
      <c r="AE35">
        <v>0</v>
      </c>
    </row>
    <row r="36" spans="1:31" x14ac:dyDescent="0.5">
      <c r="A36">
        <v>2013</v>
      </c>
      <c r="B36" s="73">
        <f>'Minimum Deflation Total'!F36</f>
        <v>12977.5</v>
      </c>
      <c r="C36" s="73">
        <f>Data!AC556*251.1 / CPI!B102</f>
        <v>52942.874600512157</v>
      </c>
      <c r="D36" s="73">
        <f>Data!X115*251.1 / CPI!B102</f>
        <v>2113602.2596670929</v>
      </c>
      <c r="E36" s="74">
        <f>Data!F115*251.1 / CPI!B102</f>
        <v>6449855.5544174127</v>
      </c>
      <c r="F36" s="3">
        <f t="shared" si="19"/>
        <v>10.516719391825584</v>
      </c>
      <c r="G36" s="3">
        <f t="shared" si="28"/>
        <v>0.84882198569274048</v>
      </c>
      <c r="H36" s="73">
        <f t="shared" si="18"/>
        <v>109592.97299799399</v>
      </c>
      <c r="I36" s="73">
        <f t="shared" si="18"/>
        <v>266032.7269070574</v>
      </c>
      <c r="J36" s="75">
        <f t="shared" si="20"/>
        <v>0.43272957985186</v>
      </c>
      <c r="K36" s="75">
        <f t="shared" si="20"/>
        <v>1.4775258883480999</v>
      </c>
      <c r="L36" s="76">
        <f t="shared" si="21"/>
        <v>0.667394381090466</v>
      </c>
      <c r="M36" s="76">
        <f t="shared" si="21"/>
        <v>0.93023263800260092</v>
      </c>
      <c r="N36" s="30">
        <f>Data!K232</f>
        <v>0.19589999</v>
      </c>
      <c r="O36" s="30">
        <f>Data!K349 - N36</f>
        <v>0.26730001000000003</v>
      </c>
      <c r="P36" s="30">
        <f t="shared" si="22"/>
        <v>0.53679999999999994</v>
      </c>
      <c r="Q36" s="30">
        <f>Data!P232</f>
        <v>0.15350000999999999</v>
      </c>
      <c r="R36" s="30">
        <f>Data!P349 - Q36</f>
        <v>0.23409999000000001</v>
      </c>
      <c r="S36" s="30">
        <f t="shared" si="12"/>
        <v>0.61239999999999994</v>
      </c>
      <c r="T36" s="77">
        <f t="shared" si="23"/>
        <v>0.667394381090466</v>
      </c>
      <c r="U36" s="77">
        <f t="shared" si="24"/>
        <v>0.26283825691213492</v>
      </c>
      <c r="V36" s="77">
        <f t="shared" si="25"/>
        <v>6.976736199739908E-2</v>
      </c>
      <c r="W36" s="30">
        <f t="shared" si="13"/>
        <v>0.332605618909534</v>
      </c>
      <c r="X36" s="3">
        <f t="shared" si="26"/>
        <v>0.45163223208524994</v>
      </c>
      <c r="Y36" s="30">
        <f t="shared" si="29"/>
        <v>1.8079030708843935</v>
      </c>
      <c r="Z36" s="30">
        <f t="shared" si="27"/>
        <v>1.6975280312244045E-2</v>
      </c>
      <c r="AA36" s="30">
        <f t="shared" si="14"/>
        <v>-0.19567797510833984</v>
      </c>
      <c r="AB36" s="30">
        <f t="shared" si="15"/>
        <v>1.2001693285425135</v>
      </c>
      <c r="AC36" s="30">
        <f t="shared" si="16"/>
        <v>-0.10933821906200636</v>
      </c>
      <c r="AD36" s="30">
        <f t="shared" si="17"/>
        <v>-8.2401624359812353E-2</v>
      </c>
      <c r="AE36">
        <v>0</v>
      </c>
    </row>
    <row r="37" spans="1:31" x14ac:dyDescent="0.5">
      <c r="A37" s="1">
        <v>2014</v>
      </c>
      <c r="B37" s="73">
        <f>'Minimum Deflation Total'!F37</f>
        <v>12977.5</v>
      </c>
      <c r="C37" s="73">
        <f>Data!AC557*251.1 / CPI!B103</f>
        <v>53632.922133079854</v>
      </c>
      <c r="D37" s="73">
        <f>Data!X116*251.1 / CPI!B103</f>
        <v>2214933.6866920153</v>
      </c>
      <c r="E37" s="74">
        <f>Data!F116*251.1 / CPI!B103</f>
        <v>6806372.6121673007</v>
      </c>
      <c r="F37" s="89">
        <f t="shared" si="19"/>
        <v>10.523013660863709</v>
      </c>
      <c r="G37" s="90">
        <f t="shared" si="28"/>
        <v>0.85662677583730018</v>
      </c>
      <c r="H37" s="73">
        <f t="shared" si="18"/>
        <v>111393.58800612044</v>
      </c>
      <c r="I37" s="73">
        <f t="shared" si="18"/>
        <v>272617.64908640774</v>
      </c>
      <c r="J37" s="75">
        <f t="shared" si="20"/>
        <v>0.42492478970730091</v>
      </c>
      <c r="K37" s="75">
        <f t="shared" si="20"/>
        <v>1.4697210982035418</v>
      </c>
      <c r="L37" s="76">
        <f t="shared" si="21"/>
        <v>0.6645542486515188</v>
      </c>
      <c r="M37" s="76">
        <f t="shared" si="21"/>
        <v>0.92918134692486154</v>
      </c>
      <c r="N37" s="30">
        <f>Data!K233</f>
        <v>0.20200001000000001</v>
      </c>
      <c r="O37" s="30">
        <f>Data!K350 - N37</f>
        <v>0.26819999</v>
      </c>
      <c r="P37" s="30">
        <f t="shared" si="22"/>
        <v>0.52979999999999994</v>
      </c>
      <c r="Q37" s="30">
        <f>Data!P233</f>
        <v>0.15659999999999999</v>
      </c>
      <c r="R37" s="30">
        <f>Data!P350 - Q37</f>
        <v>0.23460001</v>
      </c>
      <c r="S37" s="30">
        <f t="shared" si="12"/>
        <v>0.60879999000000007</v>
      </c>
      <c r="T37" s="77">
        <f t="shared" si="23"/>
        <v>0.6645542486515188</v>
      </c>
      <c r="U37" s="77">
        <f t="shared" si="24"/>
        <v>0.26462709827334274</v>
      </c>
      <c r="V37" s="77">
        <f t="shared" si="25"/>
        <v>7.081865307513846E-2</v>
      </c>
      <c r="W37" s="30">
        <f t="shared" si="13"/>
        <v>0.3354457513484812</v>
      </c>
      <c r="X37" s="3">
        <f t="shared" si="26"/>
        <v>0.45530368399041654</v>
      </c>
      <c r="Y37" s="30">
        <f t="shared" si="29"/>
        <v>1.8523559998476444</v>
      </c>
      <c r="Z37" s="30">
        <f t="shared" si="27"/>
        <v>1.3501609434445339E-2</v>
      </c>
      <c r="AA37" s="30">
        <f t="shared" si="14"/>
        <v>-0.20277388779765626</v>
      </c>
      <c r="AB37" s="30">
        <f t="shared" si="15"/>
        <v>1.2112818191253605</v>
      </c>
      <c r="AC37" s="30">
        <f t="shared" si="16"/>
        <v>-0.11346943857702241</v>
      </c>
      <c r="AD37" s="30">
        <f t="shared" si="17"/>
        <v>-8.3897226997874941E-2</v>
      </c>
      <c r="AE37">
        <v>0</v>
      </c>
    </row>
    <row r="38" spans="1:31" x14ac:dyDescent="0.5">
      <c r="A38">
        <v>2015</v>
      </c>
      <c r="B38" s="73">
        <f>'Minimum Deflation Total'!F38</f>
        <v>12977.5</v>
      </c>
      <c r="C38" s="73"/>
      <c r="D38" s="73"/>
      <c r="E38" s="74"/>
      <c r="F38" s="3"/>
      <c r="G38" s="3"/>
      <c r="H38" s="73"/>
      <c r="I38" s="73"/>
      <c r="J38" s="75"/>
      <c r="K38" s="75"/>
      <c r="L38" s="76"/>
      <c r="M38" s="76"/>
      <c r="N38" s="30"/>
      <c r="O38" s="30"/>
      <c r="P38" s="30"/>
      <c r="Q38" s="30"/>
      <c r="R38" s="30"/>
      <c r="S38" s="30"/>
      <c r="T38" s="77"/>
      <c r="U38" s="77"/>
      <c r="V38" s="77"/>
      <c r="W38" s="30"/>
      <c r="X38" s="3"/>
      <c r="Y38" s="30"/>
      <c r="Z38" s="30"/>
      <c r="AA38" s="30"/>
      <c r="AB38" s="30"/>
      <c r="AC38" s="30"/>
      <c r="AD38" s="30"/>
    </row>
    <row r="39" spans="1:31" x14ac:dyDescent="0.5">
      <c r="A39" s="1">
        <v>2016</v>
      </c>
      <c r="B39" s="73">
        <f>'Minimum Deflation Total'!F39</f>
        <v>12977.5</v>
      </c>
      <c r="C39" s="73"/>
      <c r="D39" s="73"/>
      <c r="E39" s="74"/>
      <c r="F39" s="3"/>
      <c r="G39" s="3"/>
      <c r="H39" s="73"/>
      <c r="I39" s="73"/>
      <c r="J39" s="75"/>
      <c r="K39" s="75"/>
      <c r="L39" s="76"/>
      <c r="M39" s="76"/>
      <c r="N39" s="30"/>
      <c r="O39" s="30"/>
      <c r="P39" s="30"/>
      <c r="Q39" s="30"/>
      <c r="R39" s="30"/>
      <c r="S39" s="30"/>
      <c r="T39" s="77"/>
      <c r="U39" s="77"/>
      <c r="V39" s="77"/>
      <c r="W39" s="30"/>
      <c r="X39" s="3"/>
      <c r="Y39" s="30"/>
      <c r="Z39" s="30"/>
      <c r="AA39" s="30"/>
      <c r="AB39" s="30"/>
      <c r="AC39" s="30"/>
      <c r="AD39" s="30"/>
    </row>
    <row r="40" spans="1:31" x14ac:dyDescent="0.5">
      <c r="A40" s="1">
        <v>2017</v>
      </c>
      <c r="B40" s="73">
        <f>'Minimum Deflation Total'!F40</f>
        <v>12977.5</v>
      </c>
      <c r="C40" s="73"/>
      <c r="D40" s="73"/>
      <c r="E40" s="74"/>
      <c r="F40" s="3"/>
      <c r="G40" s="3"/>
    </row>
    <row r="41" spans="1:31" x14ac:dyDescent="0.5">
      <c r="A41">
        <v>2018</v>
      </c>
      <c r="B41" s="73">
        <f>'Minimum Deflation Total'!F41</f>
        <v>12977.5</v>
      </c>
      <c r="C41" s="73"/>
      <c r="D41" s="73"/>
      <c r="E41" s="74"/>
      <c r="F41" s="3"/>
      <c r="G41" s="3"/>
    </row>
    <row r="42" spans="1:31" x14ac:dyDescent="0.5">
      <c r="A42" s="1">
        <v>2019</v>
      </c>
      <c r="B42" s="73">
        <f>'Minimum Deflation Total'!F42</f>
        <v>12977.5</v>
      </c>
      <c r="C42" s="73"/>
      <c r="D42" s="73"/>
      <c r="E42" s="73"/>
      <c r="F42" s="3"/>
    </row>
    <row r="48" spans="1:31" x14ac:dyDescent="0.5">
      <c r="A48" t="s">
        <v>131</v>
      </c>
    </row>
    <row r="66" spans="35:35" x14ac:dyDescent="0.5">
      <c r="AI66">
        <v>0</v>
      </c>
    </row>
  </sheetData>
  <mergeCells count="8">
    <mergeCell ref="N1:S1"/>
    <mergeCell ref="T1:X1"/>
    <mergeCell ref="A1:A2"/>
    <mergeCell ref="B1:D1"/>
    <mergeCell ref="F1:G1"/>
    <mergeCell ref="H1:I1"/>
    <mergeCell ref="J1:K1"/>
    <mergeCell ref="L1:M1"/>
  </mergeCells>
  <hyperlinks>
    <hyperlink ref="H1" location="Index" display="Back to Index" xr:uid="{39B50B1D-C28F-429A-9E89-2140EDADB180}"/>
  </hyperlinks>
  <pageMargins left="0.7" right="0.7" top="0.75" bottom="0.75" header="0.3" footer="0.3"/>
  <pageSetup orientation="portrait" horizontalDpi="4294967293" verticalDpi="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FCDCF-C545-4D75-BAF3-D4B6A9DDA808}">
  <sheetPr codeName="Sheet21"/>
  <dimension ref="A1:AF98"/>
  <sheetViews>
    <sheetView zoomScale="55" zoomScaleNormal="55" workbookViewId="0">
      <pane xSplit="1" ySplit="2" topLeftCell="B21" activePane="bottomRight" state="frozen"/>
      <selection pane="topRight" activeCell="B1" sqref="B1"/>
      <selection pane="bottomLeft" activeCell="A3" sqref="A3"/>
      <selection pane="bottomRight" activeCell="B98" sqref="B98"/>
    </sheetView>
  </sheetViews>
  <sheetFormatPr defaultRowHeight="15.75" x14ac:dyDescent="0.5"/>
  <cols>
    <col min="2" max="2" width="17" customWidth="1"/>
    <col min="3" max="3" width="15.5" customWidth="1"/>
    <col min="4" max="4" width="17.875" customWidth="1"/>
    <col min="5" max="5" width="10.5" customWidth="1"/>
    <col min="6" max="6" width="9" customWidth="1"/>
    <col min="7" max="7" width="11" customWidth="1"/>
    <col min="8" max="8" width="15.375" customWidth="1"/>
    <col min="9" max="9" width="10.875" customWidth="1"/>
    <col min="10" max="10" width="13" customWidth="1"/>
    <col min="11" max="11" width="16.25" customWidth="1"/>
    <col min="12" max="12" width="15.25" customWidth="1"/>
    <col min="13" max="13" width="18" customWidth="1"/>
    <col min="14" max="14" width="17.25" customWidth="1"/>
    <col min="15" max="15" width="15.75" customWidth="1"/>
    <col min="16" max="16" width="19.625" customWidth="1"/>
    <col min="17" max="17" width="16" customWidth="1"/>
    <col min="18" max="19" width="17.625" customWidth="1"/>
    <col min="20" max="20" width="16.625" customWidth="1"/>
    <col min="21" max="21" width="14.125" customWidth="1"/>
    <col min="23" max="23" width="11.25" customWidth="1"/>
    <col min="24" max="24" width="15.625" customWidth="1"/>
    <col min="25" max="25" width="14.125" customWidth="1"/>
    <col min="26" max="26" width="13.125" customWidth="1"/>
    <col min="27" max="27" width="13.625" customWidth="1"/>
    <col min="28" max="28" width="18.375" customWidth="1"/>
    <col min="29" max="29" width="24" customWidth="1"/>
    <col min="30" max="30" width="20.5" customWidth="1"/>
  </cols>
  <sheetData>
    <row r="1" spans="1:32" x14ac:dyDescent="0.5">
      <c r="A1" s="102" t="s">
        <v>5</v>
      </c>
      <c r="B1" s="111" t="s">
        <v>12</v>
      </c>
      <c r="C1" s="111"/>
      <c r="D1" s="111"/>
      <c r="E1" s="70"/>
      <c r="F1" s="112" t="s">
        <v>13</v>
      </c>
      <c r="G1" s="112"/>
      <c r="H1" s="108" t="s">
        <v>543</v>
      </c>
      <c r="I1" s="111"/>
      <c r="J1" s="113" t="s">
        <v>19</v>
      </c>
      <c r="K1" s="113"/>
      <c r="L1" s="110" t="s">
        <v>20</v>
      </c>
      <c r="M1" s="110"/>
      <c r="N1" s="104" t="s">
        <v>116</v>
      </c>
      <c r="O1" s="104"/>
      <c r="P1" s="104"/>
      <c r="Q1" s="104"/>
      <c r="R1" s="104"/>
      <c r="S1" s="104"/>
      <c r="T1" s="110" t="s">
        <v>21</v>
      </c>
      <c r="U1" s="110"/>
      <c r="V1" s="110"/>
      <c r="W1" s="110"/>
      <c r="X1" s="110"/>
    </row>
    <row r="2" spans="1:32" ht="63" x14ac:dyDescent="0.5">
      <c r="A2" s="102"/>
      <c r="B2" s="78" t="s">
        <v>223</v>
      </c>
      <c r="C2" s="78" t="s">
        <v>10</v>
      </c>
      <c r="D2" s="78" t="s">
        <v>222</v>
      </c>
      <c r="E2" s="79" t="s">
        <v>3</v>
      </c>
      <c r="F2" s="79" t="s">
        <v>4</v>
      </c>
      <c r="G2" s="80">
        <v>0.9</v>
      </c>
      <c r="H2" s="80">
        <v>0.99</v>
      </c>
      <c r="I2" s="81" t="s">
        <v>14</v>
      </c>
      <c r="J2" s="81" t="s">
        <v>15</v>
      </c>
      <c r="K2" s="82" t="s">
        <v>16</v>
      </c>
      <c r="L2" s="82" t="s">
        <v>17</v>
      </c>
      <c r="M2" s="83" t="s">
        <v>117</v>
      </c>
      <c r="N2" s="83" t="s">
        <v>120</v>
      </c>
      <c r="O2" s="83" t="s">
        <v>124</v>
      </c>
      <c r="P2" s="83" t="s">
        <v>125</v>
      </c>
      <c r="Q2" s="83" t="s">
        <v>126</v>
      </c>
      <c r="R2" s="83" t="s">
        <v>127</v>
      </c>
      <c r="S2" s="82" t="s">
        <v>0</v>
      </c>
      <c r="T2" s="82" t="s">
        <v>1</v>
      </c>
      <c r="U2" s="82" t="s">
        <v>2</v>
      </c>
      <c r="V2" s="83" t="s">
        <v>118</v>
      </c>
      <c r="W2" s="84" t="s">
        <v>25</v>
      </c>
      <c r="X2" s="83" t="s">
        <v>121</v>
      </c>
      <c r="Y2" s="83" t="s">
        <v>122</v>
      </c>
      <c r="Z2" s="83" t="s">
        <v>123</v>
      </c>
      <c r="AA2" s="72"/>
      <c r="AB2" s="72"/>
      <c r="AC2" s="72"/>
      <c r="AD2" s="72"/>
      <c r="AE2" s="72"/>
      <c r="AF2" s="72"/>
    </row>
    <row r="3" spans="1:32" x14ac:dyDescent="0.5">
      <c r="A3" s="1">
        <v>1930</v>
      </c>
      <c r="B3" s="71">
        <f t="shared" ref="B3:B51" si="0">B4/1.02</f>
        <v>2061.6082179225095</v>
      </c>
      <c r="C3" s="73">
        <f>Data!AC474*251.1 / CPI!B19</f>
        <v>113477.65479700599</v>
      </c>
      <c r="D3" s="74">
        <f>Data!F32*251.1 / CPI!B19</f>
        <v>14475727.050898204</v>
      </c>
      <c r="E3" s="3">
        <f t="shared" ref="E3:E66" si="1">LN(C3)-F3^2/2</f>
        <v>10.549890642815248</v>
      </c>
      <c r="F3" s="3">
        <f>(LN(D3)-LN(B3))/6</f>
        <v>1.4761236937810598</v>
      </c>
      <c r="G3" s="73">
        <f t="shared" ref="G3:H22" si="2">_xlfn.LOGNORM.INV(G$2,$E3,$F3)</f>
        <v>253120.07845618069</v>
      </c>
      <c r="H3" s="73">
        <f t="shared" si="2"/>
        <v>1183359.3514281195</v>
      </c>
      <c r="I3" s="75">
        <f t="shared" ref="I3:J34" si="3">(LN(G3)-($E3+$F3^2))/$F3</f>
        <v>-0.1945721282364595</v>
      </c>
      <c r="J3" s="75">
        <f t="shared" si="3"/>
        <v>0.85022418025978086</v>
      </c>
      <c r="K3" s="76">
        <f t="shared" ref="K3:L34" si="4">_xlfn.NORM.DIST(I3,0,1,TRUE)</f>
        <v>0.42286396222601774</v>
      </c>
      <c r="L3" s="76">
        <f t="shared" si="4"/>
        <v>0.80239976966363402</v>
      </c>
      <c r="M3" s="30">
        <f>Data!K149</f>
        <v>0.18089999000000001</v>
      </c>
      <c r="N3" s="30">
        <f>Data!K266 - M3</f>
        <v>0.27249999999999996</v>
      </c>
      <c r="O3" s="30">
        <f t="shared" ref="O3:O66" si="5">1-N3 - M3</f>
        <v>0.54660001000000003</v>
      </c>
      <c r="P3" s="30">
        <f>Data!P149</f>
        <v>0</v>
      </c>
      <c r="Q3" s="30">
        <f>Data!P266 - P3</f>
        <v>0</v>
      </c>
      <c r="R3" s="30">
        <f t="shared" ref="R3:R52" si="6">1-Q3 - P3</f>
        <v>1</v>
      </c>
      <c r="S3" s="77">
        <f t="shared" ref="S3:S66" si="7">K3</f>
        <v>0.42286396222601774</v>
      </c>
      <c r="T3" s="77">
        <f t="shared" ref="T3:T66" si="8">L3-K3</f>
        <v>0.37953580743761628</v>
      </c>
      <c r="U3" s="77">
        <f t="shared" ref="U3:U66" si="9">1-L3</f>
        <v>0.19760023033636598</v>
      </c>
      <c r="V3" s="30">
        <f t="shared" ref="V3:V52" si="10">T3+U3</f>
        <v>0.57713603777398226</v>
      </c>
      <c r="W3" s="3">
        <f t="shared" ref="W3:W66" si="11">2*_xlfn.NORM.DIST(F3/SQRT(2),0,1,TRUE)-1</f>
        <v>0.70341145894447843</v>
      </c>
      <c r="X3" s="30">
        <f>M3/U3 - 1</f>
        <v>-8.4515287800717154E-2</v>
      </c>
      <c r="Y3" s="30">
        <f t="shared" ref="Y3:Y66" si="12">N3/T3 - 1</f>
        <v>-0.28201767880678719</v>
      </c>
      <c r="Z3" s="30">
        <f t="shared" ref="Z3:Z52" si="13">O3/S3 - 1</f>
        <v>0.29261431294030738</v>
      </c>
      <c r="AA3" s="30"/>
      <c r="AB3" s="30"/>
      <c r="AC3" s="30"/>
    </row>
    <row r="4" spans="1:32" x14ac:dyDescent="0.5">
      <c r="A4">
        <v>1931</v>
      </c>
      <c r="B4" s="71">
        <f t="shared" si="0"/>
        <v>2102.8403822809596</v>
      </c>
      <c r="C4" s="73">
        <f>Data!AC475*251.1 / CPI!B20</f>
        <v>106127.74209078947</v>
      </c>
      <c r="D4" s="74">
        <f>Data!F33*251.1 / CPI!B20</f>
        <v>10086207.927631579</v>
      </c>
      <c r="E4" s="3">
        <f t="shared" si="1"/>
        <v>10.574671088655293</v>
      </c>
      <c r="F4" s="3">
        <f t="shared" ref="F4:F67" si="14">(LN(D4)-LN(B4))/6</f>
        <v>1.412605870677222</v>
      </c>
      <c r="G4" s="73">
        <f t="shared" si="2"/>
        <v>239186.37858426318</v>
      </c>
      <c r="H4" s="73">
        <f t="shared" si="2"/>
        <v>1046418.3049167017</v>
      </c>
      <c r="I4" s="75">
        <f t="shared" si="3"/>
        <v>-0.13105430513262081</v>
      </c>
      <c r="J4" s="75">
        <f t="shared" si="3"/>
        <v>0.91374200336361877</v>
      </c>
      <c r="K4" s="76">
        <f t="shared" si="4"/>
        <v>0.4478661742633947</v>
      </c>
      <c r="L4" s="76">
        <f t="shared" si="4"/>
        <v>0.81957378625367494</v>
      </c>
      <c r="M4" s="30">
        <f>Data!K150</f>
        <v>0.15029999999999999</v>
      </c>
      <c r="N4" s="30">
        <f>Data!K267 - M4</f>
        <v>0.29969999000000003</v>
      </c>
      <c r="O4" s="30">
        <f t="shared" si="5"/>
        <v>0.55000000999999998</v>
      </c>
      <c r="P4" s="30">
        <f>Data!P150</f>
        <v>0</v>
      </c>
      <c r="Q4" s="30">
        <f>Data!P267 - P4</f>
        <v>0</v>
      </c>
      <c r="R4" s="30">
        <f t="shared" si="6"/>
        <v>1</v>
      </c>
      <c r="S4" s="77">
        <f t="shared" si="7"/>
        <v>0.4478661742633947</v>
      </c>
      <c r="T4" s="77">
        <f t="shared" si="8"/>
        <v>0.37170761199028024</v>
      </c>
      <c r="U4" s="77">
        <f t="shared" si="9"/>
        <v>0.18042621374632506</v>
      </c>
      <c r="V4" s="30">
        <f t="shared" si="10"/>
        <v>0.5521338257366053</v>
      </c>
      <c r="W4" s="3">
        <f t="shared" si="11"/>
        <v>0.68213903009600374</v>
      </c>
      <c r="X4" s="30">
        <f t="shared" ref="X4:X67" si="15">M4/U4 - 1</f>
        <v>-0.16697248764906081</v>
      </c>
      <c r="Y4" s="30">
        <f t="shared" si="12"/>
        <v>-0.19372113905529365</v>
      </c>
      <c r="Z4" s="30">
        <f t="shared" si="13"/>
        <v>0.22804543322474569</v>
      </c>
      <c r="AA4" s="30"/>
      <c r="AB4" s="30"/>
      <c r="AC4" s="30"/>
    </row>
    <row r="5" spans="1:32" x14ac:dyDescent="0.5">
      <c r="A5" s="1">
        <v>1932</v>
      </c>
      <c r="B5" s="71">
        <f t="shared" si="0"/>
        <v>2144.8971899265789</v>
      </c>
      <c r="C5" s="73">
        <f>Data!AC476*251.1 / CPI!B21</f>
        <v>115067.95146788322</v>
      </c>
      <c r="D5" s="74">
        <f>Data!F34*251.1 / CPI!B21</f>
        <v>8160233.320510949</v>
      </c>
      <c r="E5" s="3">
        <f t="shared" si="1"/>
        <v>10.70935467502297</v>
      </c>
      <c r="F5" s="3">
        <f t="shared" si="14"/>
        <v>1.3739894032703515</v>
      </c>
      <c r="G5" s="73">
        <f t="shared" si="2"/>
        <v>260456.97042610205</v>
      </c>
      <c r="H5" s="73">
        <f t="shared" si="2"/>
        <v>1094416.6092057424</v>
      </c>
      <c r="I5" s="75">
        <f t="shared" si="3"/>
        <v>-9.2437837725750385E-2</v>
      </c>
      <c r="J5" s="75">
        <f t="shared" si="3"/>
        <v>0.95235847077048907</v>
      </c>
      <c r="K5" s="76">
        <f t="shared" si="4"/>
        <v>0.46317508897418902</v>
      </c>
      <c r="L5" s="76">
        <f t="shared" si="4"/>
        <v>0.82954239323896117</v>
      </c>
      <c r="M5" s="30">
        <f>Data!K151</f>
        <v>0.1391</v>
      </c>
      <c r="N5" s="30">
        <f>Data!K268 - M5</f>
        <v>0.32740001000000002</v>
      </c>
      <c r="O5" s="30">
        <f t="shared" si="5"/>
        <v>0.53349998999999992</v>
      </c>
      <c r="P5" s="30">
        <f>Data!P151</f>
        <v>0</v>
      </c>
      <c r="Q5" s="30">
        <f>Data!P268 - P5</f>
        <v>0</v>
      </c>
      <c r="R5" s="30">
        <f t="shared" si="6"/>
        <v>1</v>
      </c>
      <c r="S5" s="77">
        <f t="shared" si="7"/>
        <v>0.46317508897418902</v>
      </c>
      <c r="T5" s="77">
        <f t="shared" si="8"/>
        <v>0.36636730426477215</v>
      </c>
      <c r="U5" s="77">
        <f t="shared" si="9"/>
        <v>0.17045760676103883</v>
      </c>
      <c r="V5" s="30">
        <f t="shared" si="10"/>
        <v>0.53682491102581098</v>
      </c>
      <c r="W5" s="3">
        <f t="shared" si="11"/>
        <v>0.6687291283503336</v>
      </c>
      <c r="X5" s="30">
        <f t="shared" si="15"/>
        <v>-0.18396132244774765</v>
      </c>
      <c r="Y5" s="30">
        <f t="shared" si="12"/>
        <v>-0.10636127681473084</v>
      </c>
      <c r="Z5" s="30">
        <f t="shared" si="13"/>
        <v>0.15183221788020185</v>
      </c>
      <c r="AA5" s="30"/>
      <c r="AB5" s="30"/>
      <c r="AC5" s="30"/>
    </row>
    <row r="6" spans="1:32" x14ac:dyDescent="0.5">
      <c r="A6">
        <v>1933</v>
      </c>
      <c r="B6" s="71">
        <f t="shared" si="0"/>
        <v>2187.7951337251106</v>
      </c>
      <c r="C6" s="73">
        <f>Data!AC477*251.1 / CPI!B22</f>
        <v>137079.35114538463</v>
      </c>
      <c r="D6" s="74">
        <f>Data!F35*251.1 / CPI!B22</f>
        <v>9550248.7423846144</v>
      </c>
      <c r="E6" s="3">
        <f t="shared" si="1"/>
        <v>10.852643864909703</v>
      </c>
      <c r="F6" s="3">
        <f t="shared" si="14"/>
        <v>1.3969047051725425</v>
      </c>
      <c r="G6" s="73">
        <f t="shared" si="2"/>
        <v>309542.0656519538</v>
      </c>
      <c r="H6" s="73">
        <f t="shared" si="2"/>
        <v>1332183.8632447643</v>
      </c>
      <c r="I6" s="75">
        <f t="shared" si="3"/>
        <v>-0.11535313962794266</v>
      </c>
      <c r="J6" s="75">
        <f t="shared" si="3"/>
        <v>0.92944316886829781</v>
      </c>
      <c r="K6" s="76">
        <f t="shared" si="4"/>
        <v>0.45408261004954859</v>
      </c>
      <c r="L6" s="76">
        <f t="shared" si="4"/>
        <v>0.82367026768297558</v>
      </c>
      <c r="M6" s="30">
        <f>Data!K152</f>
        <v>0.15160000000000001</v>
      </c>
      <c r="N6" s="30">
        <f>Data!K269 - M6</f>
        <v>0.31709999</v>
      </c>
      <c r="O6" s="30">
        <f t="shared" si="5"/>
        <v>0.53130001000000004</v>
      </c>
      <c r="P6" s="30">
        <f>Data!P152</f>
        <v>0</v>
      </c>
      <c r="Q6" s="30">
        <f>Data!P269 - P6</f>
        <v>0</v>
      </c>
      <c r="R6" s="30">
        <f t="shared" si="6"/>
        <v>1</v>
      </c>
      <c r="S6" s="77">
        <f t="shared" si="7"/>
        <v>0.45408261004954859</v>
      </c>
      <c r="T6" s="77">
        <f t="shared" si="8"/>
        <v>0.36958765763342699</v>
      </c>
      <c r="U6" s="77">
        <f t="shared" si="9"/>
        <v>0.17632973231702442</v>
      </c>
      <c r="V6" s="30">
        <f t="shared" si="10"/>
        <v>0.54591738995045147</v>
      </c>
      <c r="W6" s="3">
        <f t="shared" si="11"/>
        <v>0.67673018508040794</v>
      </c>
      <c r="X6" s="30">
        <f t="shared" si="15"/>
        <v>-0.140247092716971</v>
      </c>
      <c r="Y6" s="30">
        <f t="shared" si="12"/>
        <v>-0.14201683024135647</v>
      </c>
      <c r="Z6" s="30">
        <f t="shared" si="13"/>
        <v>0.17005143610768458</v>
      </c>
      <c r="AA6" s="30"/>
      <c r="AB6" s="30"/>
      <c r="AC6" s="30"/>
    </row>
    <row r="7" spans="1:32" x14ac:dyDescent="0.5">
      <c r="A7" s="1">
        <v>1934</v>
      </c>
      <c r="B7" s="71">
        <f t="shared" si="0"/>
        <v>2231.5510363996127</v>
      </c>
      <c r="C7" s="73">
        <f>Data!AC478*251.1 / CPI!B23</f>
        <v>147077.13655074625</v>
      </c>
      <c r="D7" s="74">
        <f>Data!F36*251.1 / CPI!B23</f>
        <v>12648054.661791043</v>
      </c>
      <c r="E7" s="3">
        <f t="shared" si="1"/>
        <v>10.861297537438062</v>
      </c>
      <c r="F7" s="3">
        <f t="shared" si="14"/>
        <v>1.4404269708223261</v>
      </c>
      <c r="G7" s="73">
        <f t="shared" si="2"/>
        <v>330142.27501794667</v>
      </c>
      <c r="H7" s="73">
        <f t="shared" si="2"/>
        <v>1486941.314144511</v>
      </c>
      <c r="I7" s="75">
        <f t="shared" si="3"/>
        <v>-0.15887540527772492</v>
      </c>
      <c r="J7" s="75">
        <f t="shared" si="3"/>
        <v>0.88592090321851502</v>
      </c>
      <c r="K7" s="76">
        <f t="shared" si="4"/>
        <v>0.43688351914871421</v>
      </c>
      <c r="L7" s="76">
        <f t="shared" si="4"/>
        <v>0.81216992438909963</v>
      </c>
      <c r="M7" s="30">
        <f>Data!K153</f>
        <v>0.17150000000000001</v>
      </c>
      <c r="N7" s="30">
        <f>Data!K270 - M7</f>
        <v>0.30880001000000001</v>
      </c>
      <c r="O7" s="30">
        <f t="shared" si="5"/>
        <v>0.51969999</v>
      </c>
      <c r="P7" s="30">
        <f>Data!P153</f>
        <v>0</v>
      </c>
      <c r="Q7" s="30">
        <f>Data!P270 - P7</f>
        <v>0</v>
      </c>
      <c r="R7" s="30">
        <f t="shared" si="6"/>
        <v>1</v>
      </c>
      <c r="S7" s="77">
        <f t="shared" si="7"/>
        <v>0.43688351914871421</v>
      </c>
      <c r="T7" s="77">
        <f t="shared" si="8"/>
        <v>0.37528640524038542</v>
      </c>
      <c r="U7" s="77">
        <f t="shared" si="9"/>
        <v>0.18783007561090037</v>
      </c>
      <c r="V7" s="30">
        <f t="shared" si="10"/>
        <v>0.56311648085128585</v>
      </c>
      <c r="W7" s="3">
        <f t="shared" si="11"/>
        <v>0.69157654595367979</v>
      </c>
      <c r="X7" s="30">
        <f t="shared" si="15"/>
        <v>-8.6940685924702166E-2</v>
      </c>
      <c r="Y7" s="30">
        <f t="shared" si="12"/>
        <v>-0.17716174716693589</v>
      </c>
      <c r="Z7" s="30">
        <f t="shared" si="13"/>
        <v>0.18956190202060519</v>
      </c>
      <c r="AA7" s="30"/>
      <c r="AB7" s="30"/>
      <c r="AC7" s="30"/>
    </row>
    <row r="8" spans="1:32" x14ac:dyDescent="0.5">
      <c r="A8">
        <v>1935</v>
      </c>
      <c r="B8" s="71">
        <f t="shared" si="0"/>
        <v>2276.1820571276048</v>
      </c>
      <c r="C8" s="73">
        <f>Data!AC479*251.1 / CPI!B24</f>
        <v>160141.31239270075</v>
      </c>
      <c r="D8" s="74">
        <f>Data!F37*251.1 / CPI!B24</f>
        <v>14258999.973941607</v>
      </c>
      <c r="E8" s="3">
        <f t="shared" si="1"/>
        <v>10.922231001771991</v>
      </c>
      <c r="F8" s="3">
        <f t="shared" si="14"/>
        <v>1.4571073434064896</v>
      </c>
      <c r="G8" s="73">
        <f t="shared" si="2"/>
        <v>358466.03726840136</v>
      </c>
      <c r="H8" s="73">
        <f t="shared" si="2"/>
        <v>1642893.496528405</v>
      </c>
      <c r="I8" s="75">
        <f t="shared" si="3"/>
        <v>-0.17555577786188831</v>
      </c>
      <c r="J8" s="75">
        <f t="shared" si="3"/>
        <v>0.86924053063435169</v>
      </c>
      <c r="K8" s="76">
        <f t="shared" si="4"/>
        <v>0.4303214734102716</v>
      </c>
      <c r="L8" s="76">
        <f t="shared" si="4"/>
        <v>0.80764220856811264</v>
      </c>
      <c r="M8" s="30">
        <f>Data!K154</f>
        <v>0.1736</v>
      </c>
      <c r="N8" s="30">
        <f>Data!K271 - M8</f>
        <v>0.29700000999999998</v>
      </c>
      <c r="O8" s="30">
        <f t="shared" si="5"/>
        <v>0.52939999000000004</v>
      </c>
      <c r="P8" s="30">
        <f>Data!P154</f>
        <v>0</v>
      </c>
      <c r="Q8" s="30">
        <f>Data!P271 - P8</f>
        <v>0</v>
      </c>
      <c r="R8" s="30">
        <f t="shared" si="6"/>
        <v>1</v>
      </c>
      <c r="S8" s="77">
        <f t="shared" si="7"/>
        <v>0.4303214734102716</v>
      </c>
      <c r="T8" s="77">
        <f t="shared" si="8"/>
        <v>0.37732073515784104</v>
      </c>
      <c r="U8" s="77">
        <f t="shared" si="9"/>
        <v>0.19235779143188736</v>
      </c>
      <c r="V8" s="30">
        <f t="shared" si="10"/>
        <v>0.5696785265897284</v>
      </c>
      <c r="W8" s="3">
        <f t="shared" si="11"/>
        <v>0.6971451060431082</v>
      </c>
      <c r="X8" s="30">
        <f t="shared" si="15"/>
        <v>-9.7515111253132503E-2</v>
      </c>
      <c r="Y8" s="30">
        <f t="shared" si="12"/>
        <v>-0.21287121982374291</v>
      </c>
      <c r="Z8" s="30">
        <f t="shared" si="13"/>
        <v>0.23024302227945359</v>
      </c>
      <c r="AA8" s="30"/>
      <c r="AB8" s="30"/>
      <c r="AC8" s="30"/>
    </row>
    <row r="9" spans="1:32" x14ac:dyDescent="0.5">
      <c r="A9" s="1">
        <v>1936</v>
      </c>
      <c r="B9" s="71">
        <f t="shared" si="0"/>
        <v>2321.705698270157</v>
      </c>
      <c r="C9" s="73">
        <f>Data!AC480*251.1 / CPI!B25</f>
        <v>169185.39928057551</v>
      </c>
      <c r="D9" s="74">
        <f>Data!F38*251.1 / CPI!B25</f>
        <v>17719064.612158272</v>
      </c>
      <c r="E9" s="3">
        <f t="shared" si="1"/>
        <v>10.928677010482451</v>
      </c>
      <c r="F9" s="3">
        <f t="shared" si="14"/>
        <v>1.4900157175549456</v>
      </c>
      <c r="G9" s="73">
        <f t="shared" si="2"/>
        <v>376325.21648942877</v>
      </c>
      <c r="H9" s="73">
        <f t="shared" si="2"/>
        <v>1785076.6390279124</v>
      </c>
      <c r="I9" s="75">
        <f t="shared" si="3"/>
        <v>-0.20846415201034499</v>
      </c>
      <c r="J9" s="75">
        <f t="shared" si="3"/>
        <v>0.83633215648589565</v>
      </c>
      <c r="K9" s="76">
        <f t="shared" si="4"/>
        <v>0.41743328514936678</v>
      </c>
      <c r="L9" s="76">
        <f t="shared" si="4"/>
        <v>0.79851596616969434</v>
      </c>
      <c r="M9" s="30">
        <f>Data!K155</f>
        <v>0.19239998999999999</v>
      </c>
      <c r="N9" s="30">
        <f>Data!K272 - M9</f>
        <v>0.28500000999999997</v>
      </c>
      <c r="O9" s="30">
        <f t="shared" si="5"/>
        <v>0.52260000000000006</v>
      </c>
      <c r="P9" s="30">
        <f>Data!P155</f>
        <v>0</v>
      </c>
      <c r="Q9" s="30">
        <f>Data!P272 - P9</f>
        <v>0</v>
      </c>
      <c r="R9" s="30">
        <f t="shared" si="6"/>
        <v>1</v>
      </c>
      <c r="S9" s="77">
        <f t="shared" si="7"/>
        <v>0.41743328514936678</v>
      </c>
      <c r="T9" s="77">
        <f t="shared" si="8"/>
        <v>0.38108268102032755</v>
      </c>
      <c r="U9" s="77">
        <f t="shared" si="9"/>
        <v>0.20148403383030566</v>
      </c>
      <c r="V9" s="30">
        <f t="shared" si="10"/>
        <v>0.58256671485063327</v>
      </c>
      <c r="W9" s="3">
        <f t="shared" si="11"/>
        <v>0.70793401062822436</v>
      </c>
      <c r="X9" s="30">
        <f t="shared" si="15"/>
        <v>-4.5085675810701997E-2</v>
      </c>
      <c r="Y9" s="30">
        <f t="shared" si="12"/>
        <v>-0.25213077320405008</v>
      </c>
      <c r="Z9" s="30">
        <f t="shared" si="13"/>
        <v>0.25193658146595177</v>
      </c>
      <c r="AA9" s="30"/>
      <c r="AB9" s="30"/>
      <c r="AC9" s="30"/>
    </row>
    <row r="10" spans="1:32" x14ac:dyDescent="0.5">
      <c r="A10">
        <v>1937</v>
      </c>
      <c r="B10" s="71">
        <f t="shared" si="0"/>
        <v>2368.1398122355599</v>
      </c>
      <c r="C10" s="73">
        <f>Data!AC481*251.1 / CPI!B26</f>
        <v>152612.99999999997</v>
      </c>
      <c r="D10" s="74">
        <f>Data!F39*251.1 / CPI!B26</f>
        <v>17772460.424999997</v>
      </c>
      <c r="E10" s="3">
        <f t="shared" si="1"/>
        <v>10.829753725385174</v>
      </c>
      <c r="F10" s="3">
        <f t="shared" si="14"/>
        <v>1.4872167689063842</v>
      </c>
      <c r="G10" s="73">
        <f t="shared" si="2"/>
        <v>339659.42516756937</v>
      </c>
      <c r="H10" s="73">
        <f t="shared" si="2"/>
        <v>1606449.9365054867</v>
      </c>
      <c r="I10" s="75">
        <f t="shared" si="3"/>
        <v>-0.20566520336178448</v>
      </c>
      <c r="J10" s="75">
        <f t="shared" si="3"/>
        <v>0.83913110513445588</v>
      </c>
      <c r="K10" s="76">
        <f t="shared" si="4"/>
        <v>0.41852622057553962</v>
      </c>
      <c r="L10" s="76">
        <f t="shared" si="4"/>
        <v>0.79930212855629523</v>
      </c>
      <c r="M10" s="30">
        <f>Data!K156</f>
        <v>0.19040000000000001</v>
      </c>
      <c r="N10" s="30">
        <f>Data!K273 - M10</f>
        <v>0.27480000999999998</v>
      </c>
      <c r="O10" s="30">
        <f t="shared" si="5"/>
        <v>0.53479999</v>
      </c>
      <c r="P10" s="30">
        <f>Data!P156</f>
        <v>0</v>
      </c>
      <c r="Q10" s="30">
        <f>Data!P273 - P10</f>
        <v>0</v>
      </c>
      <c r="R10" s="30">
        <f t="shared" si="6"/>
        <v>1</v>
      </c>
      <c r="S10" s="77">
        <f t="shared" si="7"/>
        <v>0.41852622057553962</v>
      </c>
      <c r="T10" s="77">
        <f t="shared" si="8"/>
        <v>0.38077590798075561</v>
      </c>
      <c r="U10" s="77">
        <f t="shared" si="9"/>
        <v>0.20069787144370477</v>
      </c>
      <c r="V10" s="30">
        <f t="shared" si="10"/>
        <v>0.58147377942446044</v>
      </c>
      <c r="W10" s="3">
        <f t="shared" si="11"/>
        <v>0.70702655956687877</v>
      </c>
      <c r="X10" s="30">
        <f t="shared" si="15"/>
        <v>-5.1310317192842181E-2</v>
      </c>
      <c r="Y10" s="30">
        <f t="shared" si="12"/>
        <v>-0.27831565957715909</v>
      </c>
      <c r="Z10" s="30">
        <f t="shared" si="13"/>
        <v>0.2778171682160453</v>
      </c>
      <c r="AA10" s="30"/>
      <c r="AB10" s="30"/>
      <c r="AC10" s="30"/>
    </row>
    <row r="11" spans="1:32" x14ac:dyDescent="0.5">
      <c r="A11" s="1">
        <v>1938</v>
      </c>
      <c r="B11" s="71">
        <f t="shared" si="0"/>
        <v>2415.5026084802712</v>
      </c>
      <c r="C11" s="73">
        <f>Data!AC482*251.1 / CPI!B27</f>
        <v>167658.22340425532</v>
      </c>
      <c r="D11" s="74">
        <f>Data!F40*251.1 / CPI!B27</f>
        <v>14425964.442765959</v>
      </c>
      <c r="E11" s="3">
        <f t="shared" si="1"/>
        <v>10.979670359469752</v>
      </c>
      <c r="F11" s="3">
        <f t="shared" si="14"/>
        <v>1.4491462605590562</v>
      </c>
      <c r="G11" s="73">
        <f t="shared" si="2"/>
        <v>375805.13061852171</v>
      </c>
      <c r="H11" s="73">
        <f t="shared" si="2"/>
        <v>1708093.9913749225</v>
      </c>
      <c r="I11" s="75">
        <f t="shared" si="3"/>
        <v>-0.16759469501445587</v>
      </c>
      <c r="J11" s="75">
        <f t="shared" si="3"/>
        <v>0.87720161348178516</v>
      </c>
      <c r="K11" s="76">
        <f t="shared" si="4"/>
        <v>0.43345107246741277</v>
      </c>
      <c r="L11" s="76">
        <f t="shared" si="4"/>
        <v>0.8098114300650614</v>
      </c>
      <c r="M11" s="30">
        <f>Data!K157</f>
        <v>0.1719</v>
      </c>
      <c r="N11" s="30">
        <f>Data!K274 - M11</f>
        <v>0.29270000000000002</v>
      </c>
      <c r="O11" s="30">
        <f t="shared" si="5"/>
        <v>0.5354000000000001</v>
      </c>
      <c r="P11" s="30">
        <f>Data!P157</f>
        <v>0</v>
      </c>
      <c r="Q11" s="30">
        <f>Data!P274 - P11</f>
        <v>0</v>
      </c>
      <c r="R11" s="30">
        <f t="shared" si="6"/>
        <v>1</v>
      </c>
      <c r="S11" s="77">
        <f t="shared" si="7"/>
        <v>0.43345107246741277</v>
      </c>
      <c r="T11" s="77">
        <f t="shared" si="8"/>
        <v>0.37636035759764863</v>
      </c>
      <c r="U11" s="77">
        <f t="shared" si="9"/>
        <v>0.1901885699349386</v>
      </c>
      <c r="V11" s="30">
        <f t="shared" si="10"/>
        <v>0.56654892753258723</v>
      </c>
      <c r="W11" s="3">
        <f t="shared" si="11"/>
        <v>0.69449577868197609</v>
      </c>
      <c r="X11" s="30">
        <f t="shared" si="15"/>
        <v>-9.6160194806632848E-2</v>
      </c>
      <c r="Y11" s="30">
        <f t="shared" si="12"/>
        <v>-0.2222879107982102</v>
      </c>
      <c r="Z11" s="30">
        <f t="shared" si="13"/>
        <v>0.23520284989086493</v>
      </c>
      <c r="AA11" s="30"/>
      <c r="AB11" s="30"/>
      <c r="AC11" s="30"/>
    </row>
    <row r="12" spans="1:32" x14ac:dyDescent="0.5">
      <c r="A12">
        <v>1939</v>
      </c>
      <c r="B12" s="71">
        <f t="shared" si="0"/>
        <v>2463.8126606498768</v>
      </c>
      <c r="C12" s="73">
        <f>Data!AC483*251.1 / CPI!B28</f>
        <v>185833.87122302159</v>
      </c>
      <c r="D12" s="74">
        <f>Data!F41*251.1 / CPI!B28</f>
        <v>17085026.995899279</v>
      </c>
      <c r="E12" s="3">
        <f t="shared" si="1"/>
        <v>11.046209527662297</v>
      </c>
      <c r="F12" s="3">
        <f t="shared" si="14"/>
        <v>1.4740412887402259</v>
      </c>
      <c r="G12" s="73">
        <f t="shared" si="2"/>
        <v>414682.91582755657</v>
      </c>
      <c r="H12" s="73">
        <f t="shared" si="2"/>
        <v>1934466.9064991451</v>
      </c>
      <c r="I12" s="75">
        <f t="shared" si="3"/>
        <v>-0.19248972319562543</v>
      </c>
      <c r="J12" s="75">
        <f t="shared" si="3"/>
        <v>0.85230658530061454</v>
      </c>
      <c r="K12" s="76">
        <f t="shared" si="4"/>
        <v>0.42367930854776176</v>
      </c>
      <c r="L12" s="76">
        <f t="shared" si="4"/>
        <v>0.80297802400881468</v>
      </c>
      <c r="M12" s="30">
        <f>Data!K158</f>
        <v>0.18479999999999999</v>
      </c>
      <c r="N12" s="30">
        <f>Data!K275 - M12</f>
        <v>0.29390000999999999</v>
      </c>
      <c r="O12" s="30">
        <f t="shared" si="5"/>
        <v>0.52129999000000005</v>
      </c>
      <c r="P12" s="30">
        <f>Data!P158</f>
        <v>0</v>
      </c>
      <c r="Q12" s="30">
        <f>Data!P275 - P12</f>
        <v>0</v>
      </c>
      <c r="R12" s="30">
        <f t="shared" si="6"/>
        <v>1</v>
      </c>
      <c r="S12" s="77">
        <f t="shared" si="7"/>
        <v>0.42367930854776176</v>
      </c>
      <c r="T12" s="77">
        <f t="shared" si="8"/>
        <v>0.37929871546105293</v>
      </c>
      <c r="U12" s="77">
        <f t="shared" si="9"/>
        <v>0.19702197599118532</v>
      </c>
      <c r="V12" s="30">
        <f t="shared" si="10"/>
        <v>0.5763206914522383</v>
      </c>
      <c r="W12" s="3">
        <f t="shared" si="11"/>
        <v>0.70272951548502749</v>
      </c>
      <c r="X12" s="30">
        <f t="shared" si="15"/>
        <v>-6.2033567218573227E-2</v>
      </c>
      <c r="Y12" s="30">
        <f t="shared" si="12"/>
        <v>-0.22514894456536017</v>
      </c>
      <c r="Z12" s="30">
        <f t="shared" si="13"/>
        <v>0.23041172765045093</v>
      </c>
      <c r="AA12" s="30"/>
      <c r="AB12" s="30"/>
      <c r="AC12" s="30"/>
    </row>
    <row r="13" spans="1:32" x14ac:dyDescent="0.5">
      <c r="A13" s="1">
        <v>1940</v>
      </c>
      <c r="B13" s="71">
        <f t="shared" si="0"/>
        <v>2513.0889138628745</v>
      </c>
      <c r="C13" s="73">
        <f>Data!AC484*251.1 / CPI!B29</f>
        <v>220022.78785714283</v>
      </c>
      <c r="D13" s="74">
        <f>Data!F42*251.1 / CPI!B29</f>
        <v>20261676.902142856</v>
      </c>
      <c r="E13" s="3">
        <f t="shared" si="1"/>
        <v>11.177742574285631</v>
      </c>
      <c r="F13" s="3">
        <f t="shared" si="14"/>
        <v>1.4991623173316091</v>
      </c>
      <c r="G13" s="73">
        <f t="shared" si="2"/>
        <v>488451.95282033057</v>
      </c>
      <c r="H13" s="73">
        <f t="shared" si="2"/>
        <v>2339190.8666454991</v>
      </c>
      <c r="I13" s="75">
        <f t="shared" si="3"/>
        <v>-0.21761075178700715</v>
      </c>
      <c r="J13" s="75">
        <f t="shared" si="3"/>
        <v>0.82718555670923277</v>
      </c>
      <c r="K13" s="76">
        <f t="shared" si="4"/>
        <v>0.41386620326457979</v>
      </c>
      <c r="L13" s="76">
        <f t="shared" si="4"/>
        <v>0.79593405162354314</v>
      </c>
      <c r="M13" s="30">
        <f>Data!K159</f>
        <v>0.19310000999999999</v>
      </c>
      <c r="N13" s="30">
        <f>Data!K276 - M13</f>
        <v>0.28419998000000002</v>
      </c>
      <c r="O13" s="30">
        <f t="shared" si="5"/>
        <v>0.52270000999999999</v>
      </c>
      <c r="P13" s="30">
        <f>Data!P159</f>
        <v>0</v>
      </c>
      <c r="Q13" s="30">
        <f>Data!P276 - P13</f>
        <v>0</v>
      </c>
      <c r="R13" s="30">
        <f t="shared" si="6"/>
        <v>1</v>
      </c>
      <c r="S13" s="77">
        <f t="shared" si="7"/>
        <v>0.41386620326457979</v>
      </c>
      <c r="T13" s="77">
        <f t="shared" si="8"/>
        <v>0.38206784835896335</v>
      </c>
      <c r="U13" s="77">
        <f t="shared" si="9"/>
        <v>0.20406594837645686</v>
      </c>
      <c r="V13" s="30">
        <f t="shared" si="10"/>
        <v>0.58613379673542021</v>
      </c>
      <c r="W13" s="3">
        <f t="shared" si="11"/>
        <v>0.7108862629536199</v>
      </c>
      <c r="X13" s="30">
        <f t="shared" si="15"/>
        <v>-5.3737227909416485E-2</v>
      </c>
      <c r="Y13" s="30">
        <f t="shared" si="12"/>
        <v>-0.25615311201745961</v>
      </c>
      <c r="Z13" s="30">
        <f t="shared" si="13"/>
        <v>0.26296857747005742</v>
      </c>
      <c r="AA13" s="30"/>
      <c r="AB13" s="30"/>
      <c r="AC13" s="30"/>
    </row>
    <row r="14" spans="1:32" x14ac:dyDescent="0.5">
      <c r="A14">
        <v>1941</v>
      </c>
      <c r="B14" s="71">
        <f t="shared" si="0"/>
        <v>2563.3506921401322</v>
      </c>
      <c r="C14" s="73">
        <f>Data!AC485*251.1 / CPI!B30</f>
        <v>248961.37959183674</v>
      </c>
      <c r="D14" s="74">
        <f>Data!F43*251.1 / CPI!B30</f>
        <v>23304746.442857146</v>
      </c>
      <c r="E14" s="3">
        <f t="shared" si="1"/>
        <v>11.271094805128655</v>
      </c>
      <c r="F14" s="3">
        <f t="shared" si="14"/>
        <v>1.5191828436681405</v>
      </c>
      <c r="G14" s="73">
        <f t="shared" si="2"/>
        <v>550182.85015224572</v>
      </c>
      <c r="H14" s="73">
        <f t="shared" si="2"/>
        <v>2690513.3875947045</v>
      </c>
      <c r="I14" s="75">
        <f t="shared" si="3"/>
        <v>-0.23763127812353957</v>
      </c>
      <c r="J14" s="75">
        <f t="shared" si="3"/>
        <v>0.80716503037270049</v>
      </c>
      <c r="K14" s="76">
        <f t="shared" si="4"/>
        <v>0.40608354443135453</v>
      </c>
      <c r="L14" s="76">
        <f t="shared" si="4"/>
        <v>0.79021429502275464</v>
      </c>
      <c r="M14" s="30">
        <f>Data!K160</f>
        <v>0.19490001000000001</v>
      </c>
      <c r="N14" s="30">
        <f>Data!K277 - M14</f>
        <v>0.26299997999999997</v>
      </c>
      <c r="O14" s="30">
        <f t="shared" si="5"/>
        <v>0.54210000999999997</v>
      </c>
      <c r="P14" s="30">
        <f>Data!P160</f>
        <v>0</v>
      </c>
      <c r="Q14" s="30">
        <f>Data!P277 - P14</f>
        <v>0</v>
      </c>
      <c r="R14" s="30">
        <f t="shared" si="6"/>
        <v>1</v>
      </c>
      <c r="S14" s="77">
        <f t="shared" si="7"/>
        <v>0.40608354443135453</v>
      </c>
      <c r="T14" s="77">
        <f t="shared" si="8"/>
        <v>0.38413075059140012</v>
      </c>
      <c r="U14" s="77">
        <f t="shared" si="9"/>
        <v>0.20978570497724536</v>
      </c>
      <c r="V14" s="30">
        <f t="shared" si="10"/>
        <v>0.59391645556864547</v>
      </c>
      <c r="W14" s="3">
        <f t="shared" si="11"/>
        <v>0.71727792164432658</v>
      </c>
      <c r="X14" s="30">
        <f t="shared" si="15"/>
        <v>-7.0956669706641495E-2</v>
      </c>
      <c r="Y14" s="30">
        <f t="shared" si="12"/>
        <v>-0.31533734387291201</v>
      </c>
      <c r="Z14" s="30">
        <f t="shared" si="13"/>
        <v>0.33494700150707057</v>
      </c>
      <c r="AA14" s="30"/>
      <c r="AB14" s="30"/>
      <c r="AC14" s="30"/>
    </row>
    <row r="15" spans="1:32" x14ac:dyDescent="0.5">
      <c r="A15" s="1">
        <v>1942</v>
      </c>
      <c r="B15" s="71">
        <f t="shared" si="0"/>
        <v>2614.6177059829347</v>
      </c>
      <c r="C15" s="73">
        <f>Data!AC486*251.1 / CPI!B31</f>
        <v>259640.48098159506</v>
      </c>
      <c r="D15" s="74">
        <f>Data!F44*251.1 / CPI!B31</f>
        <v>24190005.031288341</v>
      </c>
      <c r="E15" s="3">
        <f t="shared" si="1"/>
        <v>11.308664838276629</v>
      </c>
      <c r="F15" s="3">
        <f t="shared" si="14"/>
        <v>1.52209615291759</v>
      </c>
      <c r="G15" s="73">
        <f t="shared" si="2"/>
        <v>573383.20738180715</v>
      </c>
      <c r="H15" s="73">
        <f t="shared" si="2"/>
        <v>2812515.9250033796</v>
      </c>
      <c r="I15" s="75">
        <f t="shared" si="3"/>
        <v>-0.24054458737299012</v>
      </c>
      <c r="J15" s="75">
        <f t="shared" si="3"/>
        <v>0.80425172112324994</v>
      </c>
      <c r="K15" s="76">
        <f t="shared" si="4"/>
        <v>0.40495405099278459</v>
      </c>
      <c r="L15" s="76">
        <f t="shared" si="4"/>
        <v>0.78937419306519463</v>
      </c>
      <c r="M15" s="30">
        <f>Data!K161</f>
        <v>0.18490000000000001</v>
      </c>
      <c r="N15" s="30">
        <f>Data!K278 - M15</f>
        <v>0.22579999000000001</v>
      </c>
      <c r="O15" s="30">
        <f t="shared" si="5"/>
        <v>0.58930000999999987</v>
      </c>
      <c r="P15" s="30">
        <f>Data!P161</f>
        <v>0</v>
      </c>
      <c r="Q15" s="30">
        <f>Data!P278 - P15</f>
        <v>0</v>
      </c>
      <c r="R15" s="30">
        <f t="shared" si="6"/>
        <v>1</v>
      </c>
      <c r="S15" s="77">
        <f t="shared" si="7"/>
        <v>0.40495405099278459</v>
      </c>
      <c r="T15" s="77">
        <f t="shared" si="8"/>
        <v>0.38442014207241004</v>
      </c>
      <c r="U15" s="77">
        <f t="shared" si="9"/>
        <v>0.21062580693480537</v>
      </c>
      <c r="V15" s="30">
        <f t="shared" si="10"/>
        <v>0.59504594900721541</v>
      </c>
      <c r="W15" s="3">
        <f t="shared" si="11"/>
        <v>0.71819996650381501</v>
      </c>
      <c r="X15" s="30">
        <f t="shared" si="15"/>
        <v>-0.1221398617253403</v>
      </c>
      <c r="Y15" s="30">
        <f t="shared" si="12"/>
        <v>-0.41262185487286995</v>
      </c>
      <c r="Z15" s="30">
        <f t="shared" si="13"/>
        <v>0.45522685488704973</v>
      </c>
      <c r="AA15" s="30"/>
      <c r="AB15" s="30"/>
      <c r="AC15" s="30"/>
    </row>
    <row r="16" spans="1:32" x14ac:dyDescent="0.5">
      <c r="A16">
        <v>1943</v>
      </c>
      <c r="B16" s="71">
        <f t="shared" si="0"/>
        <v>2666.9100601025934</v>
      </c>
      <c r="C16" s="73">
        <f>Data!AC487*251.1 / CPI!B32</f>
        <v>253280.05600578032</v>
      </c>
      <c r="D16" s="74">
        <f>Data!F45*251.1 / CPI!B32</f>
        <v>23433400.945664741</v>
      </c>
      <c r="E16" s="3">
        <f t="shared" si="1"/>
        <v>11.296910689380566</v>
      </c>
      <c r="F16" s="3">
        <f t="shared" si="14"/>
        <v>1.5134995255078534</v>
      </c>
      <c r="G16" s="73">
        <f t="shared" si="2"/>
        <v>560474.13590490457</v>
      </c>
      <c r="H16" s="73">
        <f t="shared" si="2"/>
        <v>2724613.3685374022</v>
      </c>
      <c r="I16" s="75">
        <f t="shared" si="3"/>
        <v>-0.23194795996325285</v>
      </c>
      <c r="J16" s="75">
        <f t="shared" si="3"/>
        <v>0.8128483485329876</v>
      </c>
      <c r="K16" s="76">
        <f t="shared" si="4"/>
        <v>0.40828921672577723</v>
      </c>
      <c r="L16" s="76">
        <f t="shared" si="4"/>
        <v>0.79184749428838175</v>
      </c>
      <c r="M16" s="30">
        <f>Data!K162</f>
        <v>0.17180000000000001</v>
      </c>
      <c r="N16" s="30">
        <f>Data!K279 - M16</f>
        <v>0.20880000999999998</v>
      </c>
      <c r="O16" s="30">
        <f t="shared" si="5"/>
        <v>0.61939999000000001</v>
      </c>
      <c r="P16" s="30">
        <f>Data!P162</f>
        <v>0</v>
      </c>
      <c r="Q16" s="30">
        <f>Data!P279 - P16</f>
        <v>0</v>
      </c>
      <c r="R16" s="30">
        <f t="shared" si="6"/>
        <v>1</v>
      </c>
      <c r="S16" s="77">
        <f t="shared" si="7"/>
        <v>0.40828921672577723</v>
      </c>
      <c r="T16" s="77">
        <f t="shared" si="8"/>
        <v>0.38355827756260452</v>
      </c>
      <c r="U16" s="77">
        <f t="shared" si="9"/>
        <v>0.20815250571161825</v>
      </c>
      <c r="V16" s="30">
        <f t="shared" si="10"/>
        <v>0.59171078327422277</v>
      </c>
      <c r="W16" s="3">
        <f t="shared" si="11"/>
        <v>0.71547330577191559</v>
      </c>
      <c r="X16" s="30">
        <f t="shared" si="15"/>
        <v>-0.17464361328410949</v>
      </c>
      <c r="Y16" s="30">
        <f t="shared" si="12"/>
        <v>-0.45562376771827184</v>
      </c>
      <c r="Z16" s="30">
        <f t="shared" si="13"/>
        <v>0.51706183907377823</v>
      </c>
      <c r="AA16" s="30"/>
      <c r="AB16" s="30"/>
      <c r="AC16" s="30"/>
    </row>
    <row r="17" spans="1:29" x14ac:dyDescent="0.5">
      <c r="A17" s="1">
        <v>1944</v>
      </c>
      <c r="B17" s="71">
        <f t="shared" si="0"/>
        <v>2720.2482613046454</v>
      </c>
      <c r="C17" s="73">
        <f>Data!AC488*251.1 / CPI!B33</f>
        <v>239897.53017613629</v>
      </c>
      <c r="D17" s="74">
        <f>Data!F46*251.1 / CPI!B33</f>
        <v>20057198.875568181</v>
      </c>
      <c r="E17" s="3">
        <f t="shared" si="1"/>
        <v>11.286438371355427</v>
      </c>
      <c r="F17" s="3">
        <f t="shared" si="14"/>
        <v>1.4842700442957957</v>
      </c>
      <c r="G17" s="73">
        <f t="shared" si="2"/>
        <v>534243.48065768892</v>
      </c>
      <c r="H17" s="73">
        <f t="shared" si="2"/>
        <v>2518985.5865013502</v>
      </c>
      <c r="I17" s="75">
        <f t="shared" si="3"/>
        <v>-0.20271847875119522</v>
      </c>
      <c r="J17" s="75">
        <f t="shared" si="3"/>
        <v>0.84207782974504497</v>
      </c>
      <c r="K17" s="76">
        <f t="shared" si="4"/>
        <v>0.4196775395484541</v>
      </c>
      <c r="L17" s="76">
        <f t="shared" si="4"/>
        <v>0.80012780497867197</v>
      </c>
      <c r="M17" s="30">
        <f>Data!K163</f>
        <v>0.14839999000000001</v>
      </c>
      <c r="N17" s="30">
        <f>Data!K280 - M17</f>
        <v>0.21359999999999998</v>
      </c>
      <c r="O17" s="30">
        <f t="shared" si="5"/>
        <v>0.63800000999999995</v>
      </c>
      <c r="P17" s="30">
        <f>Data!P163</f>
        <v>0</v>
      </c>
      <c r="Q17" s="30">
        <f>Data!P280 - P17</f>
        <v>0</v>
      </c>
      <c r="R17" s="30">
        <f t="shared" si="6"/>
        <v>1</v>
      </c>
      <c r="S17" s="77">
        <f t="shared" si="7"/>
        <v>0.4196775395484541</v>
      </c>
      <c r="T17" s="77">
        <f t="shared" si="8"/>
        <v>0.38045026543021787</v>
      </c>
      <c r="U17" s="77">
        <f t="shared" si="9"/>
        <v>0.19987219502132803</v>
      </c>
      <c r="V17" s="30">
        <f t="shared" si="10"/>
        <v>0.5803224604515459</v>
      </c>
      <c r="W17" s="3">
        <f t="shared" si="11"/>
        <v>0.70606915481594967</v>
      </c>
      <c r="X17" s="30">
        <f t="shared" si="15"/>
        <v>-0.25752559036956346</v>
      </c>
      <c r="Y17" s="30">
        <f t="shared" si="12"/>
        <v>-0.43855999217543329</v>
      </c>
      <c r="Z17" s="30">
        <f t="shared" si="13"/>
        <v>0.52021480750779925</v>
      </c>
      <c r="AA17" s="30"/>
      <c r="AB17" s="30"/>
      <c r="AC17" s="30"/>
    </row>
    <row r="18" spans="1:29" x14ac:dyDescent="0.5">
      <c r="A18">
        <v>1945</v>
      </c>
      <c r="B18" s="71">
        <f t="shared" si="0"/>
        <v>2774.6532265307383</v>
      </c>
      <c r="C18" s="73">
        <f>Data!AC489*251.1 / CPI!B34</f>
        <v>205610.44499999998</v>
      </c>
      <c r="D18" s="74">
        <f>Data!F47*251.1 / CPI!B34</f>
        <v>16871364.359999999</v>
      </c>
      <c r="E18" s="3">
        <f t="shared" si="1"/>
        <v>11.179381564196715</v>
      </c>
      <c r="F18" s="3">
        <f t="shared" si="14"/>
        <v>1.452141211869707</v>
      </c>
      <c r="G18" s="73">
        <f t="shared" si="2"/>
        <v>460641.52095018962</v>
      </c>
      <c r="H18" s="73">
        <f t="shared" si="2"/>
        <v>2100250.5082811541</v>
      </c>
      <c r="I18" s="75">
        <f t="shared" si="3"/>
        <v>-0.17058964632510729</v>
      </c>
      <c r="J18" s="75">
        <f t="shared" si="3"/>
        <v>0.87420666217113319</v>
      </c>
      <c r="K18" s="76">
        <f t="shared" si="4"/>
        <v>0.43227321981188482</v>
      </c>
      <c r="L18" s="76">
        <f t="shared" si="4"/>
        <v>0.80899714071910989</v>
      </c>
      <c r="M18" s="30">
        <f>Data!K164</f>
        <v>0.14280000000000001</v>
      </c>
      <c r="N18" s="30">
        <f>Data!K281 - M18</f>
        <v>0.21540001</v>
      </c>
      <c r="O18" s="30">
        <f t="shared" si="5"/>
        <v>0.64179998999999999</v>
      </c>
      <c r="P18" s="30">
        <f>Data!P164</f>
        <v>0</v>
      </c>
      <c r="Q18" s="30">
        <f>Data!P281 - P18</f>
        <v>0</v>
      </c>
      <c r="R18" s="30">
        <f t="shared" si="6"/>
        <v>1</v>
      </c>
      <c r="S18" s="77">
        <f t="shared" si="7"/>
        <v>0.43227321981188482</v>
      </c>
      <c r="T18" s="77">
        <f t="shared" si="8"/>
        <v>0.37672392090722506</v>
      </c>
      <c r="U18" s="77">
        <f t="shared" si="9"/>
        <v>0.19100285928089011</v>
      </c>
      <c r="V18" s="30">
        <f t="shared" si="10"/>
        <v>0.56772678018811518</v>
      </c>
      <c r="W18" s="3">
        <f t="shared" si="11"/>
        <v>0.695494251078981</v>
      </c>
      <c r="X18" s="30">
        <f t="shared" si="15"/>
        <v>-0.25236721304785625</v>
      </c>
      <c r="Y18" s="30">
        <f t="shared" si="12"/>
        <v>-0.42822847702032152</v>
      </c>
      <c r="Z18" s="30">
        <f t="shared" si="13"/>
        <v>0.48470911586726628</v>
      </c>
      <c r="AA18" s="30"/>
      <c r="AB18" s="30"/>
      <c r="AC18" s="30"/>
    </row>
    <row r="19" spans="1:29" x14ac:dyDescent="0.5">
      <c r="A19" s="1">
        <v>1946</v>
      </c>
      <c r="B19" s="71">
        <f t="shared" si="0"/>
        <v>2830.1462910613532</v>
      </c>
      <c r="C19" s="73">
        <f>Data!AC490*251.1 / CPI!B35</f>
        <v>182696.49692307692</v>
      </c>
      <c r="D19" s="74">
        <f>Data!F48*251.1 / CPI!B35</f>
        <v>12729660.138</v>
      </c>
      <c r="E19" s="3">
        <f t="shared" si="1"/>
        <v>11.132928737682155</v>
      </c>
      <c r="F19" s="3">
        <f t="shared" si="14"/>
        <v>1.4018935983665821</v>
      </c>
      <c r="G19" s="73">
        <f t="shared" si="2"/>
        <v>412308.72217540123</v>
      </c>
      <c r="H19" s="73">
        <f t="shared" si="2"/>
        <v>1783736.5899972368</v>
      </c>
      <c r="I19" s="75">
        <f t="shared" si="3"/>
        <v>-0.12034203282198115</v>
      </c>
      <c r="J19" s="75">
        <f t="shared" si="3"/>
        <v>0.92445427567425975</v>
      </c>
      <c r="K19" s="76">
        <f t="shared" si="4"/>
        <v>0.45210610432960985</v>
      </c>
      <c r="L19" s="76">
        <f t="shared" si="4"/>
        <v>0.82237507634662754</v>
      </c>
      <c r="M19" s="30">
        <f>Data!K165</f>
        <v>0.1416</v>
      </c>
      <c r="N19" s="30">
        <f>Data!K282 - M19</f>
        <v>0.23049999999999998</v>
      </c>
      <c r="O19" s="30">
        <f t="shared" si="5"/>
        <v>0.62790000000000012</v>
      </c>
      <c r="P19" s="30">
        <f>Data!P165</f>
        <v>0</v>
      </c>
      <c r="Q19" s="30">
        <f>Data!P282 - P19</f>
        <v>0</v>
      </c>
      <c r="R19" s="30">
        <f t="shared" si="6"/>
        <v>1</v>
      </c>
      <c r="S19" s="77">
        <f t="shared" si="7"/>
        <v>0.45210610432960985</v>
      </c>
      <c r="T19" s="77">
        <f t="shared" si="8"/>
        <v>0.37026897201701769</v>
      </c>
      <c r="U19" s="77">
        <f t="shared" si="9"/>
        <v>0.17762492365337246</v>
      </c>
      <c r="V19" s="30">
        <f t="shared" si="10"/>
        <v>0.54789389567039015</v>
      </c>
      <c r="W19" s="3">
        <f t="shared" si="11"/>
        <v>0.67845525853187039</v>
      </c>
      <c r="X19" s="30">
        <f t="shared" si="15"/>
        <v>-0.20281457642551093</v>
      </c>
      <c r="Y19" s="30">
        <f t="shared" si="12"/>
        <v>-0.37747956912412817</v>
      </c>
      <c r="Z19" s="30">
        <f t="shared" si="13"/>
        <v>0.3888332716300309</v>
      </c>
      <c r="AA19" s="30"/>
      <c r="AB19" s="30"/>
      <c r="AC19" s="30"/>
    </row>
    <row r="20" spans="1:29" x14ac:dyDescent="0.5">
      <c r="A20">
        <v>1947</v>
      </c>
      <c r="B20" s="71">
        <f t="shared" si="0"/>
        <v>2886.7492168825802</v>
      </c>
      <c r="C20" s="73">
        <f>Data!AC491*251.1 / CPI!B36</f>
        <v>166707.8798206278</v>
      </c>
      <c r="D20" s="74">
        <f>Data!F49*251.1 / CPI!B36</f>
        <v>11929607.862780267</v>
      </c>
      <c r="E20" s="3">
        <f t="shared" si="1"/>
        <v>11.061039163618604</v>
      </c>
      <c r="F20" s="3">
        <f t="shared" si="14"/>
        <v>1.3877746023565853</v>
      </c>
      <c r="G20" s="73">
        <f t="shared" si="2"/>
        <v>376827.90541221102</v>
      </c>
      <c r="H20" s="73">
        <f t="shared" si="2"/>
        <v>1606366.9903921015</v>
      </c>
      <c r="I20" s="75">
        <f t="shared" si="3"/>
        <v>-0.10622303681198535</v>
      </c>
      <c r="J20" s="75">
        <f t="shared" si="3"/>
        <v>0.93857327168425531</v>
      </c>
      <c r="K20" s="76">
        <f t="shared" si="4"/>
        <v>0.45770269680729231</v>
      </c>
      <c r="L20" s="76">
        <f t="shared" si="4"/>
        <v>0.82602505944926885</v>
      </c>
      <c r="M20" s="30">
        <f>Data!K166</f>
        <v>0.14569999</v>
      </c>
      <c r="N20" s="30">
        <f>Data!K283 - M20</f>
        <v>0.22510000000000002</v>
      </c>
      <c r="O20" s="30">
        <f t="shared" si="5"/>
        <v>0.62920000999999992</v>
      </c>
      <c r="P20" s="30">
        <f>Data!P166</f>
        <v>0</v>
      </c>
      <c r="Q20" s="30">
        <f>Data!P283 - P20</f>
        <v>0</v>
      </c>
      <c r="R20" s="30">
        <f t="shared" si="6"/>
        <v>1</v>
      </c>
      <c r="S20" s="77">
        <f t="shared" si="7"/>
        <v>0.45770269680729231</v>
      </c>
      <c r="T20" s="77">
        <f t="shared" si="8"/>
        <v>0.36832236264197654</v>
      </c>
      <c r="U20" s="77">
        <f t="shared" si="9"/>
        <v>0.17397494055073115</v>
      </c>
      <c r="V20" s="30">
        <f t="shared" si="10"/>
        <v>0.54229730319270764</v>
      </c>
      <c r="W20" s="3">
        <f t="shared" si="11"/>
        <v>0.673557559411468</v>
      </c>
      <c r="X20" s="30">
        <f t="shared" si="15"/>
        <v>-0.16252312236017785</v>
      </c>
      <c r="Y20" s="30">
        <f t="shared" si="12"/>
        <v>-0.38885057538902179</v>
      </c>
      <c r="Z20" s="30">
        <f t="shared" si="13"/>
        <v>0.37469150693012754</v>
      </c>
      <c r="AA20" s="30"/>
      <c r="AB20" s="30"/>
      <c r="AC20" s="30"/>
    </row>
    <row r="21" spans="1:29" x14ac:dyDescent="0.5">
      <c r="A21" s="1">
        <v>1948</v>
      </c>
      <c r="B21" s="71">
        <f t="shared" si="0"/>
        <v>2944.4842012202316</v>
      </c>
      <c r="C21" s="73">
        <f>Data!AC492*251.1 / CPI!B37</f>
        <v>148922.09626556016</v>
      </c>
      <c r="D21" s="74">
        <f>Data!F50*251.1 / CPI!B37</f>
        <v>13114462.260995848</v>
      </c>
      <c r="E21" s="3">
        <f t="shared" si="1"/>
        <v>10.930819884109589</v>
      </c>
      <c r="F21" s="3">
        <f t="shared" si="14"/>
        <v>1.4002562052940137</v>
      </c>
      <c r="G21" s="73">
        <f t="shared" si="2"/>
        <v>336152.57097595697</v>
      </c>
      <c r="H21" s="73">
        <f t="shared" si="2"/>
        <v>1451782.8784064532</v>
      </c>
      <c r="I21" s="75">
        <f t="shared" si="3"/>
        <v>-0.11870463974941371</v>
      </c>
      <c r="J21" s="75">
        <f t="shared" si="3"/>
        <v>0.92609166874682758</v>
      </c>
      <c r="K21" s="76">
        <f t="shared" si="4"/>
        <v>0.45275468027674481</v>
      </c>
      <c r="L21" s="76">
        <f t="shared" si="4"/>
        <v>0.82280082837354773</v>
      </c>
      <c r="M21" s="30">
        <f>Data!K167</f>
        <v>0.15770000000000001</v>
      </c>
      <c r="N21" s="30">
        <f>Data!K284 - M21</f>
        <v>0.23139999</v>
      </c>
      <c r="O21" s="30">
        <f t="shared" si="5"/>
        <v>0.61090000999999994</v>
      </c>
      <c r="P21" s="30">
        <f>Data!P167</f>
        <v>0</v>
      </c>
      <c r="Q21" s="30">
        <f>Data!P284 - P21</f>
        <v>0</v>
      </c>
      <c r="R21" s="30">
        <f t="shared" si="6"/>
        <v>1</v>
      </c>
      <c r="S21" s="77">
        <f t="shared" si="7"/>
        <v>0.45275468027674481</v>
      </c>
      <c r="T21" s="77">
        <f t="shared" si="8"/>
        <v>0.37004614809680292</v>
      </c>
      <c r="U21" s="77">
        <f t="shared" si="9"/>
        <v>0.17719917162645227</v>
      </c>
      <c r="V21" s="30">
        <f t="shared" si="10"/>
        <v>0.54724531972325519</v>
      </c>
      <c r="W21" s="3">
        <f t="shared" si="11"/>
        <v>0.67788974003602309</v>
      </c>
      <c r="X21" s="30">
        <f t="shared" si="15"/>
        <v>-0.11004098635154924</v>
      </c>
      <c r="Y21" s="30">
        <f t="shared" si="12"/>
        <v>-0.37467261532076135</v>
      </c>
      <c r="Z21" s="30">
        <f t="shared" si="13"/>
        <v>0.34929584742578323</v>
      </c>
      <c r="AA21" s="30"/>
      <c r="AB21" s="30"/>
      <c r="AC21" s="30"/>
    </row>
    <row r="22" spans="1:29" x14ac:dyDescent="0.5">
      <c r="A22">
        <v>1949</v>
      </c>
      <c r="B22" s="71">
        <f t="shared" si="0"/>
        <v>3003.3738852446363</v>
      </c>
      <c r="C22" s="73">
        <f>Data!AC493*251.1 / CPI!B38</f>
        <v>163593.76008403359</v>
      </c>
      <c r="D22" s="74">
        <f>Data!F51*251.1 / CPI!B38</f>
        <v>12558606.133613447</v>
      </c>
      <c r="E22" s="3">
        <f t="shared" si="1"/>
        <v>11.039456361817297</v>
      </c>
      <c r="F22" s="3">
        <f t="shared" si="14"/>
        <v>1.3897375286797506</v>
      </c>
      <c r="G22" s="73">
        <f t="shared" si="2"/>
        <v>369710.91461760306</v>
      </c>
      <c r="H22" s="73">
        <f t="shared" si="2"/>
        <v>1579263.7369688745</v>
      </c>
      <c r="I22" s="75">
        <f t="shared" si="3"/>
        <v>-0.10818596313515075</v>
      </c>
      <c r="J22" s="75">
        <f t="shared" si="3"/>
        <v>0.93661034536108989</v>
      </c>
      <c r="K22" s="76">
        <f t="shared" si="4"/>
        <v>0.45692408969762166</v>
      </c>
      <c r="L22" s="76">
        <f t="shared" si="4"/>
        <v>0.82552048575223635</v>
      </c>
      <c r="M22" s="30">
        <f>Data!K168</f>
        <v>0.1517</v>
      </c>
      <c r="N22" s="30">
        <f>Data!K285 - M22</f>
        <v>0.2319</v>
      </c>
      <c r="O22" s="30">
        <f t="shared" si="5"/>
        <v>0.61640000000000006</v>
      </c>
      <c r="P22" s="30">
        <f>Data!P168</f>
        <v>0</v>
      </c>
      <c r="Q22" s="30">
        <f>Data!P285 - P22</f>
        <v>0</v>
      </c>
      <c r="R22" s="30">
        <f t="shared" si="6"/>
        <v>1</v>
      </c>
      <c r="S22" s="77">
        <f t="shared" si="7"/>
        <v>0.45692408969762166</v>
      </c>
      <c r="T22" s="77">
        <f t="shared" si="8"/>
        <v>0.36859639605461469</v>
      </c>
      <c r="U22" s="77">
        <f t="shared" si="9"/>
        <v>0.17447951424776365</v>
      </c>
      <c r="V22" s="30">
        <f t="shared" si="10"/>
        <v>0.54307591030237834</v>
      </c>
      <c r="W22" s="3">
        <f t="shared" si="11"/>
        <v>0.67424135967502252</v>
      </c>
      <c r="X22" s="30">
        <f t="shared" si="15"/>
        <v>-0.130556955903811</v>
      </c>
      <c r="Y22" s="30">
        <f t="shared" si="12"/>
        <v>-0.37085657244017245</v>
      </c>
      <c r="Z22" s="30">
        <f t="shared" si="13"/>
        <v>0.3490205789060381</v>
      </c>
      <c r="AA22" s="30"/>
      <c r="AB22" s="30"/>
      <c r="AC22" s="30"/>
    </row>
    <row r="23" spans="1:29" x14ac:dyDescent="0.5">
      <c r="A23" s="1">
        <v>1950</v>
      </c>
      <c r="B23" s="71">
        <f t="shared" si="0"/>
        <v>3063.4413629495293</v>
      </c>
      <c r="C23" s="73">
        <f>Data!AC494*251.1 / CPI!B39</f>
        <v>172055.59543568463</v>
      </c>
      <c r="D23" s="74">
        <f>Data!F52*251.1 / CPI!B39</f>
        <v>13902922.512448132</v>
      </c>
      <c r="E23" s="3">
        <f t="shared" si="1"/>
        <v>11.070826931972348</v>
      </c>
      <c r="F23" s="3">
        <f t="shared" si="14"/>
        <v>1.4033859062090868</v>
      </c>
      <c r="G23" s="73">
        <f t="shared" ref="G23:H42" si="16">_xlfn.LOGNORM.INV(G$2,$E23,$F23)</f>
        <v>388224.21955223836</v>
      </c>
      <c r="H23" s="73">
        <f t="shared" si="16"/>
        <v>1682162.5425841024</v>
      </c>
      <c r="I23" s="75">
        <f t="shared" si="3"/>
        <v>-0.12183434066448642</v>
      </c>
      <c r="J23" s="75">
        <f t="shared" si="3"/>
        <v>0.92296196783175322</v>
      </c>
      <c r="K23" s="76">
        <f t="shared" si="4"/>
        <v>0.4515151083060146</v>
      </c>
      <c r="L23" s="76">
        <f t="shared" si="4"/>
        <v>0.82198648736041524</v>
      </c>
      <c r="M23" s="30">
        <f>Data!K169</f>
        <v>0.1585</v>
      </c>
      <c r="N23" s="30">
        <f>Data!K286 - M23</f>
        <v>0.23140000000000002</v>
      </c>
      <c r="O23" s="30">
        <f t="shared" si="5"/>
        <v>0.61009999999999998</v>
      </c>
      <c r="P23" s="30">
        <f>Data!P169</f>
        <v>0</v>
      </c>
      <c r="Q23" s="30">
        <f>Data!P286 - P23</f>
        <v>0</v>
      </c>
      <c r="R23" s="30">
        <f t="shared" si="6"/>
        <v>1</v>
      </c>
      <c r="S23" s="77">
        <f t="shared" si="7"/>
        <v>0.4515151083060146</v>
      </c>
      <c r="T23" s="77">
        <f t="shared" si="8"/>
        <v>0.37047137905440064</v>
      </c>
      <c r="U23" s="77">
        <f t="shared" si="9"/>
        <v>0.17801351263958476</v>
      </c>
      <c r="V23" s="30">
        <f t="shared" si="10"/>
        <v>0.5484848916939854</v>
      </c>
      <c r="W23" s="3">
        <f t="shared" si="11"/>
        <v>0.67897010285814074</v>
      </c>
      <c r="X23" s="30">
        <f t="shared" si="15"/>
        <v>-0.10961815398302266</v>
      </c>
      <c r="Y23" s="30">
        <f t="shared" si="12"/>
        <v>-0.37539034569787677</v>
      </c>
      <c r="Z23" s="30">
        <f t="shared" si="13"/>
        <v>0.35122831722943015</v>
      </c>
      <c r="AA23" s="30"/>
      <c r="AB23" s="30"/>
      <c r="AC23" s="30"/>
    </row>
    <row r="24" spans="1:29" x14ac:dyDescent="0.5">
      <c r="A24">
        <v>1951</v>
      </c>
      <c r="B24" s="71">
        <f t="shared" si="0"/>
        <v>3124.7101902085201</v>
      </c>
      <c r="C24" s="73">
        <f>Data!AC495*251.1 / CPI!B40</f>
        <v>162653.88807692306</v>
      </c>
      <c r="D24" s="74">
        <f>Data!F53*251.1 / CPI!B40</f>
        <v>12447230.777307693</v>
      </c>
      <c r="E24" s="3">
        <f t="shared" si="1"/>
        <v>11.04489873237948</v>
      </c>
      <c r="F24" s="3">
        <f t="shared" si="14"/>
        <v>1.3816519849786906</v>
      </c>
      <c r="G24" s="73">
        <f t="shared" si="16"/>
        <v>367896.52544882026</v>
      </c>
      <c r="H24" s="73">
        <f t="shared" si="16"/>
        <v>1558293.5313001589</v>
      </c>
      <c r="I24" s="75">
        <f t="shared" si="3"/>
        <v>-0.10010041943409018</v>
      </c>
      <c r="J24" s="75">
        <f t="shared" si="3"/>
        <v>0.94469588906215063</v>
      </c>
      <c r="K24" s="76">
        <f t="shared" si="4"/>
        <v>0.46013230117300374</v>
      </c>
      <c r="L24" s="76">
        <f t="shared" si="4"/>
        <v>0.82759292179683919</v>
      </c>
      <c r="M24" s="30">
        <f>Data!K170</f>
        <v>0.14940000000000001</v>
      </c>
      <c r="N24" s="30">
        <f>Data!K287 - M24</f>
        <v>0.22769998999999999</v>
      </c>
      <c r="O24" s="30">
        <f t="shared" si="5"/>
        <v>0.62290001000000006</v>
      </c>
      <c r="P24" s="30">
        <f>Data!P170</f>
        <v>0</v>
      </c>
      <c r="Q24" s="30">
        <f>Data!P287 - P24</f>
        <v>0</v>
      </c>
      <c r="R24" s="30">
        <f t="shared" si="6"/>
        <v>1</v>
      </c>
      <c r="S24" s="77">
        <f t="shared" si="7"/>
        <v>0.46013230117300374</v>
      </c>
      <c r="T24" s="77">
        <f t="shared" si="8"/>
        <v>0.36746062062383544</v>
      </c>
      <c r="U24" s="77">
        <f t="shared" si="9"/>
        <v>0.17240707820316081</v>
      </c>
      <c r="V24" s="30">
        <f t="shared" si="10"/>
        <v>0.53986769882699626</v>
      </c>
      <c r="W24" s="3">
        <f t="shared" si="11"/>
        <v>0.67141871223853933</v>
      </c>
      <c r="X24" s="30">
        <f t="shared" si="15"/>
        <v>-0.13344625083228756</v>
      </c>
      <c r="Y24" s="30">
        <f t="shared" si="12"/>
        <v>-0.38034179114639488</v>
      </c>
      <c r="Z24" s="30">
        <f t="shared" si="13"/>
        <v>0.35374110535612613</v>
      </c>
      <c r="AA24" s="30"/>
      <c r="AB24" s="30"/>
      <c r="AC24" s="30"/>
    </row>
    <row r="25" spans="1:29" x14ac:dyDescent="0.5">
      <c r="A25" s="1">
        <v>1952</v>
      </c>
      <c r="B25" s="71">
        <f t="shared" si="0"/>
        <v>3187.2043940126905</v>
      </c>
      <c r="C25" s="73">
        <f>Data!AC496*251.1 / CPI!B41</f>
        <v>163443.35886792451</v>
      </c>
      <c r="D25" s="74">
        <f>Data!F54*251.1 / CPI!B41</f>
        <v>11886773.627547169</v>
      </c>
      <c r="E25" s="3">
        <f t="shared" si="1"/>
        <v>11.064849673181101</v>
      </c>
      <c r="F25" s="3">
        <f t="shared" si="14"/>
        <v>1.3706729056748872</v>
      </c>
      <c r="G25" s="73">
        <f t="shared" si="16"/>
        <v>370066.38272506936</v>
      </c>
      <c r="H25" s="73">
        <f t="shared" si="16"/>
        <v>1549606.635755233</v>
      </c>
      <c r="I25" s="75">
        <f t="shared" si="3"/>
        <v>-8.9121340130287038E-2</v>
      </c>
      <c r="J25" s="75">
        <f t="shared" si="3"/>
        <v>0.95567496836595334</v>
      </c>
      <c r="K25" s="76">
        <f t="shared" si="4"/>
        <v>0.46449273895232496</v>
      </c>
      <c r="L25" s="76">
        <f t="shared" si="4"/>
        <v>0.83038176359863547</v>
      </c>
      <c r="M25" s="30">
        <f>Data!K171</f>
        <v>0.14199999999999999</v>
      </c>
      <c r="N25" s="30">
        <f>Data!K288 - M25</f>
        <v>0.22309999999999999</v>
      </c>
      <c r="O25" s="30">
        <f t="shared" si="5"/>
        <v>0.63490000000000002</v>
      </c>
      <c r="P25" s="30">
        <f>Data!P171</f>
        <v>0</v>
      </c>
      <c r="Q25" s="30">
        <f>Data!P288 - P25</f>
        <v>0</v>
      </c>
      <c r="R25" s="30">
        <f t="shared" si="6"/>
        <v>1</v>
      </c>
      <c r="S25" s="77">
        <f t="shared" si="7"/>
        <v>0.46449273895232496</v>
      </c>
      <c r="T25" s="77">
        <f t="shared" si="8"/>
        <v>0.36588902464631051</v>
      </c>
      <c r="U25" s="77">
        <f t="shared" si="9"/>
        <v>0.16961823640136453</v>
      </c>
      <c r="V25" s="30">
        <f t="shared" si="10"/>
        <v>0.53550726104767499</v>
      </c>
      <c r="W25" s="3">
        <f t="shared" si="11"/>
        <v>0.66756062805320293</v>
      </c>
      <c r="X25" s="30">
        <f t="shared" si="15"/>
        <v>-0.16282586700177692</v>
      </c>
      <c r="Y25" s="30">
        <f t="shared" si="12"/>
        <v>-0.39025227604008794</v>
      </c>
      <c r="Z25" s="30">
        <f t="shared" si="13"/>
        <v>0.36686743786788334</v>
      </c>
      <c r="AA25" s="30"/>
      <c r="AB25" s="30"/>
      <c r="AC25" s="30"/>
    </row>
    <row r="26" spans="1:29" x14ac:dyDescent="0.5">
      <c r="A26">
        <v>1953</v>
      </c>
      <c r="B26" s="71">
        <f t="shared" si="0"/>
        <v>3250.9484818929445</v>
      </c>
      <c r="C26" s="73">
        <f>Data!AC497*251.1 / CPI!B42</f>
        <v>157654.11306741575</v>
      </c>
      <c r="D26" s="74">
        <f>Data!F55*251.1 / CPI!B42</f>
        <v>11309670.960674157</v>
      </c>
      <c r="E26" s="3">
        <f t="shared" si="1"/>
        <v>11.044612548100575</v>
      </c>
      <c r="F26" s="3">
        <f t="shared" si="14"/>
        <v>1.3590777802602434</v>
      </c>
      <c r="G26" s="73">
        <f t="shared" si="16"/>
        <v>357303.48765035876</v>
      </c>
      <c r="H26" s="73">
        <f t="shared" si="16"/>
        <v>1478147.6187414275</v>
      </c>
      <c r="I26" s="75">
        <f t="shared" si="3"/>
        <v>-7.7526214715642902E-2</v>
      </c>
      <c r="J26" s="75">
        <f t="shared" si="3"/>
        <v>0.96727009378059736</v>
      </c>
      <c r="K26" s="76">
        <f t="shared" si="4"/>
        <v>0.4691024688497975</v>
      </c>
      <c r="L26" s="76">
        <f t="shared" si="4"/>
        <v>0.83329548505854356</v>
      </c>
      <c r="M26" s="30">
        <f>Data!K172</f>
        <v>0.13259999</v>
      </c>
      <c r="N26" s="30">
        <f>Data!K289 - M26</f>
        <v>0.22230000999999999</v>
      </c>
      <c r="O26" s="30">
        <f t="shared" si="5"/>
        <v>0.64510000000000001</v>
      </c>
      <c r="P26" s="30">
        <f>Data!P172</f>
        <v>0</v>
      </c>
      <c r="Q26" s="30">
        <f>Data!P289 - P26</f>
        <v>0</v>
      </c>
      <c r="R26" s="30">
        <f t="shared" si="6"/>
        <v>1</v>
      </c>
      <c r="S26" s="77">
        <f t="shared" si="7"/>
        <v>0.4691024688497975</v>
      </c>
      <c r="T26" s="77">
        <f t="shared" si="8"/>
        <v>0.36419301620874606</v>
      </c>
      <c r="U26" s="77">
        <f t="shared" si="9"/>
        <v>0.16670451494145644</v>
      </c>
      <c r="V26" s="30">
        <f t="shared" si="10"/>
        <v>0.53089753115020244</v>
      </c>
      <c r="W26" s="3">
        <f t="shared" si="11"/>
        <v>0.66345442620588679</v>
      </c>
      <c r="X26" s="30">
        <f t="shared" si="15"/>
        <v>-0.20458069149136915</v>
      </c>
      <c r="Y26" s="30">
        <f t="shared" si="12"/>
        <v>-0.38960935518713147</v>
      </c>
      <c r="Z26" s="30">
        <f t="shared" si="13"/>
        <v>0.37517928989317539</v>
      </c>
      <c r="AA26" s="30"/>
      <c r="AB26" s="30"/>
      <c r="AC26" s="30"/>
    </row>
    <row r="27" spans="1:29" x14ac:dyDescent="0.5">
      <c r="A27" s="1">
        <v>1954</v>
      </c>
      <c r="B27" s="71">
        <f t="shared" si="0"/>
        <v>3315.9674515308034</v>
      </c>
      <c r="C27" s="73">
        <f>Data!AC498*251.1 / CPI!B43</f>
        <v>166215.13159851302</v>
      </c>
      <c r="D27" s="74">
        <f>Data!F56*251.1 / CPI!B43</f>
        <v>11147314.730855018</v>
      </c>
      <c r="E27" s="3">
        <f t="shared" si="1"/>
        <v>11.10523652067163</v>
      </c>
      <c r="F27" s="3">
        <f t="shared" si="14"/>
        <v>1.353367415821201</v>
      </c>
      <c r="G27" s="73">
        <f t="shared" si="16"/>
        <v>376866.63524319499</v>
      </c>
      <c r="H27" s="73">
        <f t="shared" si="16"/>
        <v>1549805.3978875421</v>
      </c>
      <c r="I27" s="75">
        <f t="shared" si="3"/>
        <v>-7.1815850276599993E-2</v>
      </c>
      <c r="J27" s="75">
        <f t="shared" si="3"/>
        <v>0.9729804582196393</v>
      </c>
      <c r="K27" s="76">
        <f t="shared" si="4"/>
        <v>0.4713742293473196</v>
      </c>
      <c r="L27" s="76">
        <f t="shared" si="4"/>
        <v>0.83471849272637688</v>
      </c>
      <c r="M27" s="30">
        <f>Data!K173</f>
        <v>0.13489999999999999</v>
      </c>
      <c r="N27" s="30">
        <f>Data!K290 - M27</f>
        <v>0.22409999999999999</v>
      </c>
      <c r="O27" s="30">
        <f t="shared" si="5"/>
        <v>0.64100000000000001</v>
      </c>
      <c r="P27" s="30">
        <f>Data!P173</f>
        <v>0</v>
      </c>
      <c r="Q27" s="30">
        <f>Data!P290 - P27</f>
        <v>0</v>
      </c>
      <c r="R27" s="30">
        <f t="shared" si="6"/>
        <v>1</v>
      </c>
      <c r="S27" s="77">
        <f t="shared" si="7"/>
        <v>0.4713742293473196</v>
      </c>
      <c r="T27" s="77">
        <f t="shared" si="8"/>
        <v>0.36334426337905729</v>
      </c>
      <c r="U27" s="77">
        <f t="shared" si="9"/>
        <v>0.16528150727362312</v>
      </c>
      <c r="V27" s="30">
        <f t="shared" si="10"/>
        <v>0.52862577065268046</v>
      </c>
      <c r="W27" s="3">
        <f t="shared" si="11"/>
        <v>0.6614202662919102</v>
      </c>
      <c r="X27" s="30">
        <f t="shared" si="15"/>
        <v>-0.18381673651684827</v>
      </c>
      <c r="Y27" s="30">
        <f t="shared" si="12"/>
        <v>-0.38322956329103053</v>
      </c>
      <c r="Z27" s="30">
        <f t="shared" si="13"/>
        <v>0.35985372150605244</v>
      </c>
      <c r="AA27" s="30"/>
      <c r="AB27" s="30"/>
      <c r="AC27" s="30"/>
    </row>
    <row r="28" spans="1:29" x14ac:dyDescent="0.5">
      <c r="A28">
        <v>1955</v>
      </c>
      <c r="B28" s="71">
        <f t="shared" si="0"/>
        <v>3382.2868005614196</v>
      </c>
      <c r="C28" s="73">
        <f>Data!AC499*251.1 / CPI!B44</f>
        <v>168786.97458582089</v>
      </c>
      <c r="D28" s="74">
        <f>Data!F57*251.1 / CPI!B44</f>
        <v>13072800.992910448</v>
      </c>
      <c r="E28" s="3">
        <f t="shared" si="1"/>
        <v>11.08884747118419</v>
      </c>
      <c r="F28" s="3">
        <f t="shared" si="14"/>
        <v>1.3766228402917824</v>
      </c>
      <c r="G28" s="73">
        <f t="shared" si="16"/>
        <v>381955.97311642434</v>
      </c>
      <c r="H28" s="73">
        <f t="shared" si="16"/>
        <v>1609366.3515941235</v>
      </c>
      <c r="I28" s="75">
        <f t="shared" si="3"/>
        <v>-9.5071274747182674E-2</v>
      </c>
      <c r="J28" s="75">
        <f t="shared" si="3"/>
        <v>0.9497250337490577</v>
      </c>
      <c r="K28" s="76">
        <f t="shared" si="4"/>
        <v>0.46212910706817545</v>
      </c>
      <c r="L28" s="76">
        <f t="shared" si="4"/>
        <v>0.82887400690129109</v>
      </c>
      <c r="M28" s="30">
        <f>Data!K174</f>
        <v>0.14129998999999999</v>
      </c>
      <c r="N28" s="30">
        <f>Data!K291 - M28</f>
        <v>0.22410000000000002</v>
      </c>
      <c r="O28" s="30">
        <f t="shared" si="5"/>
        <v>0.63460000999999999</v>
      </c>
      <c r="P28" s="30">
        <f>Data!P174</f>
        <v>0</v>
      </c>
      <c r="Q28" s="30">
        <f>Data!P291 - P28</f>
        <v>0</v>
      </c>
      <c r="R28" s="30">
        <f t="shared" si="6"/>
        <v>1</v>
      </c>
      <c r="S28" s="77">
        <f t="shared" si="7"/>
        <v>0.46212910706817545</v>
      </c>
      <c r="T28" s="77">
        <f t="shared" si="8"/>
        <v>0.36674489983311565</v>
      </c>
      <c r="U28" s="77">
        <f t="shared" si="9"/>
        <v>0.17112599309870891</v>
      </c>
      <c r="V28" s="30">
        <f t="shared" si="10"/>
        <v>0.53787089293182455</v>
      </c>
      <c r="W28" s="3">
        <f t="shared" si="11"/>
        <v>0.66965507205742614</v>
      </c>
      <c r="X28" s="30">
        <f t="shared" si="15"/>
        <v>-0.17429265162250762</v>
      </c>
      <c r="Y28" s="30">
        <f t="shared" si="12"/>
        <v>-0.38894855769780312</v>
      </c>
      <c r="Z28" s="30">
        <f t="shared" si="13"/>
        <v>0.37320934841349618</v>
      </c>
      <c r="AA28" s="30"/>
      <c r="AB28" s="30"/>
      <c r="AC28" s="30"/>
    </row>
    <row r="29" spans="1:29" x14ac:dyDescent="0.5">
      <c r="A29" s="1">
        <v>1956</v>
      </c>
      <c r="B29" s="71">
        <f t="shared" si="0"/>
        <v>3449.9325365726481</v>
      </c>
      <c r="C29" s="73">
        <f>Data!AC500*251.1 / CPI!B45</f>
        <v>165278.26654411765</v>
      </c>
      <c r="D29" s="74">
        <f>Data!F58*251.1 / CPI!B45</f>
        <v>12222581.449632354</v>
      </c>
      <c r="E29" s="3">
        <f t="shared" si="1"/>
        <v>11.08770811723342</v>
      </c>
      <c r="F29" s="3">
        <f t="shared" si="14"/>
        <v>1.3621142970174203</v>
      </c>
      <c r="G29" s="73">
        <f t="shared" si="16"/>
        <v>374492.78910464176</v>
      </c>
      <c r="H29" s="73">
        <f t="shared" si="16"/>
        <v>1554181.8385692346</v>
      </c>
      <c r="I29" s="75">
        <f t="shared" si="3"/>
        <v>-8.0562731472820268E-2</v>
      </c>
      <c r="J29" s="75">
        <f t="shared" si="3"/>
        <v>0.96423357702342027</v>
      </c>
      <c r="K29" s="76">
        <f t="shared" si="4"/>
        <v>0.4678948529012566</v>
      </c>
      <c r="L29" s="76">
        <f t="shared" si="4"/>
        <v>0.83253558306352304</v>
      </c>
      <c r="M29" s="30">
        <f>Data!K175</f>
        <v>0.13389999999999999</v>
      </c>
      <c r="N29" s="30">
        <f>Data!K292 - M29</f>
        <v>0.22369999999999998</v>
      </c>
      <c r="O29" s="30">
        <f t="shared" si="5"/>
        <v>0.64239999999999997</v>
      </c>
      <c r="P29" s="30">
        <f>Data!P175</f>
        <v>0</v>
      </c>
      <c r="Q29" s="30">
        <f>Data!P292 - P29</f>
        <v>0</v>
      </c>
      <c r="R29" s="30">
        <f t="shared" si="6"/>
        <v>1</v>
      </c>
      <c r="S29" s="77">
        <f t="shared" si="7"/>
        <v>0.4678948529012566</v>
      </c>
      <c r="T29" s="77">
        <f t="shared" si="8"/>
        <v>0.36464073016226645</v>
      </c>
      <c r="U29" s="77">
        <f t="shared" si="9"/>
        <v>0.16746441693647696</v>
      </c>
      <c r="V29" s="30">
        <f t="shared" si="10"/>
        <v>0.53210514709874346</v>
      </c>
      <c r="W29" s="3">
        <f t="shared" si="11"/>
        <v>0.66453289332914789</v>
      </c>
      <c r="X29" s="30">
        <f t="shared" si="15"/>
        <v>-0.20042715670881117</v>
      </c>
      <c r="Y29" s="30">
        <f t="shared" si="12"/>
        <v>-0.38651943818658796</v>
      </c>
      <c r="Z29" s="30">
        <f t="shared" si="13"/>
        <v>0.37295803964650687</v>
      </c>
      <c r="AA29" s="30"/>
      <c r="AB29" s="30"/>
      <c r="AC29" s="30"/>
    </row>
    <row r="30" spans="1:29" x14ac:dyDescent="0.5">
      <c r="A30">
        <v>1957</v>
      </c>
      <c r="B30" s="71">
        <f t="shared" si="0"/>
        <v>3518.9311873041011</v>
      </c>
      <c r="C30" s="73">
        <f>Data!AC501*251.1 / CPI!B46</f>
        <v>154338.91882206406</v>
      </c>
      <c r="D30" s="74">
        <f>Data!F59*251.1 / CPI!B46</f>
        <v>11498072.73950178</v>
      </c>
      <c r="E30" s="3">
        <f t="shared" si="1"/>
        <v>11.037505378771518</v>
      </c>
      <c r="F30" s="3">
        <f t="shared" si="14"/>
        <v>1.348629568150981</v>
      </c>
      <c r="G30" s="73">
        <f t="shared" si="16"/>
        <v>350054.35211812425</v>
      </c>
      <c r="H30" s="73">
        <f t="shared" si="16"/>
        <v>1432435.7966987605</v>
      </c>
      <c r="I30" s="75">
        <f t="shared" si="3"/>
        <v>-6.7078002606379639E-2</v>
      </c>
      <c r="J30" s="75">
        <f t="shared" si="3"/>
        <v>0.9777183058898602</v>
      </c>
      <c r="K30" s="76">
        <f t="shared" si="4"/>
        <v>0.47325980291165765</v>
      </c>
      <c r="L30" s="76">
        <f t="shared" si="4"/>
        <v>0.83589316731957819</v>
      </c>
      <c r="M30" s="30">
        <f>Data!K176</f>
        <v>0.13169998999999999</v>
      </c>
      <c r="N30" s="30">
        <f>Data!K293 - M30</f>
        <v>0.22590000999999998</v>
      </c>
      <c r="O30" s="30">
        <f t="shared" si="5"/>
        <v>0.64240000000000008</v>
      </c>
      <c r="P30" s="30">
        <f>Data!P176</f>
        <v>0</v>
      </c>
      <c r="Q30" s="30">
        <f>Data!P293 - P30</f>
        <v>0</v>
      </c>
      <c r="R30" s="30">
        <f t="shared" si="6"/>
        <v>1</v>
      </c>
      <c r="S30" s="77">
        <f t="shared" si="7"/>
        <v>0.47325980291165765</v>
      </c>
      <c r="T30" s="77">
        <f t="shared" si="8"/>
        <v>0.36263336440792054</v>
      </c>
      <c r="U30" s="77">
        <f t="shared" si="9"/>
        <v>0.16410683268042181</v>
      </c>
      <c r="V30" s="30">
        <f t="shared" si="10"/>
        <v>0.5267401970883423</v>
      </c>
      <c r="W30" s="3">
        <f t="shared" si="11"/>
        <v>0.6597265607797218</v>
      </c>
      <c r="X30" s="30">
        <f t="shared" si="15"/>
        <v>-0.19747406095838937</v>
      </c>
      <c r="Y30" s="30">
        <f t="shared" si="12"/>
        <v>-0.37705674057644445</v>
      </c>
      <c r="Z30" s="30">
        <f t="shared" si="13"/>
        <v>0.3573939642617725</v>
      </c>
      <c r="AA30" s="30"/>
      <c r="AB30" s="30"/>
      <c r="AC30" s="30"/>
    </row>
    <row r="31" spans="1:29" x14ac:dyDescent="0.5">
      <c r="A31" s="1">
        <v>1958</v>
      </c>
      <c r="B31" s="71">
        <f t="shared" si="0"/>
        <v>3589.3098110501833</v>
      </c>
      <c r="C31" s="73">
        <f>Data!AC502*251.1 / CPI!B47</f>
        <v>158731.69204152247</v>
      </c>
      <c r="D31" s="74">
        <f>Data!F60*251.1 / CPI!B47</f>
        <v>9914630.4996539801</v>
      </c>
      <c r="E31" s="3">
        <f t="shared" si="1"/>
        <v>11.102932877724808</v>
      </c>
      <c r="F31" s="3">
        <f t="shared" si="14"/>
        <v>1.3206344737715396</v>
      </c>
      <c r="G31" s="73">
        <f t="shared" si="16"/>
        <v>360552.93227637437</v>
      </c>
      <c r="H31" s="73">
        <f t="shared" si="16"/>
        <v>1432867.2693033884</v>
      </c>
      <c r="I31" s="75">
        <f t="shared" si="3"/>
        <v>-3.9082908226938953E-2</v>
      </c>
      <c r="J31" s="75">
        <f t="shared" si="3"/>
        <v>1.0057134002693002</v>
      </c>
      <c r="K31" s="76">
        <f t="shared" si="4"/>
        <v>0.48441214390828702</v>
      </c>
      <c r="L31" s="76">
        <f t="shared" si="4"/>
        <v>0.84272327237439482</v>
      </c>
      <c r="M31" s="30">
        <f>Data!K177</f>
        <v>0.12470000000000001</v>
      </c>
      <c r="N31" s="30">
        <f>Data!K294 - M31</f>
        <v>0.23229998999999998</v>
      </c>
      <c r="O31" s="30">
        <f t="shared" si="5"/>
        <v>0.64300000999999996</v>
      </c>
      <c r="P31" s="30">
        <f>Data!P177</f>
        <v>0</v>
      </c>
      <c r="Q31" s="30">
        <f>Data!P294 - P31</f>
        <v>0</v>
      </c>
      <c r="R31" s="30">
        <f t="shared" si="6"/>
        <v>1</v>
      </c>
      <c r="S31" s="77">
        <f t="shared" si="7"/>
        <v>0.48441214390828702</v>
      </c>
      <c r="T31" s="77">
        <f t="shared" si="8"/>
        <v>0.3583111284661078</v>
      </c>
      <c r="U31" s="77">
        <f t="shared" si="9"/>
        <v>0.15727672762560518</v>
      </c>
      <c r="V31" s="30">
        <f t="shared" si="10"/>
        <v>0.51558785609171298</v>
      </c>
      <c r="W31" s="3">
        <f t="shared" si="11"/>
        <v>0.64960819762366384</v>
      </c>
      <c r="X31" s="30">
        <f t="shared" si="15"/>
        <v>-0.20712999384850872</v>
      </c>
      <c r="Y31" s="30">
        <f t="shared" si="12"/>
        <v>-0.35168078369641553</v>
      </c>
      <c r="Z31" s="30">
        <f t="shared" si="13"/>
        <v>0.3273821023812693</v>
      </c>
      <c r="AA31" s="30"/>
      <c r="AB31" s="30"/>
      <c r="AC31" s="30"/>
    </row>
    <row r="32" spans="1:29" x14ac:dyDescent="0.5">
      <c r="A32">
        <v>1959</v>
      </c>
      <c r="B32" s="71">
        <f t="shared" si="0"/>
        <v>3661.0960072711869</v>
      </c>
      <c r="C32" s="73">
        <f>Data!AC503*251.1 / CPI!B48</f>
        <v>158915.22745360824</v>
      </c>
      <c r="D32" s="74">
        <f>Data!F61*251.1 / CPI!B48</f>
        <v>11287659.470103092</v>
      </c>
      <c r="E32" s="3">
        <f t="shared" si="1"/>
        <v>11.07973200950544</v>
      </c>
      <c r="F32" s="3">
        <f t="shared" si="14"/>
        <v>1.338950461254717</v>
      </c>
      <c r="G32" s="73">
        <f t="shared" si="16"/>
        <v>360651.02113910019</v>
      </c>
      <c r="H32" s="73">
        <f t="shared" si="16"/>
        <v>1460948.687306308</v>
      </c>
      <c r="I32" s="75">
        <f t="shared" si="3"/>
        <v>-5.7398895710116221E-2</v>
      </c>
      <c r="J32" s="75">
        <f t="shared" si="3"/>
        <v>0.98739741278612425</v>
      </c>
      <c r="K32" s="76">
        <f t="shared" si="4"/>
        <v>0.47711372132471441</v>
      </c>
      <c r="L32" s="76">
        <f t="shared" si="4"/>
        <v>0.83827607389461101</v>
      </c>
      <c r="M32" s="30">
        <f>Data!K178</f>
        <v>0.13070001000000001</v>
      </c>
      <c r="N32" s="30">
        <f>Data!K295 - M32</f>
        <v>0.23090000000000002</v>
      </c>
      <c r="O32" s="30">
        <f t="shared" si="5"/>
        <v>0.63839999000000003</v>
      </c>
      <c r="P32" s="30">
        <f>Data!P178</f>
        <v>0</v>
      </c>
      <c r="Q32" s="30">
        <f>Data!P295 - P32</f>
        <v>0</v>
      </c>
      <c r="R32" s="30">
        <f t="shared" si="6"/>
        <v>1</v>
      </c>
      <c r="S32" s="77">
        <f t="shared" si="7"/>
        <v>0.47711372132471441</v>
      </c>
      <c r="T32" s="77">
        <f t="shared" si="8"/>
        <v>0.36116235256989659</v>
      </c>
      <c r="U32" s="77">
        <f t="shared" si="9"/>
        <v>0.16172392610538899</v>
      </c>
      <c r="V32" s="30">
        <f t="shared" si="10"/>
        <v>0.52288627867528559</v>
      </c>
      <c r="W32" s="3">
        <f t="shared" si="11"/>
        <v>0.65624958947233436</v>
      </c>
      <c r="X32" s="30">
        <f t="shared" si="15"/>
        <v>-0.19183256833111972</v>
      </c>
      <c r="Y32" s="30">
        <f t="shared" si="12"/>
        <v>-0.36067533518651174</v>
      </c>
      <c r="Z32" s="30">
        <f t="shared" si="13"/>
        <v>0.33804575610919674</v>
      </c>
      <c r="AA32" s="30"/>
      <c r="AB32" s="30"/>
      <c r="AC32" s="30"/>
    </row>
    <row r="33" spans="1:29" x14ac:dyDescent="0.5">
      <c r="A33" s="1">
        <v>1960</v>
      </c>
      <c r="B33" s="71">
        <f t="shared" si="0"/>
        <v>3734.3179274166105</v>
      </c>
      <c r="C33" s="73">
        <f>Data!AC504*251.1 / CPI!B49</f>
        <v>157296.34395608105</v>
      </c>
      <c r="D33" s="74">
        <f>Data!F62*251.1 / CPI!B49</f>
        <v>11175289.48277027</v>
      </c>
      <c r="E33" s="3">
        <f t="shared" si="1"/>
        <v>11.076132160400075</v>
      </c>
      <c r="F33" s="3">
        <f t="shared" si="14"/>
        <v>1.3339825230374236</v>
      </c>
      <c r="G33" s="73">
        <f t="shared" si="16"/>
        <v>357074.43884886306</v>
      </c>
      <c r="H33" s="73">
        <f t="shared" si="16"/>
        <v>1438972.0563394092</v>
      </c>
      <c r="I33" s="75">
        <f t="shared" si="3"/>
        <v>-5.2430957492822401E-2</v>
      </c>
      <c r="J33" s="75">
        <f t="shared" si="3"/>
        <v>0.99236535100341683</v>
      </c>
      <c r="K33" s="76">
        <f t="shared" si="4"/>
        <v>0.47909265376036486</v>
      </c>
      <c r="L33" s="76">
        <f t="shared" si="4"/>
        <v>0.83949033260950334</v>
      </c>
      <c r="M33" s="30">
        <f>Data!K179</f>
        <v>0.12590000000000001</v>
      </c>
      <c r="N33" s="30">
        <f>Data!K296 - M33</f>
        <v>0.23039999999999999</v>
      </c>
      <c r="O33" s="30">
        <f t="shared" si="5"/>
        <v>0.64370000000000005</v>
      </c>
      <c r="P33" s="30">
        <f>Data!P179</f>
        <v>0</v>
      </c>
      <c r="Q33" s="30">
        <f>Data!P296 - P33</f>
        <v>0</v>
      </c>
      <c r="R33" s="30">
        <f t="shared" si="6"/>
        <v>1</v>
      </c>
      <c r="S33" s="77">
        <f t="shared" si="7"/>
        <v>0.47909265376036486</v>
      </c>
      <c r="T33" s="77">
        <f t="shared" si="8"/>
        <v>0.36039767884913848</v>
      </c>
      <c r="U33" s="77">
        <f t="shared" si="9"/>
        <v>0.16050966739049666</v>
      </c>
      <c r="V33" s="30">
        <f t="shared" si="10"/>
        <v>0.52090734623963519</v>
      </c>
      <c r="W33" s="3">
        <f t="shared" si="11"/>
        <v>0.65445620564904616</v>
      </c>
      <c r="X33" s="30">
        <f t="shared" si="15"/>
        <v>-0.21562356930375015</v>
      </c>
      <c r="Y33" s="30">
        <f t="shared" si="12"/>
        <v>-0.36070620450237467</v>
      </c>
      <c r="Z33" s="30">
        <f t="shared" si="13"/>
        <v>0.34358144494106435</v>
      </c>
      <c r="AA33" s="30"/>
      <c r="AB33" s="30"/>
      <c r="AC33" s="30"/>
    </row>
    <row r="34" spans="1:29" x14ac:dyDescent="0.5">
      <c r="A34">
        <v>1961</v>
      </c>
      <c r="B34" s="71">
        <f t="shared" si="0"/>
        <v>3809.0042859649429</v>
      </c>
      <c r="C34" s="73">
        <f>Data!AC505*251.1 / CPI!B50</f>
        <v>162895.0364548495</v>
      </c>
      <c r="D34" s="74">
        <f>Data!F63*251.1 / CPI!B50</f>
        <v>11136654.511705685</v>
      </c>
      <c r="E34" s="3">
        <f t="shared" si="1"/>
        <v>11.116271814473775</v>
      </c>
      <c r="F34" s="3">
        <f t="shared" si="14"/>
        <v>1.3301048904215937</v>
      </c>
      <c r="G34" s="73">
        <f t="shared" si="16"/>
        <v>369856.2956832163</v>
      </c>
      <c r="H34" s="73">
        <f t="shared" si="16"/>
        <v>1484455.354885225</v>
      </c>
      <c r="I34" s="75">
        <f t="shared" si="3"/>
        <v>-4.8553324876993577E-2</v>
      </c>
      <c r="J34" s="75">
        <f t="shared" si="3"/>
        <v>0.99624298361924746</v>
      </c>
      <c r="K34" s="76">
        <f t="shared" si="4"/>
        <v>0.48063763370676404</v>
      </c>
      <c r="L34" s="76">
        <f t="shared" si="4"/>
        <v>0.84043395036767443</v>
      </c>
      <c r="M34" s="30">
        <f>Data!K180</f>
        <v>0.1245</v>
      </c>
      <c r="N34" s="30">
        <f>Data!K297 - M34</f>
        <v>0.23380000000000001</v>
      </c>
      <c r="O34" s="30">
        <f t="shared" si="5"/>
        <v>0.64169999999999994</v>
      </c>
      <c r="P34" s="30">
        <f>Data!P180</f>
        <v>0</v>
      </c>
      <c r="Q34" s="30">
        <f>Data!P297 - P34</f>
        <v>0</v>
      </c>
      <c r="R34" s="30">
        <f t="shared" si="6"/>
        <v>1</v>
      </c>
      <c r="S34" s="77">
        <f t="shared" si="7"/>
        <v>0.48063763370676404</v>
      </c>
      <c r="T34" s="77">
        <f t="shared" si="8"/>
        <v>0.35979631666091039</v>
      </c>
      <c r="U34" s="77">
        <f t="shared" si="9"/>
        <v>0.15956604963232557</v>
      </c>
      <c r="V34" s="30">
        <f t="shared" si="10"/>
        <v>0.51936236629323596</v>
      </c>
      <c r="W34" s="3">
        <f t="shared" si="11"/>
        <v>0.65305227665619836</v>
      </c>
      <c r="X34" s="30">
        <f t="shared" si="15"/>
        <v>-0.21975883788014605</v>
      </c>
      <c r="Y34" s="30">
        <f t="shared" si="12"/>
        <v>-0.35018790028263536</v>
      </c>
      <c r="Z34" s="30">
        <f t="shared" si="13"/>
        <v>0.33510144649118279</v>
      </c>
      <c r="AA34" s="30"/>
      <c r="AB34" s="30"/>
      <c r="AC34" s="30"/>
    </row>
    <row r="35" spans="1:29" x14ac:dyDescent="0.5">
      <c r="A35" s="1">
        <v>1962</v>
      </c>
      <c r="B35" s="71">
        <f t="shared" si="0"/>
        <v>3885.1843716842418</v>
      </c>
      <c r="C35" s="73">
        <f>Data!AC506*251.1 / CPI!B51</f>
        <v>166277.26427483445</v>
      </c>
      <c r="D35" s="74">
        <f>Data!F64*251.1 / CPI!B51</f>
        <v>11721874.312251657</v>
      </c>
      <c r="E35" s="3">
        <f t="shared" si="1"/>
        <v>11.129845141378119</v>
      </c>
      <c r="F35" s="3">
        <f t="shared" si="14"/>
        <v>1.3353402557642513</v>
      </c>
      <c r="G35" s="73">
        <f t="shared" si="16"/>
        <v>377434.58077275514</v>
      </c>
      <c r="H35" s="73">
        <f t="shared" si="16"/>
        <v>1523180.447533963</v>
      </c>
      <c r="I35" s="75">
        <f t="shared" ref="I35:J66" si="17">(LN(G35)-($E35+$F35^2))/$F35</f>
        <v>-5.3788690219650041E-2</v>
      </c>
      <c r="J35" s="75">
        <f t="shared" si="17"/>
        <v>0.9910076182765889</v>
      </c>
      <c r="K35" s="76">
        <f t="shared" ref="K35:L66" si="18">_xlfn.NORM.DIST(I35,0,1,TRUE)</f>
        <v>0.47855176018645973</v>
      </c>
      <c r="L35" s="76">
        <f t="shared" si="18"/>
        <v>0.83915906984909694</v>
      </c>
      <c r="M35" s="30">
        <f>Data!K181</f>
        <v>0.12570000000000001</v>
      </c>
      <c r="N35" s="30">
        <f>Data!K298 - M35</f>
        <v>0.23520000999999999</v>
      </c>
      <c r="O35" s="30">
        <f t="shared" si="5"/>
        <v>0.63909998999999995</v>
      </c>
      <c r="P35" s="30">
        <f>Data!P181</f>
        <v>0.1007</v>
      </c>
      <c r="Q35" s="30">
        <f>Data!P298 - P35</f>
        <v>0.21949999999999997</v>
      </c>
      <c r="R35" s="30">
        <f t="shared" si="6"/>
        <v>0.67979999999999996</v>
      </c>
      <c r="S35" s="77">
        <f t="shared" si="7"/>
        <v>0.47855176018645973</v>
      </c>
      <c r="T35" s="77">
        <f t="shared" si="8"/>
        <v>0.36060730966263721</v>
      </c>
      <c r="U35" s="77">
        <f t="shared" si="9"/>
        <v>0.16084093015090306</v>
      </c>
      <c r="V35" s="30">
        <f t="shared" si="10"/>
        <v>0.52144823981354027</v>
      </c>
      <c r="W35" s="3">
        <f t="shared" si="11"/>
        <v>0.65494692691085854</v>
      </c>
      <c r="X35" s="30">
        <f t="shared" si="15"/>
        <v>-0.21848251012931452</v>
      </c>
      <c r="Y35" s="30">
        <f t="shared" si="12"/>
        <v>-0.34776693733679676</v>
      </c>
      <c r="Z35" s="30">
        <f t="shared" si="13"/>
        <v>0.33548770095628799</v>
      </c>
      <c r="AA35" s="30"/>
      <c r="AB35" s="30"/>
      <c r="AC35" s="30"/>
    </row>
    <row r="36" spans="1:29" x14ac:dyDescent="0.5">
      <c r="A36">
        <v>1963</v>
      </c>
      <c r="B36" s="71">
        <f t="shared" si="0"/>
        <v>3962.8880591179268</v>
      </c>
      <c r="C36" s="73">
        <f>Data!AC507*251.1 / CPI!B52</f>
        <v>170954.78002941175</v>
      </c>
      <c r="D36" s="74">
        <f>Data!F65*251.1 / CPI!B52</f>
        <v>12317891.029411765</v>
      </c>
      <c r="E36" s="3">
        <f t="shared" si="1"/>
        <v>11.150944498961856</v>
      </c>
      <c r="F36" s="3">
        <f t="shared" si="14"/>
        <v>1.340305828741293</v>
      </c>
      <c r="G36" s="73">
        <f t="shared" si="16"/>
        <v>387943.71051702119</v>
      </c>
      <c r="H36" s="73">
        <f t="shared" si="16"/>
        <v>1573734.6558203306</v>
      </c>
      <c r="I36" s="75">
        <f t="shared" si="17"/>
        <v>-5.8754263196693378E-2</v>
      </c>
      <c r="J36" s="75">
        <f t="shared" si="17"/>
        <v>0.98604204529954664</v>
      </c>
      <c r="K36" s="76">
        <f t="shared" si="18"/>
        <v>0.47657391908468216</v>
      </c>
      <c r="L36" s="76">
        <f t="shared" si="18"/>
        <v>0.83794375951171629</v>
      </c>
      <c r="M36" s="30">
        <f>Data!K182</f>
        <v>0.12745000000000001</v>
      </c>
      <c r="N36" s="30">
        <f>Data!K299 - M36</f>
        <v>0.23744999999999999</v>
      </c>
      <c r="O36" s="30">
        <f t="shared" si="5"/>
        <v>0.6351</v>
      </c>
      <c r="P36" s="30">
        <f>Data!P182</f>
        <v>0</v>
      </c>
      <c r="Q36" s="30">
        <f>Data!P299 - P36</f>
        <v>0</v>
      </c>
      <c r="R36" s="30">
        <f t="shared" si="6"/>
        <v>1</v>
      </c>
      <c r="S36" s="77">
        <f t="shared" si="7"/>
        <v>0.47657391908468216</v>
      </c>
      <c r="T36" s="77">
        <f t="shared" si="8"/>
        <v>0.36136984042703413</v>
      </c>
      <c r="U36" s="77">
        <f t="shared" si="9"/>
        <v>0.16205624048828371</v>
      </c>
      <c r="V36" s="30">
        <f t="shared" si="10"/>
        <v>0.52342608091531784</v>
      </c>
      <c r="W36" s="3">
        <f t="shared" si="11"/>
        <v>0.65673783190257429</v>
      </c>
      <c r="X36" s="30">
        <f t="shared" si="15"/>
        <v>-0.21354463354211684</v>
      </c>
      <c r="Y36" s="30">
        <f t="shared" si="12"/>
        <v>-0.34291694149295049</v>
      </c>
      <c r="Z36" s="30">
        <f t="shared" si="13"/>
        <v>0.33263692066864747</v>
      </c>
      <c r="AA36" s="30"/>
      <c r="AB36" s="30"/>
      <c r="AC36" s="30"/>
    </row>
    <row r="37" spans="1:29" x14ac:dyDescent="0.5">
      <c r="A37" s="1">
        <v>1964</v>
      </c>
      <c r="B37" s="71">
        <f t="shared" si="0"/>
        <v>4042.1458203002853</v>
      </c>
      <c r="C37" s="73">
        <f>Data!AC508*251.1 / CPI!B53</f>
        <v>177497.73809999999</v>
      </c>
      <c r="D37" s="74">
        <f>Data!F66*251.1 / CPI!B53</f>
        <v>13019233.68</v>
      </c>
      <c r="E37" s="3">
        <f t="shared" si="1"/>
        <v>11.180539398936457</v>
      </c>
      <c r="F37" s="3">
        <f t="shared" si="14"/>
        <v>1.3462345603804442</v>
      </c>
      <c r="G37" s="73">
        <f t="shared" si="16"/>
        <v>402644.13349608559</v>
      </c>
      <c r="H37" s="73">
        <f t="shared" si="16"/>
        <v>1643517.477649455</v>
      </c>
      <c r="I37" s="75">
        <f t="shared" si="17"/>
        <v>-6.468299483584361E-2</v>
      </c>
      <c r="J37" s="75">
        <f t="shared" si="17"/>
        <v>0.98011331366039733</v>
      </c>
      <c r="K37" s="76">
        <f t="shared" si="18"/>
        <v>0.47421320131025774</v>
      </c>
      <c r="L37" s="76">
        <f t="shared" si="18"/>
        <v>0.83648490600627734</v>
      </c>
      <c r="M37" s="30">
        <f>Data!K183</f>
        <v>0.12920000000000001</v>
      </c>
      <c r="N37" s="30">
        <f>Data!K300 - M37</f>
        <v>0.24060000000000001</v>
      </c>
      <c r="O37" s="30">
        <f t="shared" si="5"/>
        <v>0.63019999999999998</v>
      </c>
      <c r="P37" s="30">
        <f>Data!P183</f>
        <v>0.1047</v>
      </c>
      <c r="Q37" s="30">
        <f>Data!P300 - P37</f>
        <v>0.22499998999999998</v>
      </c>
      <c r="R37" s="30">
        <f t="shared" si="6"/>
        <v>0.67030001000000006</v>
      </c>
      <c r="S37" s="77">
        <f t="shared" si="7"/>
        <v>0.47421320131025774</v>
      </c>
      <c r="T37" s="77">
        <f t="shared" si="8"/>
        <v>0.3622717046960196</v>
      </c>
      <c r="U37" s="77">
        <f t="shared" si="9"/>
        <v>0.16351509399372266</v>
      </c>
      <c r="V37" s="30">
        <f t="shared" si="10"/>
        <v>0.52578679868974221</v>
      </c>
      <c r="W37" s="3">
        <f t="shared" si="11"/>
        <v>0.65886832101335835</v>
      </c>
      <c r="X37" s="30">
        <f t="shared" si="15"/>
        <v>-0.20985887697340044</v>
      </c>
      <c r="Y37" s="30">
        <f t="shared" si="12"/>
        <v>-0.33585759836836748</v>
      </c>
      <c r="Z37" s="30">
        <f t="shared" si="13"/>
        <v>0.32893811951828522</v>
      </c>
      <c r="AA37" s="30"/>
      <c r="AB37" s="30"/>
      <c r="AC37" s="30"/>
    </row>
    <row r="38" spans="1:29" x14ac:dyDescent="0.5">
      <c r="A38">
        <v>1965</v>
      </c>
      <c r="B38" s="71">
        <f t="shared" si="0"/>
        <v>4122.9887367062911</v>
      </c>
      <c r="C38" s="73">
        <f>Data!AC509*251.1 / CPI!B54</f>
        <v>182914.79939999999</v>
      </c>
      <c r="D38" s="74">
        <f>Data!F67*251.1 / CPI!B54</f>
        <v>13379633.125714287</v>
      </c>
      <c r="E38" s="3">
        <f t="shared" si="1"/>
        <v>11.208917700839748</v>
      </c>
      <c r="F38" s="3">
        <f t="shared" si="14"/>
        <v>1.3474850986337346</v>
      </c>
      <c r="G38" s="73">
        <f t="shared" si="16"/>
        <v>414898.56122093427</v>
      </c>
      <c r="H38" s="73">
        <f t="shared" si="16"/>
        <v>1695751.893373295</v>
      </c>
      <c r="I38" s="75">
        <f t="shared" si="17"/>
        <v>-6.5933533089134286E-2</v>
      </c>
      <c r="J38" s="75">
        <f t="shared" si="17"/>
        <v>0.97886277540710731</v>
      </c>
      <c r="K38" s="76">
        <f t="shared" si="18"/>
        <v>0.47371537155707982</v>
      </c>
      <c r="L38" s="76">
        <f t="shared" si="18"/>
        <v>0.83617610644738172</v>
      </c>
      <c r="M38" s="30">
        <f>Data!K184</f>
        <v>0.12779499999999999</v>
      </c>
      <c r="N38" s="30">
        <f>Data!K301 - M38</f>
        <v>0.23854999999999998</v>
      </c>
      <c r="O38" s="30">
        <f t="shared" si="5"/>
        <v>0.63365499999999997</v>
      </c>
      <c r="P38" s="30">
        <f>Data!P184</f>
        <v>0</v>
      </c>
      <c r="Q38" s="30">
        <f>Data!P301 - P38</f>
        <v>0</v>
      </c>
      <c r="R38" s="30">
        <f t="shared" si="6"/>
        <v>1</v>
      </c>
      <c r="S38" s="77">
        <f t="shared" si="7"/>
        <v>0.47371537155707982</v>
      </c>
      <c r="T38" s="77">
        <f t="shared" si="8"/>
        <v>0.36246073489030189</v>
      </c>
      <c r="U38" s="77">
        <f t="shared" si="9"/>
        <v>0.16382389355261828</v>
      </c>
      <c r="V38" s="30">
        <f t="shared" si="10"/>
        <v>0.52628462844292012</v>
      </c>
      <c r="W38" s="3">
        <f t="shared" si="11"/>
        <v>0.65931661827561894</v>
      </c>
      <c r="X38" s="30">
        <f t="shared" si="15"/>
        <v>-0.21992453464089012</v>
      </c>
      <c r="Y38" s="30">
        <f t="shared" si="12"/>
        <v>-0.34185974634687888</v>
      </c>
      <c r="Z38" s="30">
        <f t="shared" si="13"/>
        <v>0.33762811605037468</v>
      </c>
      <c r="AA38" s="30"/>
      <c r="AB38" s="30"/>
      <c r="AC38" s="30"/>
    </row>
    <row r="39" spans="1:29" x14ac:dyDescent="0.5">
      <c r="A39" s="1">
        <v>1966</v>
      </c>
      <c r="B39" s="71">
        <f t="shared" si="0"/>
        <v>4205.448511440417</v>
      </c>
      <c r="C39" s="73">
        <f>Data!AC510*251.1 / CPI!B55</f>
        <v>180474.25</v>
      </c>
      <c r="D39" s="74">
        <f>Data!F68*251.1 / CPI!B55</f>
        <v>13517663.15</v>
      </c>
      <c r="E39" s="3">
        <f t="shared" si="1"/>
        <v>11.197626365997367</v>
      </c>
      <c r="F39" s="3">
        <f t="shared" si="14"/>
        <v>1.3458952569209268</v>
      </c>
      <c r="G39" s="73">
        <f t="shared" si="16"/>
        <v>409405.15329520445</v>
      </c>
      <c r="H39" s="73">
        <f t="shared" si="16"/>
        <v>1670522.3762268545</v>
      </c>
      <c r="I39" s="75">
        <f t="shared" si="17"/>
        <v>-6.4343691376326173E-2</v>
      </c>
      <c r="J39" s="75">
        <f t="shared" si="17"/>
        <v>0.98045261711991372</v>
      </c>
      <c r="K39" s="76">
        <f t="shared" si="18"/>
        <v>0.4743482824109701</v>
      </c>
      <c r="L39" s="76">
        <f t="shared" si="18"/>
        <v>0.8365686260975902</v>
      </c>
      <c r="M39" s="30">
        <f>Data!K185</f>
        <v>0.12639998999999999</v>
      </c>
      <c r="N39" s="30">
        <f>Data!K302 - M39</f>
        <v>0.23650000000000002</v>
      </c>
      <c r="O39" s="30">
        <f t="shared" si="5"/>
        <v>0.63710000999999994</v>
      </c>
      <c r="P39" s="30">
        <f>Data!P185</f>
        <v>0.1017</v>
      </c>
      <c r="Q39" s="30">
        <f>Data!P302 - P39</f>
        <v>0.22209999999999996</v>
      </c>
      <c r="R39" s="30">
        <f t="shared" si="6"/>
        <v>0.67620000000000002</v>
      </c>
      <c r="S39" s="77">
        <f t="shared" si="7"/>
        <v>0.4743482824109701</v>
      </c>
      <c r="T39" s="77">
        <f t="shared" si="8"/>
        <v>0.36222034368662009</v>
      </c>
      <c r="U39" s="77">
        <f t="shared" si="9"/>
        <v>0.1634313739024098</v>
      </c>
      <c r="V39" s="30">
        <f t="shared" si="10"/>
        <v>0.52565171758902984</v>
      </c>
      <c r="W39" s="3">
        <f t="shared" si="11"/>
        <v>0.65874662122754257</v>
      </c>
      <c r="X39" s="30">
        <f t="shared" si="15"/>
        <v>-0.22658675025593589</v>
      </c>
      <c r="Y39" s="30">
        <f t="shared" si="12"/>
        <v>-0.34708250344820157</v>
      </c>
      <c r="Z39" s="30">
        <f t="shared" si="13"/>
        <v>0.3431059700729</v>
      </c>
      <c r="AA39" s="30"/>
      <c r="AB39" s="30"/>
      <c r="AC39" s="30"/>
    </row>
    <row r="40" spans="1:29" x14ac:dyDescent="0.5">
      <c r="A40">
        <v>1967</v>
      </c>
      <c r="B40" s="71">
        <f t="shared" si="0"/>
        <v>4289.5574816692251</v>
      </c>
      <c r="C40" s="73">
        <f>Data!AC511*251.1 / CPI!B56</f>
        <v>181873.09075149699</v>
      </c>
      <c r="D40" s="74">
        <f>Data!F69*251.1 / CPI!B56</f>
        <v>12181376.732335331</v>
      </c>
      <c r="E40" s="3">
        <f t="shared" si="1"/>
        <v>11.23292505758846</v>
      </c>
      <c r="F40" s="3">
        <f t="shared" si="14"/>
        <v>1.3252466650990398</v>
      </c>
      <c r="G40" s="73">
        <f t="shared" si="16"/>
        <v>413038.87505626457</v>
      </c>
      <c r="H40" s="73">
        <f t="shared" si="16"/>
        <v>1649379.6731504584</v>
      </c>
      <c r="I40" s="75">
        <f t="shared" si="17"/>
        <v>-4.3695099554439565E-2</v>
      </c>
      <c r="J40" s="75">
        <f t="shared" si="17"/>
        <v>1.0011012089418003</v>
      </c>
      <c r="K40" s="76">
        <f t="shared" si="18"/>
        <v>0.48257372273844834</v>
      </c>
      <c r="L40" s="76">
        <f t="shared" si="18"/>
        <v>0.84161105967982042</v>
      </c>
      <c r="M40" s="30">
        <f>Data!K186</f>
        <v>0.12139999999999999</v>
      </c>
      <c r="N40" s="30">
        <f>Data!K303 - M40</f>
        <v>0.23149999999999998</v>
      </c>
      <c r="O40" s="30">
        <f t="shared" si="5"/>
        <v>0.64710000000000001</v>
      </c>
      <c r="P40" s="30">
        <f>Data!P186</f>
        <v>9.4200000000000006E-2</v>
      </c>
      <c r="Q40" s="30">
        <f>Data!P303 - P40</f>
        <v>0.21440000999999997</v>
      </c>
      <c r="R40" s="30">
        <f t="shared" si="6"/>
        <v>0.69139999000000008</v>
      </c>
      <c r="S40" s="77">
        <f t="shared" si="7"/>
        <v>0.48257372273844834</v>
      </c>
      <c r="T40" s="77">
        <f t="shared" si="8"/>
        <v>0.35903733694137208</v>
      </c>
      <c r="U40" s="77">
        <f t="shared" si="9"/>
        <v>0.15838894032017958</v>
      </c>
      <c r="V40" s="30">
        <f t="shared" si="10"/>
        <v>0.51742627726155166</v>
      </c>
      <c r="W40" s="3">
        <f t="shared" si="11"/>
        <v>0.65128819990342079</v>
      </c>
      <c r="X40" s="30">
        <f t="shared" si="15"/>
        <v>-0.23353234288585623</v>
      </c>
      <c r="Y40" s="30">
        <f t="shared" si="12"/>
        <v>-0.3552202621261028</v>
      </c>
      <c r="Z40" s="30">
        <f t="shared" si="13"/>
        <v>0.34093501056775066</v>
      </c>
      <c r="AA40" s="30"/>
      <c r="AB40" s="30"/>
      <c r="AC40" s="30"/>
    </row>
    <row r="41" spans="1:29" x14ac:dyDescent="0.5">
      <c r="A41" s="1">
        <v>1968</v>
      </c>
      <c r="B41" s="71">
        <f t="shared" si="0"/>
        <v>4375.3486313026096</v>
      </c>
      <c r="C41" s="73">
        <f>Data!AC512*251.1 / CPI!B57</f>
        <v>178027.73534482761</v>
      </c>
      <c r="D41" s="74">
        <f>Data!F70*251.1 / CPI!B57</f>
        <v>12520538.689655174</v>
      </c>
      <c r="E41" s="3">
        <f t="shared" si="1"/>
        <v>11.209862674742237</v>
      </c>
      <c r="F41" s="3">
        <f t="shared" si="14"/>
        <v>1.3265232443781938</v>
      </c>
      <c r="G41" s="73">
        <f t="shared" si="16"/>
        <v>404283.08431151538</v>
      </c>
      <c r="H41" s="73">
        <f t="shared" si="16"/>
        <v>1616570.0412610185</v>
      </c>
      <c r="I41" s="75">
        <f t="shared" si="17"/>
        <v>-4.4971678833593043E-2</v>
      </c>
      <c r="J41" s="75">
        <f t="shared" si="17"/>
        <v>0.99982462966264773</v>
      </c>
      <c r="K41" s="76">
        <f t="shared" si="18"/>
        <v>0.48206494156180918</v>
      </c>
      <c r="L41" s="76">
        <f t="shared" si="18"/>
        <v>0.84130230786007953</v>
      </c>
      <c r="M41" s="30">
        <f>Data!K187</f>
        <v>0.1242</v>
      </c>
      <c r="N41" s="30">
        <f>Data!K304 - M41</f>
        <v>0.23090001000000002</v>
      </c>
      <c r="O41" s="30">
        <f t="shared" si="5"/>
        <v>0.64489998999999998</v>
      </c>
      <c r="P41" s="30">
        <f>Data!P187</f>
        <v>9.3999997000000002E-2</v>
      </c>
      <c r="Q41" s="30">
        <f>Data!P304 - P41</f>
        <v>0.21280001300000001</v>
      </c>
      <c r="R41" s="30">
        <f t="shared" si="6"/>
        <v>0.69319998999999988</v>
      </c>
      <c r="S41" s="77">
        <f t="shared" si="7"/>
        <v>0.48206494156180918</v>
      </c>
      <c r="T41" s="77">
        <f t="shared" si="8"/>
        <v>0.35923736629827036</v>
      </c>
      <c r="U41" s="77">
        <f t="shared" si="9"/>
        <v>0.15869769213992047</v>
      </c>
      <c r="V41" s="30">
        <f t="shared" si="10"/>
        <v>0.51793505843819077</v>
      </c>
      <c r="W41" s="3">
        <f t="shared" si="11"/>
        <v>0.65175229137326407</v>
      </c>
      <c r="X41" s="30">
        <f t="shared" si="15"/>
        <v>-0.2173799232663356</v>
      </c>
      <c r="Y41" s="30">
        <f t="shared" si="12"/>
        <v>-0.35724946327469009</v>
      </c>
      <c r="Z41" s="30">
        <f t="shared" si="13"/>
        <v>0.33778653952853888</v>
      </c>
      <c r="AA41" s="30"/>
      <c r="AB41" s="30"/>
      <c r="AC41" s="30"/>
    </row>
    <row r="42" spans="1:29" x14ac:dyDescent="0.5">
      <c r="A42">
        <v>1969</v>
      </c>
      <c r="B42" s="71">
        <f t="shared" si="0"/>
        <v>4462.8556039286623</v>
      </c>
      <c r="C42" s="73">
        <f>Data!AC513*251.1 / CPI!B58</f>
        <v>165598.06215531332</v>
      </c>
      <c r="D42" s="74">
        <f>Data!F71*251.1 / CPI!B58</f>
        <v>11446878.595095364</v>
      </c>
      <c r="E42" s="3">
        <f t="shared" si="1"/>
        <v>11.161519770228381</v>
      </c>
      <c r="F42" s="3">
        <f t="shared" si="14"/>
        <v>1.3082805881581978</v>
      </c>
      <c r="G42" s="73">
        <f t="shared" si="16"/>
        <v>376302.56997694599</v>
      </c>
      <c r="H42" s="73">
        <f t="shared" si="16"/>
        <v>1476279.3609047392</v>
      </c>
      <c r="I42" s="75">
        <f t="shared" si="17"/>
        <v>-2.6729022613597012E-2</v>
      </c>
      <c r="J42" s="75">
        <f t="shared" si="17"/>
        <v>1.0180672858826429</v>
      </c>
      <c r="K42" s="76">
        <f t="shared" si="18"/>
        <v>0.48933793234983469</v>
      </c>
      <c r="L42" s="76">
        <f t="shared" si="18"/>
        <v>0.84567700959744763</v>
      </c>
      <c r="M42" s="30">
        <f>Data!K188</f>
        <v>0.11509999999999999</v>
      </c>
      <c r="N42" s="30">
        <f>Data!K305 - M42</f>
        <v>0.22620001000000001</v>
      </c>
      <c r="O42" s="30">
        <f t="shared" si="5"/>
        <v>0.65869999000000001</v>
      </c>
      <c r="P42" s="30">
        <f>Data!P188</f>
        <v>8.6999996999999996E-2</v>
      </c>
      <c r="Q42" s="30">
        <f>Data!P305 - P42</f>
        <v>0.20799999299999999</v>
      </c>
      <c r="R42" s="30">
        <f t="shared" si="6"/>
        <v>0.70500001000000001</v>
      </c>
      <c r="S42" s="77">
        <f t="shared" si="7"/>
        <v>0.48933793234983469</v>
      </c>
      <c r="T42" s="77">
        <f t="shared" si="8"/>
        <v>0.35633907724761293</v>
      </c>
      <c r="U42" s="77">
        <f t="shared" si="9"/>
        <v>0.15432299040255237</v>
      </c>
      <c r="V42" s="30">
        <f t="shared" si="10"/>
        <v>0.51066206765016531</v>
      </c>
      <c r="W42" s="3">
        <f t="shared" si="11"/>
        <v>0.64508302551131758</v>
      </c>
      <c r="X42" s="30">
        <f t="shared" si="15"/>
        <v>-0.25416167934692679</v>
      </c>
      <c r="Y42" s="30">
        <f t="shared" si="12"/>
        <v>-0.36521132695525804</v>
      </c>
      <c r="Z42" s="30">
        <f t="shared" si="13"/>
        <v>0.34610449436624902</v>
      </c>
      <c r="AA42" s="30"/>
      <c r="AB42" s="30"/>
      <c r="AC42" s="30"/>
    </row>
    <row r="43" spans="1:29" x14ac:dyDescent="0.5">
      <c r="A43" s="1">
        <v>1970</v>
      </c>
      <c r="B43" s="71">
        <f t="shared" si="0"/>
        <v>4552.1127160072356</v>
      </c>
      <c r="C43" s="73">
        <f>Data!AC514*251.1 / CPI!B59</f>
        <v>159245.29020618557</v>
      </c>
      <c r="D43" s="74">
        <f>Data!F72*251.1 / CPI!B59</f>
        <v>9015234.8868556712</v>
      </c>
      <c r="E43" s="3">
        <f t="shared" si="1"/>
        <v>11.177860838458619</v>
      </c>
      <c r="F43" s="3">
        <f t="shared" si="14"/>
        <v>1.2651799553383916</v>
      </c>
      <c r="G43" s="73">
        <f t="shared" ref="G43:H62" si="19">_xlfn.LOGNORM.INV(G$2,$E43,$F43)</f>
        <v>361947.40526101657</v>
      </c>
      <c r="H43" s="73">
        <f t="shared" si="19"/>
        <v>1357437.8374922541</v>
      </c>
      <c r="I43" s="75">
        <f t="shared" si="17"/>
        <v>1.6371610206208691E-2</v>
      </c>
      <c r="J43" s="75">
        <f t="shared" si="17"/>
        <v>1.0611679187024485</v>
      </c>
      <c r="K43" s="76">
        <f t="shared" si="18"/>
        <v>0.5065310357563656</v>
      </c>
      <c r="L43" s="76">
        <f t="shared" si="18"/>
        <v>0.85569320193511933</v>
      </c>
      <c r="M43" s="30">
        <f>Data!K189</f>
        <v>0.1079</v>
      </c>
      <c r="N43" s="30">
        <f>Data!K306 - M43</f>
        <v>0.23050000999999998</v>
      </c>
      <c r="O43" s="30">
        <f t="shared" si="5"/>
        <v>0.66159999000000003</v>
      </c>
      <c r="P43" s="30">
        <f>Data!P189</f>
        <v>8.3300001999999998E-2</v>
      </c>
      <c r="Q43" s="30">
        <f>Data!P306 - P43</f>
        <v>0.20989998800000004</v>
      </c>
      <c r="R43" s="30">
        <f t="shared" si="6"/>
        <v>0.70680000999999992</v>
      </c>
      <c r="S43" s="77">
        <f t="shared" si="7"/>
        <v>0.5065310357563656</v>
      </c>
      <c r="T43" s="77">
        <f t="shared" si="8"/>
        <v>0.34916216617875373</v>
      </c>
      <c r="U43" s="77">
        <f t="shared" si="9"/>
        <v>0.14430679806488067</v>
      </c>
      <c r="V43" s="30">
        <f t="shared" si="10"/>
        <v>0.4934689642436344</v>
      </c>
      <c r="W43" s="3">
        <f t="shared" si="11"/>
        <v>0.62900831317140082</v>
      </c>
      <c r="X43" s="30">
        <f t="shared" si="15"/>
        <v>-0.25228747746528268</v>
      </c>
      <c r="Y43" s="30">
        <f t="shared" si="12"/>
        <v>-0.33984826442508842</v>
      </c>
      <c r="Z43" s="30">
        <f t="shared" si="13"/>
        <v>0.30613909770026493</v>
      </c>
      <c r="AA43" s="30"/>
      <c r="AB43" s="30"/>
      <c r="AC43" s="30"/>
    </row>
    <row r="44" spans="1:29" x14ac:dyDescent="0.5">
      <c r="A44">
        <v>1971</v>
      </c>
      <c r="B44" s="71">
        <f t="shared" si="0"/>
        <v>4643.1549703273804</v>
      </c>
      <c r="C44" s="73">
        <f>Data!AC515*251.1 / CPI!B60</f>
        <v>159710.76619999998</v>
      </c>
      <c r="D44" s="74">
        <f>Data!F73*251.1 / CPI!B60</f>
        <v>9042385.6600000001</v>
      </c>
      <c r="E44" s="3">
        <f t="shared" si="1"/>
        <v>11.184317224204404</v>
      </c>
      <c r="F44" s="3">
        <f t="shared" si="14"/>
        <v>1.2623807055558258</v>
      </c>
      <c r="G44" s="73">
        <f t="shared" si="19"/>
        <v>362987.324434023</v>
      </c>
      <c r="H44" s="73">
        <f t="shared" si="19"/>
        <v>1357362.3076328053</v>
      </c>
      <c r="I44" s="75">
        <f t="shared" si="17"/>
        <v>1.917085998877446E-2</v>
      </c>
      <c r="J44" s="75">
        <f t="shared" si="17"/>
        <v>1.063967168485014</v>
      </c>
      <c r="K44" s="76">
        <f t="shared" si="18"/>
        <v>0.50764759815504323</v>
      </c>
      <c r="L44" s="76">
        <f t="shared" si="18"/>
        <v>0.85632821358312705</v>
      </c>
      <c r="M44" s="30">
        <f>Data!K190</f>
        <v>0.1108</v>
      </c>
      <c r="N44" s="30">
        <f>Data!K307 - M44</f>
        <v>0.23280000000000001</v>
      </c>
      <c r="O44" s="30">
        <f t="shared" si="5"/>
        <v>0.65639999999999998</v>
      </c>
      <c r="P44" s="30">
        <f>Data!P190</f>
        <v>8.5500002000000005E-2</v>
      </c>
      <c r="Q44" s="30">
        <f>Data!P307 - P44</f>
        <v>0.21090000799999997</v>
      </c>
      <c r="R44" s="30">
        <f t="shared" si="6"/>
        <v>0.70359999000000006</v>
      </c>
      <c r="S44" s="77">
        <f t="shared" si="7"/>
        <v>0.50764759815504323</v>
      </c>
      <c r="T44" s="77">
        <f t="shared" si="8"/>
        <v>0.34868061542808382</v>
      </c>
      <c r="U44" s="77">
        <f t="shared" si="9"/>
        <v>0.14367178641687295</v>
      </c>
      <c r="V44" s="30">
        <f t="shared" si="10"/>
        <v>0.49235240184495677</v>
      </c>
      <c r="W44" s="3">
        <f t="shared" si="11"/>
        <v>0.62794891467612857</v>
      </c>
      <c r="X44" s="30">
        <f t="shared" si="15"/>
        <v>-0.22879778442716192</v>
      </c>
      <c r="Y44" s="30">
        <f t="shared" si="12"/>
        <v>-0.33234028592560072</v>
      </c>
      <c r="Z44" s="30">
        <f t="shared" si="13"/>
        <v>0.29302295999345107</v>
      </c>
      <c r="AA44" s="30"/>
      <c r="AB44" s="30"/>
      <c r="AC44" s="30"/>
    </row>
    <row r="45" spans="1:29" x14ac:dyDescent="0.5">
      <c r="A45" s="1">
        <v>1972</v>
      </c>
      <c r="B45" s="71">
        <f t="shared" si="0"/>
        <v>4736.0180697339283</v>
      </c>
      <c r="C45" s="73">
        <f>Data!AC516*251.1 / CPI!B61</f>
        <v>162663.53514114831</v>
      </c>
      <c r="D45" s="74">
        <f>Data!F74*251.1 / CPI!B61</f>
        <v>9136898.2464114837</v>
      </c>
      <c r="E45" s="3">
        <f t="shared" si="1"/>
        <v>11.204614112066933</v>
      </c>
      <c r="F45" s="3">
        <f t="shared" si="14"/>
        <v>1.2608132555882106</v>
      </c>
      <c r="G45" s="73">
        <f t="shared" si="19"/>
        <v>369686.75340595876</v>
      </c>
      <c r="H45" s="73">
        <f t="shared" si="19"/>
        <v>1380152.2108481287</v>
      </c>
      <c r="I45" s="75">
        <f t="shared" si="17"/>
        <v>2.0738309956389693E-2</v>
      </c>
      <c r="J45" s="75">
        <f t="shared" si="17"/>
        <v>1.0655346184526291</v>
      </c>
      <c r="K45" s="76">
        <f t="shared" si="18"/>
        <v>0.50827279567087724</v>
      </c>
      <c r="L45" s="76">
        <f t="shared" si="18"/>
        <v>0.85668296581283754</v>
      </c>
      <c r="M45" s="30">
        <f>Data!K191</f>
        <v>0.11119999999999999</v>
      </c>
      <c r="N45" s="30">
        <f>Data!K308 - M45</f>
        <v>0.23530001000000003</v>
      </c>
      <c r="O45" s="30">
        <f t="shared" si="5"/>
        <v>0.65349999000000003</v>
      </c>
      <c r="P45" s="30">
        <f>Data!P191</f>
        <v>8.6099996999999998E-2</v>
      </c>
      <c r="Q45" s="30">
        <f>Data!P308 - P45</f>
        <v>0.21269999300000003</v>
      </c>
      <c r="R45" s="30">
        <f t="shared" si="6"/>
        <v>0.70120000999999998</v>
      </c>
      <c r="S45" s="77">
        <f t="shared" si="7"/>
        <v>0.50827279567087724</v>
      </c>
      <c r="T45" s="77">
        <f t="shared" si="8"/>
        <v>0.3484101701419603</v>
      </c>
      <c r="U45" s="77">
        <f t="shared" si="9"/>
        <v>0.14331703418716246</v>
      </c>
      <c r="V45" s="30">
        <f t="shared" si="10"/>
        <v>0.49172720432912276</v>
      </c>
      <c r="W45" s="3">
        <f t="shared" si="11"/>
        <v>0.6273548823941284</v>
      </c>
      <c r="X45" s="30">
        <f t="shared" si="15"/>
        <v>-0.22409781481536784</v>
      </c>
      <c r="Y45" s="30">
        <f t="shared" si="12"/>
        <v>-0.32464655120679553</v>
      </c>
      <c r="Z45" s="30">
        <f t="shared" si="13"/>
        <v>0.28572686865413499</v>
      </c>
      <c r="AA45" s="30"/>
      <c r="AB45" s="30"/>
      <c r="AC45" s="30"/>
    </row>
    <row r="46" spans="1:29" x14ac:dyDescent="0.5">
      <c r="A46">
        <v>1973</v>
      </c>
      <c r="B46" s="71">
        <f t="shared" si="0"/>
        <v>4830.7384311286069</v>
      </c>
      <c r="C46" s="73">
        <f>Data!AC517*251.1 / CPI!B62</f>
        <v>150090.50633108107</v>
      </c>
      <c r="D46" s="74">
        <f>Data!F75*251.1 / CPI!B62</f>
        <v>8452472.2114864867</v>
      </c>
      <c r="E46" s="3">
        <f t="shared" si="1"/>
        <v>11.144559065788844</v>
      </c>
      <c r="F46" s="3">
        <f t="shared" si="14"/>
        <v>1.2445358177828858</v>
      </c>
      <c r="G46" s="73">
        <f t="shared" si="19"/>
        <v>340951.6275273565</v>
      </c>
      <c r="H46" s="73">
        <f t="shared" si="19"/>
        <v>1251411.0588074904</v>
      </c>
      <c r="I46" s="75">
        <f t="shared" si="17"/>
        <v>3.7015747761714381E-2</v>
      </c>
      <c r="J46" s="75">
        <f t="shared" si="17"/>
        <v>1.0818120562579545</v>
      </c>
      <c r="K46" s="76">
        <f t="shared" si="18"/>
        <v>0.51476377527640071</v>
      </c>
      <c r="L46" s="76">
        <f t="shared" si="18"/>
        <v>0.86033197582348908</v>
      </c>
      <c r="M46" s="30">
        <f>Data!K192</f>
        <v>0.11020000000000001</v>
      </c>
      <c r="N46" s="30">
        <f>Data!K309 - M46</f>
        <v>0.23949999999999999</v>
      </c>
      <c r="O46" s="30">
        <f t="shared" si="5"/>
        <v>0.65029999999999999</v>
      </c>
      <c r="P46" s="30">
        <f>Data!P192</f>
        <v>8.8399999000000007E-2</v>
      </c>
      <c r="Q46" s="30">
        <f>Data!P309 - P46</f>
        <v>0.21660001099999998</v>
      </c>
      <c r="R46" s="30">
        <f t="shared" si="6"/>
        <v>0.69499999000000012</v>
      </c>
      <c r="S46" s="77">
        <f t="shared" si="7"/>
        <v>0.51476377527640071</v>
      </c>
      <c r="T46" s="77">
        <f t="shared" si="8"/>
        <v>0.34556820054708837</v>
      </c>
      <c r="U46" s="77">
        <f t="shared" si="9"/>
        <v>0.13966802417651092</v>
      </c>
      <c r="V46" s="30">
        <f t="shared" si="10"/>
        <v>0.48523622472359929</v>
      </c>
      <c r="W46" s="3">
        <f t="shared" si="11"/>
        <v>0.62115137116163677</v>
      </c>
      <c r="X46" s="30">
        <f t="shared" si="15"/>
        <v>-0.21098618921729395</v>
      </c>
      <c r="Y46" s="30">
        <f t="shared" si="12"/>
        <v>-0.30693854463219095</v>
      </c>
      <c r="Z46" s="30">
        <f t="shared" si="13"/>
        <v>0.26329790718242285</v>
      </c>
      <c r="AA46" s="30"/>
      <c r="AB46" s="30"/>
      <c r="AC46" s="30"/>
    </row>
    <row r="47" spans="1:29" x14ac:dyDescent="0.5">
      <c r="A47" s="1">
        <v>1974</v>
      </c>
      <c r="B47" s="71">
        <f t="shared" si="0"/>
        <v>4927.3531997511791</v>
      </c>
      <c r="C47" s="73">
        <f>Data!AC518*251.1 / CPI!B63</f>
        <v>132010.34969574038</v>
      </c>
      <c r="D47" s="74">
        <f>Data!F76*251.1 / CPI!B63</f>
        <v>6950356.829817445</v>
      </c>
      <c r="E47" s="3">
        <f t="shared" si="1"/>
        <v>11.060249152850654</v>
      </c>
      <c r="F47" s="3">
        <f t="shared" si="14"/>
        <v>1.208624385348992</v>
      </c>
      <c r="G47" s="73">
        <f t="shared" si="19"/>
        <v>299288.60652709065</v>
      </c>
      <c r="H47" s="73">
        <f t="shared" si="19"/>
        <v>1058041.295414316</v>
      </c>
      <c r="I47" s="75">
        <f t="shared" si="17"/>
        <v>7.2927180195609537E-2</v>
      </c>
      <c r="J47" s="75">
        <f t="shared" si="17"/>
        <v>1.117723488691849</v>
      </c>
      <c r="K47" s="76">
        <f t="shared" si="18"/>
        <v>0.5290679675711909</v>
      </c>
      <c r="L47" s="76">
        <f t="shared" si="18"/>
        <v>0.86815744615937429</v>
      </c>
      <c r="M47" s="30">
        <f>Data!K193</f>
        <v>0.1055</v>
      </c>
      <c r="N47" s="30">
        <f>Data!K310 - M47</f>
        <v>0.23500000000000004</v>
      </c>
      <c r="O47" s="30">
        <f t="shared" si="5"/>
        <v>0.65949999999999986</v>
      </c>
      <c r="P47" s="30">
        <f>Data!P193</f>
        <v>8.2699998999999996E-2</v>
      </c>
      <c r="Q47" s="30">
        <f>Data!P310 - P47</f>
        <v>0.21089999099999998</v>
      </c>
      <c r="R47" s="30">
        <f t="shared" si="6"/>
        <v>0.70640000999999997</v>
      </c>
      <c r="S47" s="77">
        <f t="shared" si="7"/>
        <v>0.5290679675711909</v>
      </c>
      <c r="T47" s="77">
        <f t="shared" si="8"/>
        <v>0.33908947858818339</v>
      </c>
      <c r="U47" s="77">
        <f t="shared" si="9"/>
        <v>0.13184255384062571</v>
      </c>
      <c r="V47" s="30">
        <f t="shared" si="10"/>
        <v>0.4709320324288091</v>
      </c>
      <c r="W47" s="3">
        <f t="shared" si="11"/>
        <v>0.60724204709990381</v>
      </c>
      <c r="X47" s="30">
        <f t="shared" si="15"/>
        <v>-0.19980312177864212</v>
      </c>
      <c r="Y47" s="30">
        <f t="shared" si="12"/>
        <v>-0.30696758572859673</v>
      </c>
      <c r="Z47" s="30">
        <f t="shared" si="13"/>
        <v>0.24653171317021405</v>
      </c>
      <c r="AA47" s="30"/>
      <c r="AB47" s="30"/>
      <c r="AC47" s="30"/>
    </row>
    <row r="48" spans="1:29" x14ac:dyDescent="0.5">
      <c r="A48">
        <v>1975</v>
      </c>
      <c r="B48" s="71">
        <f t="shared" si="0"/>
        <v>5025.9002637462027</v>
      </c>
      <c r="C48" s="73">
        <f>Data!AC519*251.1 / CPI!B64</f>
        <v>126422.78252788105</v>
      </c>
      <c r="D48" s="74">
        <f>Data!F77*251.1 / CPI!B64</f>
        <v>6186514.055018588</v>
      </c>
      <c r="E48" s="3">
        <f t="shared" si="1"/>
        <v>11.044183377596825</v>
      </c>
      <c r="F48" s="3">
        <f t="shared" si="14"/>
        <v>1.1859204091123188</v>
      </c>
      <c r="G48" s="73">
        <f t="shared" si="19"/>
        <v>286072.78044425655</v>
      </c>
      <c r="H48" s="73">
        <f t="shared" si="19"/>
        <v>987613.59308786469</v>
      </c>
      <c r="I48" s="75">
        <f t="shared" si="17"/>
        <v>9.5631156432282385E-2</v>
      </c>
      <c r="J48" s="75">
        <f t="shared" si="17"/>
        <v>1.1404274649285222</v>
      </c>
      <c r="K48" s="76">
        <f t="shared" si="18"/>
        <v>0.53809324032913042</v>
      </c>
      <c r="L48" s="76">
        <f t="shared" si="18"/>
        <v>0.87294587201651441</v>
      </c>
      <c r="M48" s="30">
        <f>Data!K194</f>
        <v>0.10580000000000001</v>
      </c>
      <c r="N48" s="30">
        <f>Data!K311 - M48</f>
        <v>0.23830000000000001</v>
      </c>
      <c r="O48" s="30">
        <f t="shared" si="5"/>
        <v>0.65590000000000004</v>
      </c>
      <c r="P48" s="30">
        <f>Data!P194</f>
        <v>8.4899999000000004E-2</v>
      </c>
      <c r="Q48" s="30">
        <f>Data!P311 - P48</f>
        <v>0.212400011</v>
      </c>
      <c r="R48" s="30">
        <f t="shared" si="6"/>
        <v>0.70269999000000005</v>
      </c>
      <c r="S48" s="77">
        <f t="shared" si="7"/>
        <v>0.53809324032913042</v>
      </c>
      <c r="T48" s="77">
        <f t="shared" si="8"/>
        <v>0.33485263168738399</v>
      </c>
      <c r="U48" s="77">
        <f t="shared" si="9"/>
        <v>0.12705412798348559</v>
      </c>
      <c r="V48" s="30">
        <f t="shared" si="10"/>
        <v>0.46190675967086958</v>
      </c>
      <c r="W48" s="3">
        <f t="shared" si="11"/>
        <v>0.59829067533388502</v>
      </c>
      <c r="X48" s="30">
        <f t="shared" si="15"/>
        <v>-0.16728404122570639</v>
      </c>
      <c r="Y48" s="30">
        <f t="shared" si="12"/>
        <v>-0.28834365494109304</v>
      </c>
      <c r="Z48" s="30">
        <f t="shared" si="13"/>
        <v>0.21893372902958586</v>
      </c>
      <c r="AA48" s="30"/>
      <c r="AB48" s="30"/>
      <c r="AC48" s="30"/>
    </row>
    <row r="49" spans="1:29" x14ac:dyDescent="0.5">
      <c r="A49" s="1">
        <v>1976</v>
      </c>
      <c r="B49" s="71">
        <f t="shared" si="0"/>
        <v>5126.4182690211264</v>
      </c>
      <c r="C49" s="73">
        <f>Data!AC520*251.1 / CPI!B65</f>
        <v>124286.11528998241</v>
      </c>
      <c r="D49" s="74">
        <f>Data!F78*251.1 / CPI!B65</f>
        <v>5923242.9126537787</v>
      </c>
      <c r="E49" s="3">
        <f t="shared" si="1"/>
        <v>11.039591870437331</v>
      </c>
      <c r="F49" s="3">
        <f t="shared" si="14"/>
        <v>1.175372024172807</v>
      </c>
      <c r="G49" s="73">
        <f t="shared" si="19"/>
        <v>280938.68681321066</v>
      </c>
      <c r="H49" s="73">
        <f t="shared" si="19"/>
        <v>959258.70232633257</v>
      </c>
      <c r="I49" s="75">
        <f t="shared" si="17"/>
        <v>0.10617954137179435</v>
      </c>
      <c r="J49" s="75">
        <f t="shared" si="17"/>
        <v>1.150975849868034</v>
      </c>
      <c r="K49" s="76">
        <f t="shared" si="18"/>
        <v>0.54228004860229051</v>
      </c>
      <c r="L49" s="76">
        <f t="shared" si="18"/>
        <v>0.87512891449078456</v>
      </c>
      <c r="M49" s="30">
        <f>Data!K195</f>
        <v>0.1041</v>
      </c>
      <c r="N49" s="30">
        <f>Data!K312 - M49</f>
        <v>0.23869999</v>
      </c>
      <c r="O49" s="30">
        <f t="shared" si="5"/>
        <v>0.65720001000000006</v>
      </c>
      <c r="P49" s="30">
        <f>Data!P195</f>
        <v>8.2500003000000002E-2</v>
      </c>
      <c r="Q49" s="30">
        <f>Data!P312 - P49</f>
        <v>0.21179998700000002</v>
      </c>
      <c r="R49" s="30">
        <f t="shared" si="6"/>
        <v>0.70570000999999993</v>
      </c>
      <c r="S49" s="77">
        <f t="shared" si="7"/>
        <v>0.54228004860229051</v>
      </c>
      <c r="T49" s="77">
        <f t="shared" si="8"/>
        <v>0.33284886588849405</v>
      </c>
      <c r="U49" s="77">
        <f t="shared" si="9"/>
        <v>0.12487108550921544</v>
      </c>
      <c r="V49" s="30">
        <f t="shared" si="10"/>
        <v>0.45771995139770949</v>
      </c>
      <c r="W49" s="3">
        <f t="shared" si="11"/>
        <v>0.59409050221052051</v>
      </c>
      <c r="X49" s="30">
        <f t="shared" si="15"/>
        <v>-0.16634023340561532</v>
      </c>
      <c r="Y49" s="30">
        <f t="shared" si="12"/>
        <v>-0.2828577337560596</v>
      </c>
      <c r="Z49" s="30">
        <f t="shared" si="13"/>
        <v>0.21191995112841067</v>
      </c>
      <c r="AA49" s="30"/>
      <c r="AB49" s="30"/>
      <c r="AC49" s="30"/>
    </row>
    <row r="50" spans="1:29" x14ac:dyDescent="0.5">
      <c r="A50">
        <v>1977</v>
      </c>
      <c r="B50" s="71">
        <f t="shared" si="0"/>
        <v>5228.9466344015491</v>
      </c>
      <c r="C50" s="73">
        <f>Data!AC521*251.1 / CPI!B66</f>
        <v>121901.59158415842</v>
      </c>
      <c r="D50" s="74">
        <f>Data!F79*251.1 / CPI!B66</f>
        <v>6051434.5871287128</v>
      </c>
      <c r="E50" s="3">
        <f t="shared" si="1"/>
        <v>11.019904511226819</v>
      </c>
      <c r="F50" s="3">
        <f t="shared" si="14"/>
        <v>1.1756401325500299</v>
      </c>
      <c r="G50" s="73">
        <f t="shared" si="19"/>
        <v>275556.49873104703</v>
      </c>
      <c r="H50" s="73">
        <f t="shared" si="19"/>
        <v>941144.93989178108</v>
      </c>
      <c r="I50" s="75">
        <f t="shared" si="17"/>
        <v>0.10591143299456943</v>
      </c>
      <c r="J50" s="75">
        <f t="shared" si="17"/>
        <v>1.15070774149081</v>
      </c>
      <c r="K50" s="76">
        <f t="shared" si="18"/>
        <v>0.54217368856334358</v>
      </c>
      <c r="L50" s="76">
        <f t="shared" si="18"/>
        <v>0.87507375469559912</v>
      </c>
      <c r="M50" s="30">
        <f>Data!K196</f>
        <v>0.1075</v>
      </c>
      <c r="N50" s="30">
        <f>Data!K313 - M50</f>
        <v>0.24010001000000003</v>
      </c>
      <c r="O50" s="30">
        <f t="shared" si="5"/>
        <v>0.65239998999999993</v>
      </c>
      <c r="P50" s="30">
        <f>Data!P196</f>
        <v>8.6400002000000004E-2</v>
      </c>
      <c r="Q50" s="30">
        <f>Data!P313 - P50</f>
        <v>0.21320000800000002</v>
      </c>
      <c r="R50" s="30">
        <f t="shared" si="6"/>
        <v>0.70039998999999997</v>
      </c>
      <c r="S50" s="77">
        <f t="shared" si="7"/>
        <v>0.54217368856334358</v>
      </c>
      <c r="T50" s="77">
        <f t="shared" si="8"/>
        <v>0.33290006613225553</v>
      </c>
      <c r="U50" s="77">
        <f t="shared" si="9"/>
        <v>0.12492624530440088</v>
      </c>
      <c r="V50" s="30">
        <f t="shared" si="10"/>
        <v>0.45782631143665642</v>
      </c>
      <c r="W50" s="3">
        <f t="shared" si="11"/>
        <v>0.59419758183512905</v>
      </c>
      <c r="X50" s="30">
        <f t="shared" si="15"/>
        <v>-0.1394922681133921</v>
      </c>
      <c r="Y50" s="30">
        <f t="shared" si="12"/>
        <v>-0.27876250434683791</v>
      </c>
      <c r="Z50" s="30">
        <f t="shared" si="13"/>
        <v>0.20330440919907966</v>
      </c>
      <c r="AA50" s="30"/>
      <c r="AB50" s="30"/>
      <c r="AC50" s="30"/>
    </row>
    <row r="51" spans="1:29" x14ac:dyDescent="0.5">
      <c r="A51" s="1">
        <v>1978</v>
      </c>
      <c r="B51" s="71">
        <f t="shared" si="0"/>
        <v>5333.5255670895804</v>
      </c>
      <c r="C51" s="73">
        <f>Data!AC522*251.1 / CPI!B67</f>
        <v>114716.49846625766</v>
      </c>
      <c r="D51" s="74">
        <f>Data!F80*251.1 / CPI!B67</f>
        <v>5760488.5661042938</v>
      </c>
      <c r="E51" s="3">
        <f t="shared" si="1"/>
        <v>10.972622696596451</v>
      </c>
      <c r="F51" s="3">
        <f t="shared" si="14"/>
        <v>1.164127515640949</v>
      </c>
      <c r="G51" s="73">
        <f t="shared" si="19"/>
        <v>258981.55884074615</v>
      </c>
      <c r="H51" s="73">
        <f t="shared" si="19"/>
        <v>873958.58481542079</v>
      </c>
      <c r="I51" s="75">
        <f t="shared" si="17"/>
        <v>0.11742404990365193</v>
      </c>
      <c r="J51" s="75">
        <f t="shared" si="17"/>
        <v>1.1622203583998918</v>
      </c>
      <c r="K51" s="76">
        <f t="shared" si="18"/>
        <v>0.54673798658135064</v>
      </c>
      <c r="L51" s="76">
        <f t="shared" si="18"/>
        <v>0.87742701642835963</v>
      </c>
      <c r="M51" s="30">
        <f>Data!K197</f>
        <v>0.10630000000000001</v>
      </c>
      <c r="N51" s="30">
        <f>Data!K314 - M51</f>
        <v>0.24020001000000002</v>
      </c>
      <c r="O51" s="30">
        <f t="shared" si="5"/>
        <v>0.65349999000000003</v>
      </c>
      <c r="P51" s="30">
        <f>Data!P197</f>
        <v>8.7399996999999993E-2</v>
      </c>
      <c r="Q51" s="30">
        <f>Data!P314 - P51</f>
        <v>0.21520000299999997</v>
      </c>
      <c r="R51" s="30">
        <f t="shared" si="6"/>
        <v>0.69740000000000002</v>
      </c>
      <c r="S51" s="77">
        <f t="shared" si="7"/>
        <v>0.54673798658135064</v>
      </c>
      <c r="T51" s="77">
        <f t="shared" si="8"/>
        <v>0.33068902984700899</v>
      </c>
      <c r="U51" s="77">
        <f t="shared" si="9"/>
        <v>0.12257298357164037</v>
      </c>
      <c r="V51" s="30">
        <f t="shared" si="10"/>
        <v>0.45326201341864936</v>
      </c>
      <c r="W51" s="3">
        <f t="shared" si="11"/>
        <v>0.58958438671569535</v>
      </c>
      <c r="X51" s="30">
        <f t="shared" si="15"/>
        <v>-0.13276158495505064</v>
      </c>
      <c r="Y51" s="30">
        <f t="shared" si="12"/>
        <v>-0.27363780373625668</v>
      </c>
      <c r="Z51" s="30">
        <f t="shared" si="13"/>
        <v>0.19527087204277138</v>
      </c>
      <c r="AA51" s="30"/>
      <c r="AB51" s="30"/>
      <c r="AC51" s="30"/>
    </row>
    <row r="52" spans="1:29" x14ac:dyDescent="0.5">
      <c r="A52">
        <v>1979</v>
      </c>
      <c r="B52" s="71">
        <f>B53/1.02</f>
        <v>5440.1960784313724</v>
      </c>
      <c r="C52" s="73">
        <f>Data!AC523*251.1 / CPI!B68</f>
        <v>100942.89173553721</v>
      </c>
      <c r="D52" s="74">
        <f>Data!F81*251.1 / CPI!B68</f>
        <v>5877652.6487603309</v>
      </c>
      <c r="E52" s="3">
        <f t="shared" si="1"/>
        <v>10.844649247151134</v>
      </c>
      <c r="F52" s="3">
        <f t="shared" si="14"/>
        <v>1.1641829412908837</v>
      </c>
      <c r="G52" s="73">
        <f t="shared" si="19"/>
        <v>227888.0362269973</v>
      </c>
      <c r="H52" s="73">
        <f t="shared" si="19"/>
        <v>769074.98817693605</v>
      </c>
      <c r="I52" s="75">
        <f t="shared" si="17"/>
        <v>0.11736862425371648</v>
      </c>
      <c r="J52" s="75">
        <f t="shared" si="17"/>
        <v>1.1621649327499561</v>
      </c>
      <c r="K52" s="76">
        <f t="shared" si="18"/>
        <v>0.54671602679256359</v>
      </c>
      <c r="L52" s="76">
        <f t="shared" si="18"/>
        <v>0.87741576204059701</v>
      </c>
      <c r="M52" s="30">
        <f>Data!K198</f>
        <v>0.1115</v>
      </c>
      <c r="N52" s="30">
        <f>Data!K315 - M52</f>
        <v>0.23739999000000001</v>
      </c>
      <c r="O52" s="30">
        <f t="shared" si="5"/>
        <v>0.65110000999999995</v>
      </c>
      <c r="P52" s="30">
        <f>Data!P198</f>
        <v>9.1399996999999997E-2</v>
      </c>
      <c r="Q52" s="30">
        <f>Data!P315 - P52</f>
        <v>0.21230000300000001</v>
      </c>
      <c r="R52" s="30">
        <f t="shared" si="6"/>
        <v>0.69630000000000003</v>
      </c>
      <c r="S52" s="77">
        <f t="shared" si="7"/>
        <v>0.54671602679256359</v>
      </c>
      <c r="T52" s="77">
        <f t="shared" si="8"/>
        <v>0.33069973524803342</v>
      </c>
      <c r="U52" s="77">
        <f t="shared" si="9"/>
        <v>0.12258423795940299</v>
      </c>
      <c r="V52" s="30">
        <f t="shared" si="10"/>
        <v>0.45328397320743641</v>
      </c>
      <c r="W52" s="3">
        <f t="shared" si="11"/>
        <v>0.58960667058773497</v>
      </c>
      <c r="X52" s="30">
        <f t="shared" si="15"/>
        <v>-9.0421396289740108E-2</v>
      </c>
      <c r="Y52" s="30">
        <f t="shared" si="12"/>
        <v>-0.28212827318430167</v>
      </c>
      <c r="Z52" s="30">
        <f t="shared" si="13"/>
        <v>0.19092907120325187</v>
      </c>
      <c r="AA52" s="30"/>
      <c r="AB52" s="30"/>
      <c r="AC52" s="30"/>
    </row>
    <row r="53" spans="1:29" x14ac:dyDescent="0.5">
      <c r="A53" s="1">
        <v>1980</v>
      </c>
      <c r="B53" s="73">
        <f>'Minimum Deflation Total'!F3</f>
        <v>5549</v>
      </c>
      <c r="C53" s="73">
        <f>Data!AC524*251.1 / CPI!B69</f>
        <v>90309.455825242709</v>
      </c>
      <c r="D53" s="74">
        <f>Data!F82*251.1 / CPI!B69</f>
        <v>4652855.8787621362</v>
      </c>
      <c r="E53" s="3">
        <f t="shared" si="1"/>
        <v>10.781626742039164</v>
      </c>
      <c r="F53" s="3">
        <f t="shared" si="14"/>
        <v>1.1219364576982844</v>
      </c>
      <c r="G53" s="73">
        <f t="shared" si="19"/>
        <v>202692.66916353145</v>
      </c>
      <c r="H53" s="73">
        <f t="shared" si="19"/>
        <v>654509.40581010713</v>
      </c>
      <c r="I53" s="75">
        <f t="shared" si="17"/>
        <v>0.15961510784631663</v>
      </c>
      <c r="J53" s="75">
        <f t="shared" si="17"/>
        <v>1.2044114163425561</v>
      </c>
      <c r="K53" s="76">
        <f t="shared" si="18"/>
        <v>0.56340786138525356</v>
      </c>
      <c r="L53" s="76">
        <f>_xlfn.NORM.DIST(J53,0,1,TRUE)</f>
        <v>0.88578469915737801</v>
      </c>
      <c r="M53" s="30">
        <f>Data!K199</f>
        <v>0.1067</v>
      </c>
      <c r="N53" s="30">
        <f>Data!K316 - M53</f>
        <v>0.23570000999999996</v>
      </c>
      <c r="O53" s="30">
        <f t="shared" si="5"/>
        <v>0.65759999000000002</v>
      </c>
      <c r="P53" s="30">
        <f>Data!P199</f>
        <v>8.5699997999999999E-2</v>
      </c>
      <c r="Q53" s="30">
        <f>Data!P316 - P53</f>
        <v>0.210199992</v>
      </c>
      <c r="R53" s="30">
        <f>1-Q53 - P53</f>
        <v>0.70410001000000011</v>
      </c>
      <c r="S53" s="77">
        <f t="shared" si="7"/>
        <v>0.56340786138525356</v>
      </c>
      <c r="T53" s="77">
        <f t="shared" si="8"/>
        <v>0.32237683777212445</v>
      </c>
      <c r="U53" s="77">
        <f t="shared" si="9"/>
        <v>0.11421530084262199</v>
      </c>
      <c r="V53" s="30">
        <f>T53+U53</f>
        <v>0.43659213861474644</v>
      </c>
      <c r="W53" s="3">
        <f t="shared" si="11"/>
        <v>0.57241376353837348</v>
      </c>
      <c r="X53" s="30">
        <f t="shared" si="15"/>
        <v>-6.5799422557029974E-2</v>
      </c>
      <c r="Y53" s="30">
        <f t="shared" si="12"/>
        <v>-0.26886803770124745</v>
      </c>
      <c r="Z53" s="30">
        <f>O53/S53 - 1</f>
        <v>0.1671828440291121</v>
      </c>
      <c r="AA53" s="30"/>
      <c r="AB53" s="30"/>
      <c r="AC53" s="30"/>
    </row>
    <row r="54" spans="1:29" x14ac:dyDescent="0.5">
      <c r="A54">
        <v>1981</v>
      </c>
      <c r="B54" s="73">
        <f>'Minimum Deflation Total'!F4</f>
        <v>5996.5</v>
      </c>
      <c r="C54" s="73">
        <f>Data!AC525*251.1 / CPI!B70</f>
        <v>79733.777435643555</v>
      </c>
      <c r="D54" s="74">
        <f>Data!F83*251.1 / CPI!B70</f>
        <v>4583664.4811881185</v>
      </c>
      <c r="E54" s="3">
        <f t="shared" si="1"/>
        <v>10.674263054826548</v>
      </c>
      <c r="F54" s="3">
        <f t="shared" si="14"/>
        <v>1.1065130160946792</v>
      </c>
      <c r="G54" s="73">
        <f t="shared" si="19"/>
        <v>178495.12035799358</v>
      </c>
      <c r="H54" s="73">
        <f t="shared" si="19"/>
        <v>567160.29921408801</v>
      </c>
      <c r="I54" s="75">
        <f t="shared" si="17"/>
        <v>0.17503854944992067</v>
      </c>
      <c r="J54" s="75">
        <f t="shared" si="17"/>
        <v>1.2198348579461609</v>
      </c>
      <c r="K54" s="76">
        <f t="shared" si="18"/>
        <v>0.56947532846483284</v>
      </c>
      <c r="L54" s="76">
        <f t="shared" si="18"/>
        <v>0.88873625785246446</v>
      </c>
      <c r="M54" s="30">
        <f>Data!K200</f>
        <v>0.1105</v>
      </c>
      <c r="N54" s="30">
        <f>Data!K317 - M54</f>
        <v>0.23670001000000002</v>
      </c>
      <c r="O54" s="30">
        <f t="shared" si="5"/>
        <v>0.65279998999999989</v>
      </c>
      <c r="P54" s="30">
        <f>Data!P200</f>
        <v>9.2799998999999994E-2</v>
      </c>
      <c r="Q54" s="30">
        <f>Data!P317 - P54</f>
        <v>0.212700001</v>
      </c>
      <c r="R54" s="30">
        <f t="shared" ref="R54:R87" si="20">1-Q54 - P54</f>
        <v>0.69450000000000001</v>
      </c>
      <c r="S54" s="77">
        <f t="shared" si="7"/>
        <v>0.56947532846483284</v>
      </c>
      <c r="T54" s="77">
        <f t="shared" si="8"/>
        <v>0.31926092938763162</v>
      </c>
      <c r="U54" s="77">
        <f t="shared" si="9"/>
        <v>0.11126374214753554</v>
      </c>
      <c r="V54" s="30">
        <f t="shared" ref="V54:V87" si="21">T54+U54</f>
        <v>0.43052467153516716</v>
      </c>
      <c r="W54" s="3">
        <f t="shared" si="11"/>
        <v>0.56603389481678046</v>
      </c>
      <c r="X54" s="30">
        <f t="shared" si="15"/>
        <v>-6.864250049425924E-3</v>
      </c>
      <c r="Y54" s="30">
        <f t="shared" si="12"/>
        <v>-0.25860013483638644</v>
      </c>
      <c r="Z54" s="30">
        <f t="shared" ref="Z54:Z87" si="22">O54/S54 - 1</f>
        <v>0.14631829926643203</v>
      </c>
      <c r="AA54" s="30"/>
      <c r="AB54" s="30"/>
      <c r="AC54" s="30"/>
    </row>
    <row r="55" spans="1:29" x14ac:dyDescent="0.5">
      <c r="A55" s="1">
        <v>1982</v>
      </c>
      <c r="B55" s="73">
        <f>'Minimum Deflation Total'!F5</f>
        <v>5996.5</v>
      </c>
      <c r="C55" s="73">
        <f>Data!AC526*251.1 / CPI!B71</f>
        <v>76805.114922279798</v>
      </c>
      <c r="D55" s="74">
        <f>Data!F84*251.1 / CPI!B71</f>
        <v>4431234.2978238333</v>
      </c>
      <c r="E55" s="3">
        <f t="shared" si="1"/>
        <v>10.643062262033862</v>
      </c>
      <c r="F55" s="3">
        <f t="shared" si="14"/>
        <v>1.1008762468458482</v>
      </c>
      <c r="G55" s="73">
        <f t="shared" si="19"/>
        <v>171766.61410638664</v>
      </c>
      <c r="H55" s="73">
        <f t="shared" si="19"/>
        <v>542575.96295025421</v>
      </c>
      <c r="I55" s="75">
        <f t="shared" si="17"/>
        <v>0.18067531869875211</v>
      </c>
      <c r="J55" s="75">
        <f t="shared" si="17"/>
        <v>1.2254716271949933</v>
      </c>
      <c r="K55" s="76">
        <f t="shared" si="18"/>
        <v>0.57168878362035946</v>
      </c>
      <c r="L55" s="76">
        <f t="shared" si="18"/>
        <v>0.8898012130383901</v>
      </c>
      <c r="M55" s="30">
        <f>Data!K201</f>
        <v>0.11260000000000001</v>
      </c>
      <c r="N55" s="30">
        <f>Data!K318 - M55</f>
        <v>0.23640001000000002</v>
      </c>
      <c r="O55" s="30">
        <f t="shared" si="5"/>
        <v>0.65099998999999997</v>
      </c>
      <c r="P55" s="30">
        <f>Data!P201</f>
        <v>9.4200000000000006E-2</v>
      </c>
      <c r="Q55" s="30">
        <f>Data!P318 - P55</f>
        <v>0.2147</v>
      </c>
      <c r="R55" s="30">
        <f t="shared" si="20"/>
        <v>0.69110000000000005</v>
      </c>
      <c r="S55" s="77">
        <f t="shared" si="7"/>
        <v>0.57168878362035946</v>
      </c>
      <c r="T55" s="77">
        <f t="shared" si="8"/>
        <v>0.31811242941803064</v>
      </c>
      <c r="U55" s="77">
        <f t="shared" si="9"/>
        <v>0.1101987869616099</v>
      </c>
      <c r="V55" s="30">
        <f t="shared" si="21"/>
        <v>0.42831121637964054</v>
      </c>
      <c r="W55" s="3">
        <f t="shared" si="11"/>
        <v>0.56368860165075541</v>
      </c>
      <c r="X55" s="30">
        <f t="shared" si="15"/>
        <v>2.1789831853835429E-2</v>
      </c>
      <c r="Y55" s="30">
        <f t="shared" si="12"/>
        <v>-0.25686647820557984</v>
      </c>
      <c r="Z55" s="30">
        <f t="shared" si="22"/>
        <v>0.13873143684468126</v>
      </c>
      <c r="AA55" s="30"/>
      <c r="AB55" s="30"/>
      <c r="AC55" s="30"/>
    </row>
    <row r="56" spans="1:29" x14ac:dyDescent="0.5">
      <c r="A56">
        <v>1983</v>
      </c>
      <c r="B56" s="73">
        <f>'Minimum Deflation Total'!F6</f>
        <v>5996.5</v>
      </c>
      <c r="C56" s="73">
        <f>Data!AC527*251.1 / CPI!B72</f>
        <v>79898.963665662654</v>
      </c>
      <c r="D56" s="74">
        <f>Data!F85*251.1 / CPI!B72</f>
        <v>4421062.4882530123</v>
      </c>
      <c r="E56" s="3">
        <f t="shared" si="1"/>
        <v>10.682975489858578</v>
      </c>
      <c r="F56" s="3">
        <f t="shared" si="14"/>
        <v>1.1004932270754477</v>
      </c>
      <c r="G56" s="73">
        <f t="shared" si="19"/>
        <v>178673.30541863083</v>
      </c>
      <c r="H56" s="73">
        <f t="shared" si="19"/>
        <v>564166.9904766673</v>
      </c>
      <c r="I56" s="75">
        <f t="shared" si="17"/>
        <v>0.18105833846915273</v>
      </c>
      <c r="J56" s="75">
        <f t="shared" si="17"/>
        <v>1.2258546469653926</v>
      </c>
      <c r="K56" s="76">
        <f t="shared" si="18"/>
        <v>0.57183910742480082</v>
      </c>
      <c r="L56" s="76">
        <f t="shared" si="18"/>
        <v>0.88987331080119547</v>
      </c>
      <c r="M56" s="30">
        <f>Data!K202</f>
        <v>0.11509999999999999</v>
      </c>
      <c r="N56" s="30">
        <f>Data!K319 - M56</f>
        <v>0.23910001000000003</v>
      </c>
      <c r="O56" s="30">
        <f t="shared" si="5"/>
        <v>0.64579998999999999</v>
      </c>
      <c r="P56" s="30">
        <f>Data!P202</f>
        <v>9.7099996999999993E-2</v>
      </c>
      <c r="Q56" s="30">
        <f>Data!P319 - P56</f>
        <v>0.21880000300000002</v>
      </c>
      <c r="R56" s="30">
        <f t="shared" si="20"/>
        <v>0.68409999999999993</v>
      </c>
      <c r="S56" s="77">
        <f t="shared" si="7"/>
        <v>0.57183910742480082</v>
      </c>
      <c r="T56" s="77">
        <f t="shared" si="8"/>
        <v>0.31803420337639465</v>
      </c>
      <c r="U56" s="77">
        <f t="shared" si="9"/>
        <v>0.11012668919880453</v>
      </c>
      <c r="V56" s="30">
        <f t="shared" si="21"/>
        <v>0.42816089257519918</v>
      </c>
      <c r="W56" s="3">
        <f t="shared" si="11"/>
        <v>0.56352897383707412</v>
      </c>
      <c r="X56" s="30">
        <f t="shared" si="15"/>
        <v>4.5159904809427998E-2</v>
      </c>
      <c r="Y56" s="30">
        <f t="shared" si="12"/>
        <v>-0.24819403868638534</v>
      </c>
      <c r="Z56" s="30">
        <f t="shared" si="22"/>
        <v>0.12933862272601804</v>
      </c>
      <c r="AA56" s="30"/>
      <c r="AB56" s="30"/>
      <c r="AC56" s="30"/>
    </row>
    <row r="57" spans="1:29" x14ac:dyDescent="0.5">
      <c r="A57" s="1">
        <v>1984</v>
      </c>
      <c r="B57" s="73">
        <f>'Minimum Deflation Total'!F7</f>
        <v>5996.5</v>
      </c>
      <c r="C57" s="73">
        <f>Data!AC528*251.1 / CPI!B73</f>
        <v>78463.553994225207</v>
      </c>
      <c r="D57" s="74">
        <f>Data!F86*251.1 / CPI!B73</f>
        <v>5166734.1366698751</v>
      </c>
      <c r="E57" s="3">
        <f t="shared" si="1"/>
        <v>10.635922165059176</v>
      </c>
      <c r="F57" s="3">
        <f t="shared" si="14"/>
        <v>1.1264700178624372</v>
      </c>
      <c r="G57" s="73">
        <f t="shared" si="19"/>
        <v>176231.11746588722</v>
      </c>
      <c r="H57" s="73">
        <f t="shared" si="19"/>
        <v>571764.97112623404</v>
      </c>
      <c r="I57" s="75">
        <f t="shared" si="17"/>
        <v>0.15508154768216309</v>
      </c>
      <c r="J57" s="75">
        <f t="shared" si="17"/>
        <v>1.1998778561784045</v>
      </c>
      <c r="K57" s="76">
        <f t="shared" si="18"/>
        <v>0.56162148549974034</v>
      </c>
      <c r="L57" s="76">
        <f t="shared" si="18"/>
        <v>0.88490660941315935</v>
      </c>
      <c r="M57" s="30">
        <f>Data!K203</f>
        <v>0.125</v>
      </c>
      <c r="N57" s="30">
        <f>Data!K320 - M57</f>
        <v>0.24160000999999998</v>
      </c>
      <c r="O57" s="30">
        <f t="shared" si="5"/>
        <v>0.63339999000000002</v>
      </c>
      <c r="P57" s="30">
        <f>Data!P203</f>
        <v>0.1081</v>
      </c>
      <c r="Q57" s="30">
        <f>Data!P320 - P57</f>
        <v>0.22339999000000002</v>
      </c>
      <c r="R57" s="30">
        <f t="shared" si="20"/>
        <v>0.66850001000000003</v>
      </c>
      <c r="S57" s="77">
        <f t="shared" si="7"/>
        <v>0.56162148549974034</v>
      </c>
      <c r="T57" s="77">
        <f t="shared" si="8"/>
        <v>0.32328512391341901</v>
      </c>
      <c r="U57" s="77">
        <f t="shared" si="9"/>
        <v>0.11509339058684065</v>
      </c>
      <c r="V57" s="30">
        <f t="shared" si="21"/>
        <v>0.43837851450025966</v>
      </c>
      <c r="W57" s="3">
        <f t="shared" si="11"/>
        <v>0.5742786202287804</v>
      </c>
      <c r="X57" s="30">
        <f t="shared" si="15"/>
        <v>8.6074529237928576E-2</v>
      </c>
      <c r="Y57" s="30">
        <f t="shared" si="12"/>
        <v>-0.25267204665840315</v>
      </c>
      <c r="Z57" s="30">
        <f t="shared" si="22"/>
        <v>0.12780583783469379</v>
      </c>
      <c r="AA57" s="30"/>
      <c r="AB57" s="30"/>
      <c r="AC57" s="30"/>
    </row>
    <row r="58" spans="1:29" x14ac:dyDescent="0.5">
      <c r="A58">
        <v>1985</v>
      </c>
      <c r="B58" s="73">
        <f>'Minimum Deflation Total'!F8</f>
        <v>5996.5</v>
      </c>
      <c r="C58" s="73">
        <f>Data!AC529*251.1 / CPI!B74</f>
        <v>76846.86802973978</v>
      </c>
      <c r="D58" s="74">
        <f>Data!F87*251.1 / CPI!B74</f>
        <v>5069689.8641263945</v>
      </c>
      <c r="E58" s="3">
        <f t="shared" si="1"/>
        <v>10.618657510792666</v>
      </c>
      <c r="F58" s="3">
        <f t="shared" si="14"/>
        <v>1.123309826373472</v>
      </c>
      <c r="G58" s="73">
        <f t="shared" si="19"/>
        <v>172514.57029645232</v>
      </c>
      <c r="H58" s="73">
        <f t="shared" si="19"/>
        <v>557862.02137554297</v>
      </c>
      <c r="I58" s="75">
        <f t="shared" si="17"/>
        <v>0.15824173917112902</v>
      </c>
      <c r="J58" s="75">
        <f t="shared" si="17"/>
        <v>1.2030380476673681</v>
      </c>
      <c r="K58" s="76">
        <f t="shared" si="18"/>
        <v>0.56286684251638663</v>
      </c>
      <c r="L58" s="76">
        <f t="shared" si="18"/>
        <v>0.88551920129892414</v>
      </c>
      <c r="M58" s="30">
        <f>Data!K204</f>
        <v>0.12549999000000001</v>
      </c>
      <c r="N58" s="30">
        <f>Data!K321 - M58</f>
        <v>0.24110001999999997</v>
      </c>
      <c r="O58" s="30">
        <f t="shared" si="5"/>
        <v>0.63339999000000002</v>
      </c>
      <c r="P58" s="30">
        <f>Data!P204</f>
        <v>0.107</v>
      </c>
      <c r="Q58" s="30">
        <f>Data!P321 - P58</f>
        <v>0.22220000000000001</v>
      </c>
      <c r="R58" s="30">
        <f t="shared" si="20"/>
        <v>0.67080000000000006</v>
      </c>
      <c r="S58" s="77">
        <f t="shared" si="7"/>
        <v>0.56286684251638663</v>
      </c>
      <c r="T58" s="77">
        <f t="shared" si="8"/>
        <v>0.32265235878253751</v>
      </c>
      <c r="U58" s="77">
        <f t="shared" si="9"/>
        <v>0.11448079870107586</v>
      </c>
      <c r="V58" s="30">
        <f t="shared" si="21"/>
        <v>0.43713315748361337</v>
      </c>
      <c r="W58" s="3">
        <f t="shared" si="11"/>
        <v>0.57297919339523773</v>
      </c>
      <c r="X58" s="30">
        <f t="shared" si="15"/>
        <v>9.625362003017357E-2</v>
      </c>
      <c r="Y58" s="30">
        <f t="shared" si="12"/>
        <v>-0.25275605946368584</v>
      </c>
      <c r="Z58" s="30">
        <f t="shared" si="22"/>
        <v>0.1253105391113174</v>
      </c>
      <c r="AA58" s="30"/>
      <c r="AB58" s="30"/>
      <c r="AC58" s="30"/>
    </row>
    <row r="59" spans="1:29" x14ac:dyDescent="0.5">
      <c r="A59" s="1">
        <v>1986</v>
      </c>
      <c r="B59" s="73">
        <f>'Minimum Deflation Total'!F9</f>
        <v>5996.5</v>
      </c>
      <c r="C59" s="73">
        <f>Data!AC530*251.1 / CPI!B75</f>
        <v>78007.101733576637</v>
      </c>
      <c r="D59" s="74">
        <f>Data!F88*251.1 / CPI!B75</f>
        <v>4630163.2612226279</v>
      </c>
      <c r="E59" s="3">
        <f t="shared" si="1"/>
        <v>10.650506803976032</v>
      </c>
      <c r="F59" s="3">
        <f t="shared" si="14"/>
        <v>1.1081952403953539</v>
      </c>
      <c r="G59" s="73">
        <f t="shared" si="19"/>
        <v>174680.89814298422</v>
      </c>
      <c r="H59" s="73">
        <f t="shared" si="19"/>
        <v>556017.16524109174</v>
      </c>
      <c r="I59" s="75">
        <f t="shared" si="17"/>
        <v>0.17335632514924557</v>
      </c>
      <c r="J59" s="75">
        <f t="shared" si="17"/>
        <v>1.2181526336454864</v>
      </c>
      <c r="K59" s="76">
        <f t="shared" si="18"/>
        <v>0.56881432362350326</v>
      </c>
      <c r="L59" s="76">
        <f t="shared" si="18"/>
        <v>0.88841701221395453</v>
      </c>
      <c r="M59" s="30">
        <f>Data!K205</f>
        <v>0.1221</v>
      </c>
      <c r="N59" s="30">
        <f>Data!K322 - M59</f>
        <v>0.24259998999999999</v>
      </c>
      <c r="O59" s="30">
        <f t="shared" si="5"/>
        <v>0.63530001000000003</v>
      </c>
      <c r="P59" s="30">
        <f>Data!P205</f>
        <v>9.9699995999999999E-2</v>
      </c>
      <c r="Q59" s="30">
        <f>Data!P322 - P59</f>
        <v>0.22259999399999997</v>
      </c>
      <c r="R59" s="30">
        <f t="shared" si="20"/>
        <v>0.67770001000000002</v>
      </c>
      <c r="S59" s="77">
        <f t="shared" si="7"/>
        <v>0.56881432362350326</v>
      </c>
      <c r="T59" s="77">
        <f t="shared" si="8"/>
        <v>0.31960268859045127</v>
      </c>
      <c r="U59" s="77">
        <f t="shared" si="9"/>
        <v>0.11158298778604547</v>
      </c>
      <c r="V59" s="30">
        <f t="shared" si="21"/>
        <v>0.43118567637649674</v>
      </c>
      <c r="W59" s="3">
        <f t="shared" si="11"/>
        <v>0.56673240442082218</v>
      </c>
      <c r="X59" s="30">
        <f t="shared" si="15"/>
        <v>9.425282852364858E-2</v>
      </c>
      <c r="Y59" s="30">
        <f t="shared" si="12"/>
        <v>-0.24093257453514383</v>
      </c>
      <c r="Z59" s="30">
        <f t="shared" si="22"/>
        <v>0.11688469086531561</v>
      </c>
      <c r="AA59" s="30"/>
      <c r="AB59" s="30"/>
      <c r="AC59" s="30"/>
    </row>
    <row r="60" spans="1:29" x14ac:dyDescent="0.5">
      <c r="A60">
        <v>1987</v>
      </c>
      <c r="B60" s="73">
        <f>'Minimum Deflation Total'!F10</f>
        <v>5996.5</v>
      </c>
      <c r="C60" s="73">
        <f>Data!AC531*251.1 / CPI!B76</f>
        <v>78528.204998239438</v>
      </c>
      <c r="D60" s="74">
        <f>Data!F89*251.1 / CPI!B76</f>
        <v>5130710.1641725348</v>
      </c>
      <c r="E60" s="3">
        <f t="shared" si="1"/>
        <v>10.638058705565648</v>
      </c>
      <c r="F60" s="3">
        <f t="shared" si="14"/>
        <v>1.1253038994093387</v>
      </c>
      <c r="G60" s="73">
        <f t="shared" si="19"/>
        <v>176344.31172902312</v>
      </c>
      <c r="H60" s="73">
        <f t="shared" si="19"/>
        <v>571435.58265877189</v>
      </c>
      <c r="I60" s="75">
        <f t="shared" si="17"/>
        <v>0.1562476661352617</v>
      </c>
      <c r="J60" s="75">
        <f t="shared" si="17"/>
        <v>1.2010439746315018</v>
      </c>
      <c r="K60" s="76">
        <f t="shared" si="18"/>
        <v>0.56208109702740705</v>
      </c>
      <c r="L60" s="76">
        <f t="shared" si="18"/>
        <v>0.88513292812565469</v>
      </c>
      <c r="M60" s="30">
        <f>Data!K206</f>
        <v>0.1331</v>
      </c>
      <c r="N60" s="30">
        <f>Data!K323 - M60</f>
        <v>0.24299999999999999</v>
      </c>
      <c r="O60" s="30">
        <f t="shared" si="5"/>
        <v>0.62390000000000001</v>
      </c>
      <c r="P60" s="30">
        <f>Data!P206</f>
        <v>0.10979999999999999</v>
      </c>
      <c r="Q60" s="30">
        <f>Data!P323 - P60</f>
        <v>0.21980000999999999</v>
      </c>
      <c r="R60" s="30">
        <f t="shared" si="20"/>
        <v>0.67039999000000006</v>
      </c>
      <c r="S60" s="77">
        <f t="shared" si="7"/>
        <v>0.56208109702740705</v>
      </c>
      <c r="T60" s="77">
        <f t="shared" si="8"/>
        <v>0.32305183109824764</v>
      </c>
      <c r="U60" s="77">
        <f t="shared" si="9"/>
        <v>0.11486707187434531</v>
      </c>
      <c r="V60" s="30">
        <f t="shared" si="21"/>
        <v>0.43791890297259295</v>
      </c>
      <c r="W60" s="3">
        <f t="shared" si="11"/>
        <v>0.57379939742309927</v>
      </c>
      <c r="X60" s="30">
        <f t="shared" si="15"/>
        <v>0.15873067736592028</v>
      </c>
      <c r="Y60" s="30">
        <f t="shared" si="12"/>
        <v>-0.24779872265730019</v>
      </c>
      <c r="Z60" s="30">
        <f t="shared" si="22"/>
        <v>0.10998217748208439</v>
      </c>
      <c r="AA60" s="30"/>
      <c r="AB60" s="30"/>
      <c r="AC60" s="30"/>
    </row>
    <row r="61" spans="1:29" x14ac:dyDescent="0.5">
      <c r="A61" s="1">
        <v>1988</v>
      </c>
      <c r="B61" s="73">
        <f>'Minimum Deflation Total'!F11</f>
        <v>5996.5</v>
      </c>
      <c r="C61" s="73">
        <f>Data!AC532*251.1 / CPI!B77</f>
        <v>76349.049976331356</v>
      </c>
      <c r="D61" s="74">
        <f>Data!F90*251.1 / CPI!B77</f>
        <v>6327909.5454775989</v>
      </c>
      <c r="E61" s="3">
        <f t="shared" si="1"/>
        <v>10.569971312689285</v>
      </c>
      <c r="F61" s="3">
        <f t="shared" si="14"/>
        <v>1.1602582082208908</v>
      </c>
      <c r="G61" s="73">
        <f t="shared" si="19"/>
        <v>172284.42708482049</v>
      </c>
      <c r="H61" s="73">
        <f t="shared" si="19"/>
        <v>579045.03183593065</v>
      </c>
      <c r="I61" s="75">
        <f t="shared" si="17"/>
        <v>0.12129335732371004</v>
      </c>
      <c r="J61" s="75">
        <f t="shared" si="17"/>
        <v>1.1660896658199502</v>
      </c>
      <c r="K61" s="76">
        <f t="shared" si="18"/>
        <v>0.54827065936939645</v>
      </c>
      <c r="L61" s="76">
        <f t="shared" si="18"/>
        <v>0.87821090278069114</v>
      </c>
      <c r="M61" s="30">
        <f>Data!K207</f>
        <v>0.14879999999999999</v>
      </c>
      <c r="N61" s="30">
        <f>Data!K324 - M61</f>
        <v>0.24069999000000003</v>
      </c>
      <c r="O61" s="30">
        <f t="shared" si="5"/>
        <v>0.61050000999999998</v>
      </c>
      <c r="P61" s="30">
        <f>Data!P207</f>
        <v>0.1242</v>
      </c>
      <c r="Q61" s="30">
        <f>Data!P324 - P61</f>
        <v>0.21960000999999998</v>
      </c>
      <c r="R61" s="30">
        <f t="shared" si="20"/>
        <v>0.65619999000000007</v>
      </c>
      <c r="S61" s="77">
        <f t="shared" si="7"/>
        <v>0.54827065936939645</v>
      </c>
      <c r="T61" s="77">
        <f t="shared" si="8"/>
        <v>0.32994024341129469</v>
      </c>
      <c r="U61" s="77">
        <f t="shared" si="9"/>
        <v>0.12178909721930886</v>
      </c>
      <c r="V61" s="30">
        <f t="shared" si="21"/>
        <v>0.45172934063060355</v>
      </c>
      <c r="W61" s="3">
        <f t="shared" si="11"/>
        <v>0.58802695609788724</v>
      </c>
      <c r="X61" s="30">
        <f t="shared" si="15"/>
        <v>0.22178424339620384</v>
      </c>
      <c r="Y61" s="30">
        <f t="shared" si="12"/>
        <v>-0.27047398792165567</v>
      </c>
      <c r="Z61" s="30">
        <f t="shared" si="22"/>
        <v>0.11350115051237242</v>
      </c>
      <c r="AA61" s="30"/>
      <c r="AB61" s="30"/>
      <c r="AC61" s="30"/>
    </row>
    <row r="62" spans="1:29" x14ac:dyDescent="0.5">
      <c r="A62">
        <v>1989</v>
      </c>
      <c r="B62" s="73">
        <f>'Minimum Deflation Total'!F12</f>
        <v>5996.5</v>
      </c>
      <c r="C62" s="73">
        <f>Data!AC533*251.1 / CPI!B78</f>
        <v>72931.180949999994</v>
      </c>
      <c r="D62" s="74">
        <f>Data!F91*251.1 / CPI!B78</f>
        <v>5661930.375</v>
      </c>
      <c r="E62" s="3">
        <f t="shared" si="1"/>
        <v>10.545504664052705</v>
      </c>
      <c r="F62" s="3">
        <f t="shared" si="14"/>
        <v>1.1417240338358401</v>
      </c>
      <c r="G62" s="73">
        <f t="shared" si="19"/>
        <v>164174.12593064536</v>
      </c>
      <c r="H62" s="73">
        <f t="shared" si="19"/>
        <v>541204.20385729067</v>
      </c>
      <c r="I62" s="75">
        <f t="shared" si="17"/>
        <v>0.1398275317087595</v>
      </c>
      <c r="J62" s="75">
        <f t="shared" si="17"/>
        <v>1.1846238402050004</v>
      </c>
      <c r="K62" s="76">
        <f t="shared" si="18"/>
        <v>0.55560187008497874</v>
      </c>
      <c r="L62" s="76">
        <f t="shared" si="18"/>
        <v>0.88191689663716788</v>
      </c>
      <c r="M62" s="30">
        <f>Data!K208</f>
        <v>0.14460000000000001</v>
      </c>
      <c r="N62" s="30">
        <f>Data!K325 - M62</f>
        <v>0.24209999999999998</v>
      </c>
      <c r="O62" s="30">
        <f t="shared" si="5"/>
        <v>0.61329999999999996</v>
      </c>
      <c r="P62" s="30">
        <f>Data!P208</f>
        <v>0.1206</v>
      </c>
      <c r="Q62" s="30">
        <f>Data!P325 - P62</f>
        <v>0.21910001000000001</v>
      </c>
      <c r="R62" s="30">
        <f t="shared" si="20"/>
        <v>0.66029998999999995</v>
      </c>
      <c r="S62" s="77">
        <f t="shared" si="7"/>
        <v>0.55560187008497874</v>
      </c>
      <c r="T62" s="77">
        <f t="shared" si="8"/>
        <v>0.32631502655218914</v>
      </c>
      <c r="U62" s="77">
        <f t="shared" si="9"/>
        <v>0.11808310336283212</v>
      </c>
      <c r="V62" s="30">
        <f t="shared" si="21"/>
        <v>0.44439812991502126</v>
      </c>
      <c r="W62" s="3">
        <f t="shared" si="11"/>
        <v>0.58051832033793338</v>
      </c>
      <c r="X62" s="30">
        <f t="shared" si="15"/>
        <v>0.2245613121776604</v>
      </c>
      <c r="Y62" s="30">
        <f t="shared" si="12"/>
        <v>-0.25807891056074383</v>
      </c>
      <c r="Z62" s="30">
        <f t="shared" si="22"/>
        <v>0.10384797644074939</v>
      </c>
      <c r="AA62" s="30"/>
      <c r="AB62" s="30"/>
      <c r="AC62" s="30"/>
    </row>
    <row r="63" spans="1:29" x14ac:dyDescent="0.5">
      <c r="A63" s="1">
        <v>1990</v>
      </c>
      <c r="B63" s="73">
        <f>'Minimum Deflation Total'!F13</f>
        <v>6802</v>
      </c>
      <c r="C63" s="73">
        <f>Data!AC534*251.1 / CPI!B79</f>
        <v>67883.257749043623</v>
      </c>
      <c r="D63" s="74">
        <f>Data!F92*251.1 / CPI!B79</f>
        <v>5381529.2834736044</v>
      </c>
      <c r="E63" s="3">
        <f t="shared" si="1"/>
        <v>10.506992607291483</v>
      </c>
      <c r="F63" s="3">
        <f t="shared" si="14"/>
        <v>1.1122518632687048</v>
      </c>
      <c r="G63" s="73">
        <f t="shared" ref="G63:H87" si="23">_xlfn.LOGNORM.INV(G$2,$E63,$F63)</f>
        <v>152116.3129450937</v>
      </c>
      <c r="H63" s="73">
        <f t="shared" si="23"/>
        <v>486249.60657032701</v>
      </c>
      <c r="I63" s="75">
        <f t="shared" si="17"/>
        <v>0.1692997022758968</v>
      </c>
      <c r="J63" s="75">
        <f t="shared" si="17"/>
        <v>1.2140960107721361</v>
      </c>
      <c r="K63" s="76">
        <f t="shared" si="18"/>
        <v>0.56721954492437154</v>
      </c>
      <c r="L63" s="76">
        <f t="shared" si="18"/>
        <v>0.88764446840828604</v>
      </c>
      <c r="M63" s="30">
        <f>Data!K209</f>
        <v>0.1454</v>
      </c>
      <c r="N63" s="30">
        <f>Data!K326 - M63</f>
        <v>0.24170000999999999</v>
      </c>
      <c r="O63" s="30">
        <f t="shared" si="5"/>
        <v>0.61289999000000006</v>
      </c>
      <c r="P63" s="30">
        <f>Data!P209</f>
        <v>0.1208</v>
      </c>
      <c r="Q63" s="30">
        <f>Data!P326 - P63</f>
        <v>0.21839998999999999</v>
      </c>
      <c r="R63" s="30">
        <f t="shared" si="20"/>
        <v>0.66080000999999999</v>
      </c>
      <c r="S63" s="77">
        <f t="shared" si="7"/>
        <v>0.56721954492437154</v>
      </c>
      <c r="T63" s="77">
        <f t="shared" si="8"/>
        <v>0.32042492348391449</v>
      </c>
      <c r="U63" s="77">
        <f t="shared" si="9"/>
        <v>0.11235553159171396</v>
      </c>
      <c r="V63" s="30">
        <f t="shared" si="21"/>
        <v>0.43278045507562846</v>
      </c>
      <c r="W63" s="3">
        <f t="shared" si="11"/>
        <v>0.56841415735837564</v>
      </c>
      <c r="X63" s="30">
        <f t="shared" si="15"/>
        <v>0.29410628867268884</v>
      </c>
      <c r="Y63" s="30">
        <f t="shared" si="12"/>
        <v>-0.24568910753868534</v>
      </c>
      <c r="Z63" s="30">
        <f t="shared" si="22"/>
        <v>8.0533975749582432E-2</v>
      </c>
      <c r="AA63" s="30"/>
      <c r="AB63" s="30"/>
      <c r="AC63" s="30"/>
    </row>
    <row r="64" spans="1:29" x14ac:dyDescent="0.5">
      <c r="A64">
        <v>1991</v>
      </c>
      <c r="B64" s="73">
        <f>'Minimum Deflation Total'!F14</f>
        <v>7607.5</v>
      </c>
      <c r="C64" s="73">
        <f>Data!AC535*251.1 / CPI!B80</f>
        <v>66436.969024229082</v>
      </c>
      <c r="D64" s="74">
        <f>Data!F93*251.1 / CPI!B80</f>
        <v>4681474.661894273</v>
      </c>
      <c r="E64" s="3">
        <f t="shared" si="1"/>
        <v>10.531160506362458</v>
      </c>
      <c r="F64" s="3">
        <f t="shared" si="14"/>
        <v>1.0703723058641488</v>
      </c>
      <c r="G64" s="73">
        <f t="shared" si="23"/>
        <v>147693.99495597344</v>
      </c>
      <c r="H64" s="73">
        <f t="shared" si="23"/>
        <v>451901.19714900973</v>
      </c>
      <c r="I64" s="75">
        <f t="shared" si="17"/>
        <v>0.21117925968045254</v>
      </c>
      <c r="J64" s="75">
        <f t="shared" si="17"/>
        <v>1.2559755681766918</v>
      </c>
      <c r="K64" s="76">
        <f t="shared" si="18"/>
        <v>0.5836263029097708</v>
      </c>
      <c r="L64" s="76">
        <f t="shared" si="18"/>
        <v>0.89543758586214683</v>
      </c>
      <c r="M64" s="30">
        <f>Data!K210</f>
        <v>0.1389</v>
      </c>
      <c r="N64" s="30">
        <f>Data!K327 - M64</f>
        <v>0.2467</v>
      </c>
      <c r="O64" s="30">
        <f t="shared" si="5"/>
        <v>0.61439999999999995</v>
      </c>
      <c r="P64" s="30">
        <f>Data!P210</f>
        <v>0.115</v>
      </c>
      <c r="Q64" s="30">
        <f>Data!P327 - P64</f>
        <v>0.22180000999999999</v>
      </c>
      <c r="R64" s="30">
        <f t="shared" si="20"/>
        <v>0.66319999000000007</v>
      </c>
      <c r="S64" s="77">
        <f t="shared" si="7"/>
        <v>0.5836263029097708</v>
      </c>
      <c r="T64" s="77">
        <f t="shared" si="8"/>
        <v>0.31181128295237603</v>
      </c>
      <c r="U64" s="77">
        <f t="shared" si="9"/>
        <v>0.10456241413785317</v>
      </c>
      <c r="V64" s="30">
        <f t="shared" si="21"/>
        <v>0.4163736970902292</v>
      </c>
      <c r="W64" s="3">
        <f t="shared" si="11"/>
        <v>0.55087076145603908</v>
      </c>
      <c r="X64" s="30">
        <f t="shared" si="15"/>
        <v>0.32839320080040224</v>
      </c>
      <c r="Y64" s="30">
        <f t="shared" si="12"/>
        <v>-0.20881631458577044</v>
      </c>
      <c r="Z64" s="30">
        <f t="shared" si="22"/>
        <v>5.2728427311794501E-2</v>
      </c>
      <c r="AA64" s="30"/>
      <c r="AB64" s="30"/>
      <c r="AC64" s="30"/>
    </row>
    <row r="65" spans="1:29" x14ac:dyDescent="0.5">
      <c r="A65" s="1">
        <v>1992</v>
      </c>
      <c r="B65" s="73">
        <f>'Minimum Deflation Total'!F15</f>
        <v>7607.5</v>
      </c>
      <c r="C65" s="73">
        <f>Data!AC536*251.1 / CPI!B81</f>
        <v>64972.257440484675</v>
      </c>
      <c r="D65" s="74">
        <f>Data!F94*251.1 / CPI!B81</f>
        <v>5219234.3071988588</v>
      </c>
      <c r="E65" s="3">
        <f t="shared" si="1"/>
        <v>10.489304715771581</v>
      </c>
      <c r="F65" s="3">
        <f t="shared" si="14"/>
        <v>1.0884952304806361</v>
      </c>
      <c r="G65" s="73">
        <f t="shared" si="23"/>
        <v>144967.88041447863</v>
      </c>
      <c r="H65" s="73">
        <f t="shared" si="23"/>
        <v>452038.79333946755</v>
      </c>
      <c r="I65" s="75">
        <f t="shared" si="17"/>
        <v>0.19305633506396463</v>
      </c>
      <c r="J65" s="75">
        <f t="shared" si="17"/>
        <v>1.2378526435602049</v>
      </c>
      <c r="K65" s="76">
        <f t="shared" si="18"/>
        <v>0.57654257557305799</v>
      </c>
      <c r="L65" s="76">
        <f t="shared" si="18"/>
        <v>0.89211464778198635</v>
      </c>
      <c r="M65" s="30">
        <f>Data!K211</f>
        <v>0.15009998999999999</v>
      </c>
      <c r="N65" s="30">
        <f>Data!K328 - M65</f>
        <v>0.24770001</v>
      </c>
      <c r="O65" s="30">
        <f t="shared" si="5"/>
        <v>0.60220000000000007</v>
      </c>
      <c r="P65" s="30">
        <f>Data!P211</f>
        <v>0.1234</v>
      </c>
      <c r="Q65" s="30">
        <f>Data!P328 - P65</f>
        <v>0.22209998999999997</v>
      </c>
      <c r="R65" s="30">
        <f t="shared" si="20"/>
        <v>0.65450001000000002</v>
      </c>
      <c r="S65" s="77">
        <f t="shared" si="7"/>
        <v>0.57654257557305799</v>
      </c>
      <c r="T65" s="77">
        <f t="shared" si="8"/>
        <v>0.31557207220892836</v>
      </c>
      <c r="U65" s="77">
        <f t="shared" si="9"/>
        <v>0.10788535221801365</v>
      </c>
      <c r="V65" s="30">
        <f t="shared" si="21"/>
        <v>0.42345742442694201</v>
      </c>
      <c r="W65" s="3">
        <f t="shared" si="11"/>
        <v>0.55851166282329978</v>
      </c>
      <c r="X65" s="30">
        <f t="shared" si="15"/>
        <v>0.39129165279712308</v>
      </c>
      <c r="Y65" s="30">
        <f t="shared" si="12"/>
        <v>-0.21507626366883581</v>
      </c>
      <c r="Z65" s="30">
        <f t="shared" si="22"/>
        <v>4.4502219808207011E-2</v>
      </c>
      <c r="AA65" s="30"/>
      <c r="AB65" s="30"/>
      <c r="AC65" s="30"/>
    </row>
    <row r="66" spans="1:29" x14ac:dyDescent="0.5">
      <c r="A66">
        <v>1993</v>
      </c>
      <c r="B66" s="73">
        <f>'Minimum Deflation Total'!F16</f>
        <v>7607.5</v>
      </c>
      <c r="C66" s="73">
        <f>Data!AC537*251.1 / CPI!B82</f>
        <v>65070.345936332182</v>
      </c>
      <c r="D66" s="74">
        <f>Data!F95*251.1 / CPI!B82</f>
        <v>4961639.5567474039</v>
      </c>
      <c r="E66" s="3">
        <f t="shared" si="1"/>
        <v>10.499959961818906</v>
      </c>
      <c r="F66" s="3">
        <f t="shared" si="14"/>
        <v>1.0800594863507167</v>
      </c>
      <c r="G66" s="73">
        <f t="shared" si="23"/>
        <v>144945.32588476763</v>
      </c>
      <c r="H66" s="73">
        <f t="shared" si="23"/>
        <v>448002.48207534984</v>
      </c>
      <c r="I66" s="75">
        <f t="shared" si="17"/>
        <v>0.20149207919388393</v>
      </c>
      <c r="J66" s="75">
        <f t="shared" si="17"/>
        <v>1.2462883876901243</v>
      </c>
      <c r="K66" s="76">
        <f t="shared" si="18"/>
        <v>0.57984308884106905</v>
      </c>
      <c r="L66" s="76">
        <f t="shared" si="18"/>
        <v>0.89367073025033306</v>
      </c>
      <c r="M66" s="30">
        <f>Data!K212</f>
        <v>0.1464</v>
      </c>
      <c r="N66" s="30">
        <f>Data!K329 - M66</f>
        <v>0.24919999000000001</v>
      </c>
      <c r="O66" s="30">
        <f t="shared" si="5"/>
        <v>0.60440000999999999</v>
      </c>
      <c r="P66" s="30">
        <f>Data!P212</f>
        <v>0.1173</v>
      </c>
      <c r="Q66" s="30">
        <f>Data!P329 - P66</f>
        <v>0.22320000000000001</v>
      </c>
      <c r="R66" s="30">
        <f t="shared" si="20"/>
        <v>0.65949999999999998</v>
      </c>
      <c r="S66" s="77">
        <f t="shared" si="7"/>
        <v>0.57984308884106905</v>
      </c>
      <c r="T66" s="77">
        <f t="shared" si="8"/>
        <v>0.313827641409264</v>
      </c>
      <c r="U66" s="77">
        <f t="shared" si="9"/>
        <v>0.10632926974966694</v>
      </c>
      <c r="V66" s="30">
        <f t="shared" si="21"/>
        <v>0.42015691115893095</v>
      </c>
      <c r="W66" s="3">
        <f t="shared" si="11"/>
        <v>0.55496432281232533</v>
      </c>
      <c r="X66" s="30">
        <f t="shared" si="15"/>
        <v>0.37685512507207419</v>
      </c>
      <c r="Y66" s="30">
        <f t="shared" si="12"/>
        <v>-0.20593358545171225</v>
      </c>
      <c r="Z66" s="30">
        <f t="shared" si="22"/>
        <v>4.2350976723742217E-2</v>
      </c>
      <c r="AA66" s="30"/>
      <c r="AB66" s="30"/>
      <c r="AC66" s="30"/>
    </row>
    <row r="67" spans="1:29" x14ac:dyDescent="0.5">
      <c r="A67" s="1">
        <v>1994</v>
      </c>
      <c r="B67" s="73">
        <f>'Minimum Deflation Total'!F17</f>
        <v>7607.5</v>
      </c>
      <c r="C67" s="73">
        <f>Data!AC538*251.1 / CPI!B83</f>
        <v>64826.161688259119</v>
      </c>
      <c r="D67" s="74">
        <f>Data!F96*251.1 / CPI!B83</f>
        <v>4992539.8026315793</v>
      </c>
      <c r="E67" s="3">
        <f t="shared" ref="E67:E87" si="24">LN(C67)-F67^2/2</f>
        <v>10.49508215364909</v>
      </c>
      <c r="F67" s="3">
        <f t="shared" si="14"/>
        <v>1.0810942391590406</v>
      </c>
      <c r="G67" s="73">
        <f t="shared" si="23"/>
        <v>144431.43394417828</v>
      </c>
      <c r="H67" s="73">
        <f t="shared" si="23"/>
        <v>446897.0074035991</v>
      </c>
      <c r="I67" s="75">
        <f t="shared" ref="I67:J87" si="25">(LN(G67)-($E67+$F67^2))/$F67</f>
        <v>0.20045732638555944</v>
      </c>
      <c r="J67" s="75">
        <f t="shared" si="25"/>
        <v>1.2452536348818</v>
      </c>
      <c r="K67" s="76">
        <f t="shared" ref="K67:L87" si="26">_xlfn.NORM.DIST(I67,0,1,TRUE)</f>
        <v>0.57943853539639711</v>
      </c>
      <c r="L67" s="76">
        <f t="shared" si="26"/>
        <v>0.89348073356435709</v>
      </c>
      <c r="M67" s="30">
        <f>Data!K213</f>
        <v>0.1469</v>
      </c>
      <c r="N67" s="30">
        <f>Data!K330 - M67</f>
        <v>0.25170000999999997</v>
      </c>
      <c r="O67" s="30">
        <f t="shared" ref="O67:O87" si="27">1-N67 - M67</f>
        <v>0.60139999</v>
      </c>
      <c r="P67" s="30">
        <f>Data!P213</f>
        <v>0.1163</v>
      </c>
      <c r="Q67" s="30">
        <f>Data!P330 - P67</f>
        <v>0.22489998999999999</v>
      </c>
      <c r="R67" s="30">
        <f t="shared" si="20"/>
        <v>0.6588000100000001</v>
      </c>
      <c r="S67" s="77">
        <f t="shared" ref="S67:S87" si="28">K67</f>
        <v>0.57943853539639711</v>
      </c>
      <c r="T67" s="77">
        <f t="shared" ref="T67:T87" si="29">L67-K67</f>
        <v>0.31404219816795997</v>
      </c>
      <c r="U67" s="77">
        <f t="shared" ref="U67:U87" si="30">1-L67</f>
        <v>0.10651926643564291</v>
      </c>
      <c r="V67" s="30">
        <f t="shared" si="21"/>
        <v>0.42056146460360289</v>
      </c>
      <c r="W67" s="3">
        <f t="shared" ref="W67:W87" si="31">2*_xlfn.NORM.DIST(F67/SQRT(2),0,1,TRUE)-1</f>
        <v>0.55540032240248527</v>
      </c>
      <c r="X67" s="30">
        <f t="shared" si="15"/>
        <v>0.37909323745441337</v>
      </c>
      <c r="Y67" s="30">
        <f t="shared" ref="Y67:Y87" si="32">N67/T67 - 1</f>
        <v>-0.19851532224537982</v>
      </c>
      <c r="Z67" s="30">
        <f t="shared" si="22"/>
        <v>3.7901266936930522E-2</v>
      </c>
      <c r="AA67" s="30"/>
      <c r="AB67" s="30"/>
      <c r="AC67" s="30"/>
    </row>
    <row r="68" spans="1:29" x14ac:dyDescent="0.5">
      <c r="A68">
        <v>1995</v>
      </c>
      <c r="B68" s="73">
        <f>'Minimum Deflation Total'!F18</f>
        <v>7607.5</v>
      </c>
      <c r="C68" s="73">
        <f>Data!AC539*251.1 / CPI!B84</f>
        <v>64999.142964566934</v>
      </c>
      <c r="D68" s="74">
        <f>Data!F97*251.1 / CPI!B84</f>
        <v>5229878.0120078735</v>
      </c>
      <c r="E68" s="3">
        <f t="shared" si="24"/>
        <v>10.489348783755988</v>
      </c>
      <c r="F68" s="3">
        <f t="shared" ref="F68:F87" si="33">(LN(D68)-LN(B68))/6</f>
        <v>1.0888347715556781</v>
      </c>
      <c r="G68" s="73">
        <f t="shared" si="23"/>
        <v>145037.36674058728</v>
      </c>
      <c r="H68" s="73">
        <f t="shared" si="23"/>
        <v>452415.93223517248</v>
      </c>
      <c r="I68" s="75">
        <f t="shared" si="25"/>
        <v>0.19271679398892216</v>
      </c>
      <c r="J68" s="75">
        <f t="shared" si="25"/>
        <v>1.2375131024851624</v>
      </c>
      <c r="K68" s="76">
        <f t="shared" si="26"/>
        <v>0.57640961484919173</v>
      </c>
      <c r="L68" s="76">
        <f t="shared" si="26"/>
        <v>0.89205167346673664</v>
      </c>
      <c r="M68" s="30">
        <f>Data!K214</f>
        <v>0.15279999</v>
      </c>
      <c r="N68" s="30">
        <f>Data!K331 - M68</f>
        <v>0.25380001000000002</v>
      </c>
      <c r="O68" s="30">
        <f t="shared" si="27"/>
        <v>0.59340000000000004</v>
      </c>
      <c r="P68" s="30">
        <f>Data!P214</f>
        <v>0.1205</v>
      </c>
      <c r="Q68" s="30">
        <f>Data!P331 - P68</f>
        <v>0.22649999999999998</v>
      </c>
      <c r="R68" s="30">
        <f t="shared" si="20"/>
        <v>0.65300000000000002</v>
      </c>
      <c r="S68" s="77">
        <f t="shared" si="28"/>
        <v>0.57640961484919173</v>
      </c>
      <c r="T68" s="77">
        <f t="shared" si="29"/>
        <v>0.31564205861754491</v>
      </c>
      <c r="U68" s="77">
        <f t="shared" si="30"/>
        <v>0.10794832653326336</v>
      </c>
      <c r="V68" s="30">
        <f t="shared" si="21"/>
        <v>0.42359038515080827</v>
      </c>
      <c r="W68" s="3">
        <f t="shared" si="31"/>
        <v>0.55865410442620411</v>
      </c>
      <c r="X68" s="30">
        <f t="shared" ref="X68:X87" si="34">M68/U68 - 1</f>
        <v>0.41549197571780772</v>
      </c>
      <c r="Y68" s="30">
        <f t="shared" si="32"/>
        <v>-0.19592461438251252</v>
      </c>
      <c r="Z68" s="30">
        <f t="shared" si="22"/>
        <v>2.9476234804399537E-2</v>
      </c>
      <c r="AA68" s="30"/>
      <c r="AB68" s="30"/>
      <c r="AC68" s="30"/>
    </row>
    <row r="69" spans="1:29" x14ac:dyDescent="0.5">
      <c r="A69" s="1">
        <v>1996</v>
      </c>
      <c r="B69" s="73">
        <f>'Minimum Deflation Total'!F19</f>
        <v>8502.5</v>
      </c>
      <c r="C69" s="73">
        <f>Data!AC540*251.1 / CPI!B85</f>
        <v>65460.441682600373</v>
      </c>
      <c r="D69" s="74">
        <f>Data!F98*251.1 / CPI!B85</f>
        <v>5660672.6099426383</v>
      </c>
      <c r="E69" s="3">
        <f t="shared" si="24"/>
        <v>10.50222640950552</v>
      </c>
      <c r="F69" s="3">
        <f t="shared" si="33"/>
        <v>1.0834896269860879</v>
      </c>
      <c r="G69" s="73">
        <f t="shared" si="23"/>
        <v>145914.22633893092</v>
      </c>
      <c r="H69" s="73">
        <f t="shared" si="23"/>
        <v>452616.37880788563</v>
      </c>
      <c r="I69" s="75">
        <f t="shared" si="25"/>
        <v>0.19806193855851298</v>
      </c>
      <c r="J69" s="75">
        <f t="shared" si="25"/>
        <v>1.2428582470547533</v>
      </c>
      <c r="K69" s="76">
        <f t="shared" si="26"/>
        <v>0.57850169824867792</v>
      </c>
      <c r="L69" s="76">
        <f t="shared" si="26"/>
        <v>0.89303996301918886</v>
      </c>
      <c r="M69" s="30">
        <f>Data!K215</f>
        <v>0.15970001</v>
      </c>
      <c r="N69" s="30">
        <f>Data!K332 - M69</f>
        <v>0.25579997999999998</v>
      </c>
      <c r="O69" s="30">
        <f t="shared" si="27"/>
        <v>0.58450001000000007</v>
      </c>
      <c r="P69" s="30">
        <f>Data!P215</f>
        <v>0.12479999999999999</v>
      </c>
      <c r="Q69" s="30">
        <f>Data!P332 - P69</f>
        <v>0.22830000000000003</v>
      </c>
      <c r="R69" s="30">
        <f t="shared" si="20"/>
        <v>0.64689999999999992</v>
      </c>
      <c r="S69" s="77">
        <f t="shared" si="28"/>
        <v>0.57850169824867792</v>
      </c>
      <c r="T69" s="77">
        <f t="shared" si="29"/>
        <v>0.31453826477051094</v>
      </c>
      <c r="U69" s="77">
        <f t="shared" si="30"/>
        <v>0.10696003698081114</v>
      </c>
      <c r="V69" s="30">
        <f t="shared" si="21"/>
        <v>0.42149830175132208</v>
      </c>
      <c r="W69" s="3">
        <f t="shared" si="31"/>
        <v>0.55640869848738506</v>
      </c>
      <c r="X69" s="30">
        <f t="shared" si="34"/>
        <v>0.49308110307264141</v>
      </c>
      <c r="Y69" s="30">
        <f t="shared" si="32"/>
        <v>-0.18674448024111401</v>
      </c>
      <c r="Z69" s="30">
        <f t="shared" si="22"/>
        <v>1.0368702061689827E-2</v>
      </c>
      <c r="AA69" s="30"/>
      <c r="AB69" s="30"/>
      <c r="AC69" s="30"/>
    </row>
    <row r="70" spans="1:29" x14ac:dyDescent="0.5">
      <c r="A70">
        <v>1997</v>
      </c>
      <c r="B70" s="73">
        <f>'Minimum Deflation Total'!F20</f>
        <v>9218.5</v>
      </c>
      <c r="C70" s="73">
        <f>Data!AC541*251.1 / CPI!B86</f>
        <v>66475.320678504679</v>
      </c>
      <c r="D70" s="74">
        <f>Data!F99*251.1 / CPI!B86</f>
        <v>6145042.7943925234</v>
      </c>
      <c r="E70" s="3">
        <f t="shared" si="24"/>
        <v>10.517385244864208</v>
      </c>
      <c r="F70" s="3">
        <f t="shared" si="33"/>
        <v>1.0836981085912092</v>
      </c>
      <c r="G70" s="73">
        <f t="shared" si="23"/>
        <v>148182.55205741231</v>
      </c>
      <c r="H70" s="73">
        <f t="shared" si="23"/>
        <v>459752.70950823382</v>
      </c>
      <c r="I70" s="75">
        <f t="shared" si="25"/>
        <v>0.1978534569533916</v>
      </c>
      <c r="J70" s="75">
        <f t="shared" si="25"/>
        <v>1.2426497654496316</v>
      </c>
      <c r="K70" s="76">
        <f t="shared" si="26"/>
        <v>0.57842013990377383</v>
      </c>
      <c r="L70" s="76">
        <f t="shared" si="26"/>
        <v>0.89300153858668962</v>
      </c>
      <c r="M70" s="30">
        <f>Data!K216</f>
        <v>0.1663</v>
      </c>
      <c r="N70" s="30">
        <f>Data!K333 - M70</f>
        <v>0.25639999000000002</v>
      </c>
      <c r="O70" s="30">
        <f t="shared" si="27"/>
        <v>0.57730000999999997</v>
      </c>
      <c r="P70" s="30">
        <f>Data!P216</f>
        <v>0.12980000999999999</v>
      </c>
      <c r="Q70" s="30">
        <f>Data!P333 - P70</f>
        <v>0.22890000000000002</v>
      </c>
      <c r="R70" s="30">
        <f t="shared" si="20"/>
        <v>0.64129999000000004</v>
      </c>
      <c r="S70" s="77">
        <f t="shared" si="28"/>
        <v>0.57842013990377383</v>
      </c>
      <c r="T70" s="77">
        <f t="shared" si="29"/>
        <v>0.31458139868291579</v>
      </c>
      <c r="U70" s="77">
        <f t="shared" si="30"/>
        <v>0.10699846141331038</v>
      </c>
      <c r="V70" s="30">
        <f t="shared" si="21"/>
        <v>0.42157986009622617</v>
      </c>
      <c r="W70" s="3">
        <f t="shared" si="31"/>
        <v>0.55649640024598535</v>
      </c>
      <c r="X70" s="30">
        <f t="shared" si="34"/>
        <v>0.55422795620977627</v>
      </c>
      <c r="Y70" s="30">
        <f t="shared" si="32"/>
        <v>-0.18494866170253144</v>
      </c>
      <c r="Z70" s="30">
        <f t="shared" si="22"/>
        <v>-1.9365333716772071E-3</v>
      </c>
      <c r="AA70" s="30"/>
      <c r="AB70" s="30"/>
      <c r="AC70" s="30"/>
    </row>
    <row r="71" spans="1:29" x14ac:dyDescent="0.5">
      <c r="A71" s="1">
        <v>1998</v>
      </c>
      <c r="B71" s="73">
        <f>'Minimum Deflation Total'!F21</f>
        <v>9218.5</v>
      </c>
      <c r="C71" s="73">
        <f>Data!AC542*251.1 / CPI!B87</f>
        <v>67491.825692024533</v>
      </c>
      <c r="D71" s="74">
        <f>Data!F100*251.1 / CPI!B87</f>
        <v>6344168.2823926378</v>
      </c>
      <c r="E71" s="3">
        <f t="shared" si="24"/>
        <v>10.526786938310524</v>
      </c>
      <c r="F71" s="3">
        <f t="shared" si="33"/>
        <v>1.089013159110485</v>
      </c>
      <c r="G71" s="73">
        <f t="shared" si="23"/>
        <v>150604.64802737295</v>
      </c>
      <c r="H71" s="73">
        <f t="shared" si="23"/>
        <v>469869.55180428218</v>
      </c>
      <c r="I71" s="75">
        <f t="shared" si="25"/>
        <v>0.19253840643411396</v>
      </c>
      <c r="J71" s="75">
        <f t="shared" si="25"/>
        <v>1.2373347149303549</v>
      </c>
      <c r="K71" s="76">
        <f t="shared" si="26"/>
        <v>0.57633975666639237</v>
      </c>
      <c r="L71" s="76">
        <f t="shared" si="26"/>
        <v>0.89201857751535174</v>
      </c>
      <c r="M71" s="30">
        <f>Data!K217</f>
        <v>0.16919999999999999</v>
      </c>
      <c r="N71" s="30">
        <f>Data!K334 - M71</f>
        <v>0.25709999000000006</v>
      </c>
      <c r="O71" s="30">
        <f t="shared" si="27"/>
        <v>0.57370000999999993</v>
      </c>
      <c r="P71" s="30">
        <f>Data!P217</f>
        <v>0.13109999999999999</v>
      </c>
      <c r="Q71" s="30">
        <f>Data!P334 - P71</f>
        <v>0.22920000000000001</v>
      </c>
      <c r="R71" s="30">
        <f t="shared" si="20"/>
        <v>0.63969999999999994</v>
      </c>
      <c r="S71" s="77">
        <f t="shared" si="28"/>
        <v>0.57633975666639237</v>
      </c>
      <c r="T71" s="77">
        <f t="shared" si="29"/>
        <v>0.31567882084895937</v>
      </c>
      <c r="U71" s="77">
        <f t="shared" si="30"/>
        <v>0.10798142248464826</v>
      </c>
      <c r="V71" s="30">
        <f t="shared" si="21"/>
        <v>0.42366024333360763</v>
      </c>
      <c r="W71" s="3">
        <f t="shared" si="31"/>
        <v>0.55872892962150944</v>
      </c>
      <c r="X71" s="30">
        <f t="shared" si="34"/>
        <v>0.56693620167909153</v>
      </c>
      <c r="Y71" s="30">
        <f t="shared" si="32"/>
        <v>-0.18556465299579639</v>
      </c>
      <c r="Z71" s="30">
        <f t="shared" si="22"/>
        <v>-4.5801918674862607E-3</v>
      </c>
      <c r="AA71" s="30"/>
      <c r="AB71" s="30"/>
      <c r="AC71" s="30"/>
    </row>
    <row r="72" spans="1:29" x14ac:dyDescent="0.5">
      <c r="A72">
        <v>1999</v>
      </c>
      <c r="B72" s="73">
        <f>'Minimum Deflation Total'!F22</f>
        <v>9218.5</v>
      </c>
      <c r="C72" s="73">
        <f>Data!AC543*251.1 / CPI!B88</f>
        <v>68277.797719087641</v>
      </c>
      <c r="D72" s="74">
        <f>Data!F101*251.1 / CPI!B88</f>
        <v>6881637.4060624242</v>
      </c>
      <c r="E72" s="3">
        <f t="shared" si="24"/>
        <v>10.523513375767283</v>
      </c>
      <c r="F72" s="3">
        <f t="shared" si="33"/>
        <v>1.1025665938583267</v>
      </c>
      <c r="G72" s="73">
        <f t="shared" si="23"/>
        <v>152742.58313036166</v>
      </c>
      <c r="H72" s="73">
        <f t="shared" si="23"/>
        <v>483335.75080325821</v>
      </c>
      <c r="I72" s="75">
        <f t="shared" si="25"/>
        <v>0.17898497168627309</v>
      </c>
      <c r="J72" s="75">
        <f t="shared" si="25"/>
        <v>1.2237812801825132</v>
      </c>
      <c r="K72" s="76">
        <f t="shared" si="26"/>
        <v>0.57102524900006513</v>
      </c>
      <c r="L72" s="76">
        <f t="shared" si="26"/>
        <v>0.8894826260137666</v>
      </c>
      <c r="M72" s="30">
        <f>Data!K218</f>
        <v>0.17710000000000001</v>
      </c>
      <c r="N72" s="30">
        <f>Data!K335 - M72</f>
        <v>0.25639999000000002</v>
      </c>
      <c r="O72" s="30">
        <f t="shared" si="27"/>
        <v>0.56650000999999994</v>
      </c>
      <c r="P72" s="30">
        <f>Data!P218</f>
        <v>0.13689999</v>
      </c>
      <c r="Q72" s="30">
        <f>Data!P335 - P72</f>
        <v>0.22840001000000001</v>
      </c>
      <c r="R72" s="30">
        <f t="shared" si="20"/>
        <v>0.63470000000000004</v>
      </c>
      <c r="S72" s="77">
        <f t="shared" si="28"/>
        <v>0.57102524900006513</v>
      </c>
      <c r="T72" s="77">
        <f t="shared" si="29"/>
        <v>0.31845737701370147</v>
      </c>
      <c r="U72" s="77">
        <f t="shared" si="30"/>
        <v>0.1105173739862334</v>
      </c>
      <c r="V72" s="30">
        <f t="shared" si="21"/>
        <v>0.42897475099993487</v>
      </c>
      <c r="W72" s="3">
        <f t="shared" si="31"/>
        <v>0.56439267083987366</v>
      </c>
      <c r="X72" s="30">
        <f t="shared" si="34"/>
        <v>0.60246297583998398</v>
      </c>
      <c r="Y72" s="30">
        <f t="shared" si="32"/>
        <v>-0.19486873752348799</v>
      </c>
      <c r="Z72" s="30">
        <f t="shared" si="22"/>
        <v>-7.9247616598204784E-3</v>
      </c>
      <c r="AA72" s="30"/>
      <c r="AB72" s="30"/>
      <c r="AC72" s="30"/>
    </row>
    <row r="73" spans="1:29" x14ac:dyDescent="0.5">
      <c r="A73" s="1">
        <v>2000</v>
      </c>
      <c r="B73" s="73">
        <f>'Minimum Deflation Total'!F23</f>
        <v>9218.5</v>
      </c>
      <c r="C73" s="73">
        <f>Data!AC544*251.1 / CPI!B89</f>
        <v>65788.345818815331</v>
      </c>
      <c r="D73" s="74">
        <f>Data!F102*251.1 / CPI!B89</f>
        <v>7288926.2796167247</v>
      </c>
      <c r="E73" s="3">
        <f t="shared" si="24"/>
        <v>10.4757593247675</v>
      </c>
      <c r="F73" s="3">
        <f t="shared" si="33"/>
        <v>1.1121498654799933</v>
      </c>
      <c r="G73" s="73">
        <f t="shared" si="23"/>
        <v>147419.37954742825</v>
      </c>
      <c r="H73" s="73">
        <f t="shared" si="23"/>
        <v>471185.34054680815</v>
      </c>
      <c r="I73" s="75">
        <f t="shared" si="25"/>
        <v>0.16940170006460711</v>
      </c>
      <c r="J73" s="75">
        <f t="shared" si="25"/>
        <v>1.2141980085608473</v>
      </c>
      <c r="K73" s="76">
        <f t="shared" si="26"/>
        <v>0.56725965681320933</v>
      </c>
      <c r="L73" s="76">
        <f t="shared" si="26"/>
        <v>0.88766393960184953</v>
      </c>
      <c r="M73" s="30">
        <f>Data!K219</f>
        <v>0.18269999000000001</v>
      </c>
      <c r="N73" s="30">
        <f>Data!K336 - M73</f>
        <v>0.25610001999999998</v>
      </c>
      <c r="O73" s="30">
        <f t="shared" si="27"/>
        <v>0.56119998999999998</v>
      </c>
      <c r="P73" s="30">
        <f>Data!P219</f>
        <v>0.14080000000000001</v>
      </c>
      <c r="Q73" s="30">
        <f>Data!P336 - P73</f>
        <v>0.22879999999999998</v>
      </c>
      <c r="R73" s="30">
        <f t="shared" si="20"/>
        <v>0.63039999999999996</v>
      </c>
      <c r="S73" s="77">
        <f t="shared" si="28"/>
        <v>0.56725965681320933</v>
      </c>
      <c r="T73" s="77">
        <f t="shared" si="29"/>
        <v>0.32040428278864019</v>
      </c>
      <c r="U73" s="77">
        <f t="shared" si="30"/>
        <v>0.11233606039815047</v>
      </c>
      <c r="V73" s="30">
        <f t="shared" si="21"/>
        <v>0.43274034318679067</v>
      </c>
      <c r="W73" s="3">
        <f t="shared" si="31"/>
        <v>0.56837191858920311</v>
      </c>
      <c r="X73" s="30">
        <f t="shared" si="34"/>
        <v>0.62636992389140267</v>
      </c>
      <c r="Y73" s="30">
        <f t="shared" si="32"/>
        <v>-0.20069726356017392</v>
      </c>
      <c r="Z73" s="30">
        <f t="shared" si="22"/>
        <v>-1.0682351089890241E-2</v>
      </c>
      <c r="AA73" s="30"/>
      <c r="AB73" s="30"/>
      <c r="AC73" s="30"/>
    </row>
    <row r="74" spans="1:29" x14ac:dyDescent="0.5">
      <c r="A74">
        <v>2001</v>
      </c>
      <c r="B74" s="73">
        <f>'Minimum Deflation Total'!F24</f>
        <v>9218.5</v>
      </c>
      <c r="C74" s="73">
        <f>Data!AC545*251.1 / CPI!B90</f>
        <v>63964.852450028229</v>
      </c>
      <c r="D74" s="74">
        <f>Data!F103*251.1 / CPI!B90</f>
        <v>6507492.5708639184</v>
      </c>
      <c r="E74" s="3">
        <f t="shared" si="24"/>
        <v>10.468491767110311</v>
      </c>
      <c r="F74" s="3">
        <f t="shared" si="33"/>
        <v>1.0932495267855016</v>
      </c>
      <c r="G74" s="73">
        <f t="shared" si="23"/>
        <v>142849.57174123405</v>
      </c>
      <c r="H74" s="73">
        <f t="shared" si="23"/>
        <v>447651.57728932402</v>
      </c>
      <c r="I74" s="75">
        <f t="shared" si="25"/>
        <v>0.18830203875910007</v>
      </c>
      <c r="J74" s="75">
        <f t="shared" si="25"/>
        <v>1.2330983472553392</v>
      </c>
      <c r="K74" s="76">
        <f t="shared" si="26"/>
        <v>0.57468005637750985</v>
      </c>
      <c r="L74" s="76">
        <f t="shared" si="26"/>
        <v>0.89123046298589137</v>
      </c>
      <c r="M74" s="30">
        <f>Data!K220</f>
        <v>0.17269999999999999</v>
      </c>
      <c r="N74" s="30">
        <f>Data!K337 - M74</f>
        <v>0.25529999999999997</v>
      </c>
      <c r="O74" s="30">
        <f t="shared" si="27"/>
        <v>0.57200000000000006</v>
      </c>
      <c r="P74" s="30">
        <f>Data!P220</f>
        <v>0.13770001000000001</v>
      </c>
      <c r="Q74" s="30">
        <f>Data!P337 - P74</f>
        <v>0.22769998</v>
      </c>
      <c r="R74" s="30">
        <f t="shared" si="20"/>
        <v>0.63460000999999999</v>
      </c>
      <c r="S74" s="77">
        <f t="shared" si="28"/>
        <v>0.57468005637750985</v>
      </c>
      <c r="T74" s="77">
        <f t="shared" si="29"/>
        <v>0.31655040660838152</v>
      </c>
      <c r="U74" s="77">
        <f t="shared" si="30"/>
        <v>0.10876953701410863</v>
      </c>
      <c r="V74" s="30">
        <f t="shared" si="21"/>
        <v>0.42531994362249015</v>
      </c>
      <c r="W74" s="3">
        <f t="shared" si="31"/>
        <v>0.5605037500052128</v>
      </c>
      <c r="X74" s="30">
        <f t="shared" si="34"/>
        <v>0.58776073467701595</v>
      </c>
      <c r="Y74" s="30">
        <f t="shared" si="32"/>
        <v>-0.1934933752404151</v>
      </c>
      <c r="Z74" s="30">
        <f t="shared" si="22"/>
        <v>-4.6635625297378747E-3</v>
      </c>
      <c r="AA74" s="30"/>
      <c r="AB74" s="30"/>
      <c r="AC74" s="30"/>
    </row>
    <row r="75" spans="1:29" x14ac:dyDescent="0.5">
      <c r="A75" s="1">
        <v>2002</v>
      </c>
      <c r="B75" s="73">
        <f>'Minimum Deflation Total'!F25</f>
        <v>9218.5</v>
      </c>
      <c r="C75" s="73">
        <f>Data!AC546*251.1 / CPI!B91</f>
        <v>63808.991834908273</v>
      </c>
      <c r="D75" s="74">
        <f>Data!F104*251.1 / CPI!B91</f>
        <v>6216151.4824902723</v>
      </c>
      <c r="E75" s="3">
        <f t="shared" si="24"/>
        <v>10.474368722606977</v>
      </c>
      <c r="F75" s="3">
        <f t="shared" si="33"/>
        <v>1.0856156544987048</v>
      </c>
      <c r="G75" s="73">
        <f t="shared" si="23"/>
        <v>142292.65468230695</v>
      </c>
      <c r="H75" s="73">
        <f t="shared" si="23"/>
        <v>442364.01810073125</v>
      </c>
      <c r="I75" s="75">
        <f t="shared" si="25"/>
        <v>0.19593591104589569</v>
      </c>
      <c r="J75" s="75">
        <f t="shared" si="25"/>
        <v>1.2407322195421346</v>
      </c>
      <c r="K75" s="76">
        <f t="shared" si="26"/>
        <v>0.57766983547026474</v>
      </c>
      <c r="L75" s="76">
        <f t="shared" si="26"/>
        <v>0.89264765614807728</v>
      </c>
      <c r="M75" s="30">
        <f>Data!K221</f>
        <v>0.1706</v>
      </c>
      <c r="N75" s="30">
        <f>Data!K338 - M75</f>
        <v>0.25670000999999998</v>
      </c>
      <c r="O75" s="30">
        <f t="shared" si="27"/>
        <v>0.57269999000000005</v>
      </c>
      <c r="P75" s="30">
        <f>Data!P221</f>
        <v>0.13940000999999999</v>
      </c>
      <c r="Q75" s="30">
        <f>Data!P338 - P75</f>
        <v>0.22859999</v>
      </c>
      <c r="R75" s="30">
        <f t="shared" si="20"/>
        <v>0.63200000000000001</v>
      </c>
      <c r="S75" s="77">
        <f t="shared" si="28"/>
        <v>0.57766983547026474</v>
      </c>
      <c r="T75" s="77">
        <f t="shared" si="29"/>
        <v>0.31497782067781255</v>
      </c>
      <c r="U75" s="77">
        <f t="shared" si="30"/>
        <v>0.10735234385192272</v>
      </c>
      <c r="V75" s="30">
        <f t="shared" si="21"/>
        <v>0.42233016452973526</v>
      </c>
      <c r="W75" s="3">
        <f t="shared" si="31"/>
        <v>0.55730258775922259</v>
      </c>
      <c r="X75" s="30">
        <f t="shared" si="34"/>
        <v>0.58915952720434706</v>
      </c>
      <c r="Y75" s="30">
        <f t="shared" si="32"/>
        <v>-0.18502195028336399</v>
      </c>
      <c r="Z75" s="30">
        <f t="shared" si="22"/>
        <v>-8.6032629109306091E-3</v>
      </c>
      <c r="AA75" s="30"/>
      <c r="AB75" s="30"/>
      <c r="AC75" s="30"/>
    </row>
    <row r="76" spans="1:29" x14ac:dyDescent="0.5">
      <c r="A76">
        <v>2003</v>
      </c>
      <c r="B76" s="73">
        <f>'Minimum Deflation Total'!F26</f>
        <v>9218.5</v>
      </c>
      <c r="C76" s="73">
        <f>Data!AC547*251.1 / CPI!B92</f>
        <v>64269.728701630433</v>
      </c>
      <c r="D76" s="74">
        <f>Data!F105*251.1 / CPI!B92</f>
        <v>6285819.0521739125</v>
      </c>
      <c r="E76" s="3">
        <f t="shared" si="24"/>
        <v>10.47954505551496</v>
      </c>
      <c r="F76" s="3">
        <f t="shared" si="33"/>
        <v>1.0874731827615303</v>
      </c>
      <c r="G76" s="73">
        <f t="shared" si="23"/>
        <v>143372.01223077418</v>
      </c>
      <c r="H76" s="73">
        <f t="shared" si="23"/>
        <v>446585.42496472242</v>
      </c>
      <c r="I76" s="75">
        <f t="shared" si="25"/>
        <v>0.19407838278307077</v>
      </c>
      <c r="J76" s="75">
        <f t="shared" si="25"/>
        <v>1.2388746912793107</v>
      </c>
      <c r="K76" s="76">
        <f t="shared" si="26"/>
        <v>0.57694274608064144</v>
      </c>
      <c r="L76" s="76">
        <f t="shared" si="26"/>
        <v>0.89230404616914449</v>
      </c>
      <c r="M76" s="30">
        <f>Data!K222</f>
        <v>0.17200001000000001</v>
      </c>
      <c r="N76" s="30">
        <f>Data!K339 - M76</f>
        <v>0.25669998999999999</v>
      </c>
      <c r="O76" s="30">
        <f t="shared" si="27"/>
        <v>0.57130000000000003</v>
      </c>
      <c r="P76" s="30">
        <f>Data!P222</f>
        <v>0.1409</v>
      </c>
      <c r="Q76" s="30">
        <f>Data!P339 - P76</f>
        <v>0.22890000000000002</v>
      </c>
      <c r="R76" s="30">
        <f t="shared" si="20"/>
        <v>0.63019999999999998</v>
      </c>
      <c r="S76" s="77">
        <f t="shared" si="28"/>
        <v>0.57694274608064144</v>
      </c>
      <c r="T76" s="77">
        <f t="shared" si="29"/>
        <v>0.31536130008850305</v>
      </c>
      <c r="U76" s="77">
        <f t="shared" si="30"/>
        <v>0.10769595383085551</v>
      </c>
      <c r="V76" s="30">
        <f t="shared" si="21"/>
        <v>0.42305725391935856</v>
      </c>
      <c r="W76" s="3">
        <f t="shared" si="31"/>
        <v>0.55808274253166212</v>
      </c>
      <c r="X76" s="30">
        <f t="shared" si="34"/>
        <v>0.59708887736059979</v>
      </c>
      <c r="Y76" s="30">
        <f t="shared" si="32"/>
        <v>-0.1860130271914795</v>
      </c>
      <c r="Z76" s="30">
        <f t="shared" si="22"/>
        <v>-9.7804264270144881E-3</v>
      </c>
      <c r="AA76" s="30"/>
      <c r="AB76" s="30"/>
      <c r="AC76" s="30"/>
    </row>
    <row r="77" spans="1:29" x14ac:dyDescent="0.5">
      <c r="A77" s="1">
        <v>2004</v>
      </c>
      <c r="B77" s="73">
        <f>'Minimum Deflation Total'!F27</f>
        <v>9218.5</v>
      </c>
      <c r="C77" s="73">
        <f>Data!AC548*251.1 / CPI!B93</f>
        <v>64179.378771836949</v>
      </c>
      <c r="D77" s="74">
        <f>Data!F106*251.1 / CPI!B93</f>
        <v>6944960.0892006345</v>
      </c>
      <c r="E77" s="3">
        <f t="shared" si="24"/>
        <v>10.459926342801261</v>
      </c>
      <c r="F77" s="3">
        <f t="shared" si="33"/>
        <v>1.1040931956580418</v>
      </c>
      <c r="G77" s="73">
        <f t="shared" si="23"/>
        <v>143613.1788639733</v>
      </c>
      <c r="H77" s="73">
        <f t="shared" si="23"/>
        <v>455172.2516120965</v>
      </c>
      <c r="I77" s="75">
        <f t="shared" si="25"/>
        <v>0.17745836988655841</v>
      </c>
      <c r="J77" s="75">
        <f t="shared" si="25"/>
        <v>1.2222546783827983</v>
      </c>
      <c r="K77" s="76">
        <f t="shared" si="26"/>
        <v>0.57042581888893462</v>
      </c>
      <c r="L77" s="76">
        <f t="shared" si="26"/>
        <v>0.88919433382090096</v>
      </c>
      <c r="M77" s="30">
        <f>Data!K223</f>
        <v>0.1832</v>
      </c>
      <c r="N77" s="30">
        <f>Data!K340 - M77</f>
        <v>0.25580000999999997</v>
      </c>
      <c r="O77" s="30">
        <f t="shared" si="27"/>
        <v>0.56099999</v>
      </c>
      <c r="P77" s="30">
        <f>Data!P223</f>
        <v>0.1479</v>
      </c>
      <c r="Q77" s="30">
        <f>Data!P340 - P77</f>
        <v>0.22790001000000001</v>
      </c>
      <c r="R77" s="30">
        <f t="shared" si="20"/>
        <v>0.62419998999999993</v>
      </c>
      <c r="S77" s="77">
        <f t="shared" si="28"/>
        <v>0.57042581888893462</v>
      </c>
      <c r="T77" s="77">
        <f t="shared" si="29"/>
        <v>0.31876851493196634</v>
      </c>
      <c r="U77" s="77">
        <f t="shared" si="30"/>
        <v>0.11080566617909904</v>
      </c>
      <c r="V77" s="30">
        <f t="shared" si="21"/>
        <v>0.42957418111106538</v>
      </c>
      <c r="W77" s="3">
        <f t="shared" si="31"/>
        <v>0.56502797274190364</v>
      </c>
      <c r="X77" s="30">
        <f t="shared" si="34"/>
        <v>0.65334505280521937</v>
      </c>
      <c r="Y77" s="30">
        <f t="shared" si="32"/>
        <v>-0.19753677663368208</v>
      </c>
      <c r="Z77" s="30">
        <f t="shared" si="22"/>
        <v>-1.6524197497396087E-2</v>
      </c>
      <c r="AA77" s="30"/>
      <c r="AB77" s="30"/>
      <c r="AC77" s="30"/>
    </row>
    <row r="78" spans="1:29" x14ac:dyDescent="0.5">
      <c r="A78">
        <v>2005</v>
      </c>
      <c r="B78" s="73">
        <f>'Minimum Deflation Total'!F28</f>
        <v>9218.5</v>
      </c>
      <c r="C78" s="73">
        <f>Data!AC549*251.1 / CPI!B94</f>
        <v>63782.357142857138</v>
      </c>
      <c r="D78" s="74">
        <f>Data!F107*251.1 / CPI!B94</f>
        <v>7558971.4285714282</v>
      </c>
      <c r="E78" s="3">
        <f t="shared" si="24"/>
        <v>10.438031727368756</v>
      </c>
      <c r="F78" s="3">
        <f t="shared" si="33"/>
        <v>1.1182130118278766</v>
      </c>
      <c r="G78" s="73">
        <f t="shared" si="23"/>
        <v>143068.57836750522</v>
      </c>
      <c r="H78" s="73">
        <f t="shared" si="23"/>
        <v>460185.15123120724</v>
      </c>
      <c r="I78" s="75">
        <f t="shared" si="25"/>
        <v>0.16333855371672384</v>
      </c>
      <c r="J78" s="75">
        <f t="shared" si="25"/>
        <v>1.2081348622129642</v>
      </c>
      <c r="K78" s="76">
        <f t="shared" si="26"/>
        <v>0.56487405999194928</v>
      </c>
      <c r="L78" s="76">
        <f t="shared" si="26"/>
        <v>0.88650230403953589</v>
      </c>
      <c r="M78" s="30">
        <f>Data!K224</f>
        <v>0.19370000000000001</v>
      </c>
      <c r="N78" s="30">
        <f>Data!K341 - M78</f>
        <v>0.25690000000000002</v>
      </c>
      <c r="O78" s="30">
        <f t="shared" si="27"/>
        <v>0.5494</v>
      </c>
      <c r="P78" s="30">
        <f>Data!P224</f>
        <v>0.15260001000000001</v>
      </c>
      <c r="Q78" s="30">
        <f>Data!P341 - P78</f>
        <v>0.22799999999999998</v>
      </c>
      <c r="R78" s="30">
        <f t="shared" si="20"/>
        <v>0.61939999000000001</v>
      </c>
      <c r="S78" s="77">
        <f t="shared" si="28"/>
        <v>0.56487405999194928</v>
      </c>
      <c r="T78" s="77">
        <f t="shared" si="29"/>
        <v>0.32162824404758661</v>
      </c>
      <c r="U78" s="77">
        <f t="shared" si="30"/>
        <v>0.11349769596046411</v>
      </c>
      <c r="V78" s="30">
        <f t="shared" si="21"/>
        <v>0.43512594000805072</v>
      </c>
      <c r="W78" s="3">
        <f t="shared" si="31"/>
        <v>0.57087859120300877</v>
      </c>
      <c r="X78" s="30">
        <f t="shared" si="34"/>
        <v>0.70664257420233145</v>
      </c>
      <c r="Y78" s="30">
        <f t="shared" si="32"/>
        <v>-0.20125174093233467</v>
      </c>
      <c r="Z78" s="30">
        <f t="shared" si="22"/>
        <v>-2.7393822956164438E-2</v>
      </c>
      <c r="AA78" s="30"/>
      <c r="AB78" s="30"/>
      <c r="AC78" s="30"/>
    </row>
    <row r="79" spans="1:29" x14ac:dyDescent="0.5">
      <c r="A79" s="1">
        <v>2006</v>
      </c>
      <c r="B79" s="73">
        <f>'Minimum Deflation Total'!F29</f>
        <v>9218.5</v>
      </c>
      <c r="C79" s="73">
        <f>Data!AC550*251.1 / CPI!B95</f>
        <v>61136.249906250006</v>
      </c>
      <c r="D79" s="74">
        <f>Data!F108*251.1 / CPI!B95</f>
        <v>7791831.0401785718</v>
      </c>
      <c r="E79" s="3">
        <f t="shared" si="24"/>
        <v>10.389992730574537</v>
      </c>
      <c r="F79" s="3">
        <f t="shared" si="33"/>
        <v>1.1232698044672749</v>
      </c>
      <c r="G79" s="73">
        <f t="shared" si="23"/>
        <v>137244.72251598627</v>
      </c>
      <c r="H79" s="73">
        <f t="shared" si="23"/>
        <v>443791.01877297624</v>
      </c>
      <c r="I79" s="75">
        <f t="shared" si="25"/>
        <v>0.15828176107732636</v>
      </c>
      <c r="J79" s="75">
        <f t="shared" si="25"/>
        <v>1.2030780695735654</v>
      </c>
      <c r="K79" s="76">
        <f t="shared" si="26"/>
        <v>0.56288261023990094</v>
      </c>
      <c r="L79" s="76">
        <f t="shared" si="26"/>
        <v>0.88552694449149771</v>
      </c>
      <c r="M79" s="30">
        <f>Data!K225</f>
        <v>0.20100001000000001</v>
      </c>
      <c r="N79" s="30">
        <f>Data!K342 - M79</f>
        <v>0.25929998999999998</v>
      </c>
      <c r="O79" s="30">
        <f t="shared" si="27"/>
        <v>0.53970000000000007</v>
      </c>
      <c r="P79" s="30">
        <f>Data!P225</f>
        <v>0.1578</v>
      </c>
      <c r="Q79" s="30">
        <f>Data!P342 - P79</f>
        <v>0.2298</v>
      </c>
      <c r="R79" s="30">
        <f t="shared" si="20"/>
        <v>0.61240000000000006</v>
      </c>
      <c r="S79" s="77">
        <f t="shared" si="28"/>
        <v>0.56288261023990094</v>
      </c>
      <c r="T79" s="77">
        <f t="shared" si="29"/>
        <v>0.32264433425159678</v>
      </c>
      <c r="U79" s="77">
        <f t="shared" si="30"/>
        <v>0.11447305550850229</v>
      </c>
      <c r="V79" s="30">
        <f t="shared" si="21"/>
        <v>0.43711738976009906</v>
      </c>
      <c r="W79" s="3">
        <f t="shared" si="31"/>
        <v>0.57296272213573429</v>
      </c>
      <c r="X79" s="30">
        <f t="shared" si="34"/>
        <v>0.75587179976226881</v>
      </c>
      <c r="Y79" s="30">
        <f t="shared" si="32"/>
        <v>-0.19632870479046172</v>
      </c>
      <c r="Z79" s="30">
        <f t="shared" si="22"/>
        <v>-4.1185515093494218E-2</v>
      </c>
      <c r="AA79" s="30"/>
      <c r="AB79" s="30"/>
      <c r="AC79" s="30"/>
    </row>
    <row r="80" spans="1:29" x14ac:dyDescent="0.5">
      <c r="A80">
        <v>2007</v>
      </c>
      <c r="B80" s="73">
        <f>'Minimum Deflation Total'!F30</f>
        <v>10471.5</v>
      </c>
      <c r="C80" s="73">
        <f>Data!AC551*251.1 / CPI!B96</f>
        <v>58231.335204052091</v>
      </c>
      <c r="D80" s="74">
        <f>Data!F109*251.1 / CPI!B96</f>
        <v>7438311.8010130236</v>
      </c>
      <c r="E80" s="3">
        <f t="shared" si="24"/>
        <v>10.373443243541054</v>
      </c>
      <c r="F80" s="3">
        <f t="shared" si="33"/>
        <v>1.0942903187528492</v>
      </c>
      <c r="G80" s="73">
        <f t="shared" si="23"/>
        <v>130070.60725158892</v>
      </c>
      <c r="H80" s="73">
        <f t="shared" si="23"/>
        <v>408049.26765611459</v>
      </c>
      <c r="I80" s="75">
        <f t="shared" si="25"/>
        <v>0.18726124679175021</v>
      </c>
      <c r="J80" s="75">
        <f t="shared" si="25"/>
        <v>1.2320575552879909</v>
      </c>
      <c r="K80" s="76">
        <f t="shared" si="26"/>
        <v>0.57427209697737758</v>
      </c>
      <c r="L80" s="76">
        <f t="shared" si="26"/>
        <v>0.89103620744824896</v>
      </c>
      <c r="M80" s="30">
        <f>Data!K226</f>
        <v>0.19869999999999999</v>
      </c>
      <c r="N80" s="30">
        <f>Data!K343 - M80</f>
        <v>0.25930000000000003</v>
      </c>
      <c r="O80" s="30">
        <f t="shared" si="27"/>
        <v>0.54199999999999993</v>
      </c>
      <c r="P80" s="30">
        <f>Data!P226</f>
        <v>0.15260001000000001</v>
      </c>
      <c r="Q80" s="30">
        <f>Data!P343 - P80</f>
        <v>0.22959998999999998</v>
      </c>
      <c r="R80" s="30">
        <f t="shared" si="20"/>
        <v>0.61780000000000002</v>
      </c>
      <c r="S80" s="77">
        <f t="shared" si="28"/>
        <v>0.57427209697737758</v>
      </c>
      <c r="T80" s="77">
        <f t="shared" si="29"/>
        <v>0.31676411047087139</v>
      </c>
      <c r="U80" s="77">
        <f t="shared" si="30"/>
        <v>0.10896379255175104</v>
      </c>
      <c r="V80" s="30">
        <f t="shared" si="21"/>
        <v>0.42572790302262242</v>
      </c>
      <c r="W80" s="3">
        <f t="shared" si="31"/>
        <v>0.56093916043213099</v>
      </c>
      <c r="X80" s="30">
        <f t="shared" si="34"/>
        <v>0.82354152096559807</v>
      </c>
      <c r="Y80" s="30">
        <f t="shared" si="32"/>
        <v>-0.18140978908706129</v>
      </c>
      <c r="Z80" s="30">
        <f t="shared" si="22"/>
        <v>-5.6196526258612489E-2</v>
      </c>
      <c r="AA80" s="30"/>
      <c r="AB80" s="30"/>
      <c r="AC80" s="30"/>
    </row>
    <row r="81" spans="1:29" x14ac:dyDescent="0.5">
      <c r="A81" s="1">
        <v>2008</v>
      </c>
      <c r="B81" s="73">
        <f>'Minimum Deflation Total'!F31</f>
        <v>11724.5</v>
      </c>
      <c r="C81" s="73">
        <f>Data!AC552*251.1 / CPI!B97</f>
        <v>53608.62540640965</v>
      </c>
      <c r="D81" s="74">
        <f>Data!F110*251.1 / CPI!B97</f>
        <v>6909352.3885276355</v>
      </c>
      <c r="E81" s="3">
        <f t="shared" si="24"/>
        <v>10.324312342517633</v>
      </c>
      <c r="F81" s="3">
        <f t="shared" si="33"/>
        <v>1.0631584203270152</v>
      </c>
      <c r="G81" s="73">
        <f t="shared" si="23"/>
        <v>118991.18342812221</v>
      </c>
      <c r="H81" s="73">
        <f t="shared" si="23"/>
        <v>361345.07725511625</v>
      </c>
      <c r="I81" s="75">
        <f t="shared" si="25"/>
        <v>0.21839314521758518</v>
      </c>
      <c r="J81" s="75">
        <f t="shared" si="25"/>
        <v>1.2631894537138251</v>
      </c>
      <c r="K81" s="76">
        <f t="shared" si="26"/>
        <v>0.58643859701464729</v>
      </c>
      <c r="L81" s="76">
        <f t="shared" si="26"/>
        <v>0.89673944897639302</v>
      </c>
      <c r="M81" s="30">
        <f>Data!K227</f>
        <v>0.19520000000000001</v>
      </c>
      <c r="N81" s="30">
        <f>Data!K344 - M81</f>
        <v>0.25790000000000002</v>
      </c>
      <c r="O81" s="30">
        <f t="shared" si="27"/>
        <v>0.54689999999999994</v>
      </c>
      <c r="P81" s="30">
        <f>Data!P227</f>
        <v>0.1532</v>
      </c>
      <c r="Q81" s="30">
        <f>Data!P344 - P81</f>
        <v>0.22470000000000001</v>
      </c>
      <c r="R81" s="30">
        <f t="shared" si="20"/>
        <v>0.62209999999999999</v>
      </c>
      <c r="S81" s="77">
        <f t="shared" si="28"/>
        <v>0.58643859701464729</v>
      </c>
      <c r="T81" s="77">
        <f t="shared" si="29"/>
        <v>0.31030085196174573</v>
      </c>
      <c r="U81" s="77">
        <f t="shared" si="30"/>
        <v>0.10326055102360698</v>
      </c>
      <c r="V81" s="30">
        <f t="shared" si="21"/>
        <v>0.41356140298535271</v>
      </c>
      <c r="W81" s="3">
        <f t="shared" si="31"/>
        <v>0.54780852590823859</v>
      </c>
      <c r="X81" s="30">
        <f t="shared" si="34"/>
        <v>0.89036372617626491</v>
      </c>
      <c r="Y81" s="30">
        <f t="shared" si="32"/>
        <v>-0.1688711185627223</v>
      </c>
      <c r="Z81" s="30">
        <f t="shared" si="22"/>
        <v>-6.742154628962771E-2</v>
      </c>
      <c r="AA81" s="30"/>
      <c r="AB81" s="30"/>
      <c r="AC81" s="30"/>
    </row>
    <row r="82" spans="1:29" x14ac:dyDescent="0.5">
      <c r="A82">
        <v>2009</v>
      </c>
      <c r="B82" s="73">
        <f>'Minimum Deflation Total'!F32</f>
        <v>12977.5</v>
      </c>
      <c r="C82" s="73">
        <f>Data!AC553*251.1 / CPI!B98</f>
        <v>55178.666609790213</v>
      </c>
      <c r="D82" s="74">
        <f>Data!F111*251.1 / CPI!B98</f>
        <v>6334828.6468531471</v>
      </c>
      <c r="E82" s="3">
        <f t="shared" si="24"/>
        <v>10.386060291654417</v>
      </c>
      <c r="F82" s="3">
        <f t="shared" si="33"/>
        <v>1.0317668258380344</v>
      </c>
      <c r="G82" s="73">
        <f t="shared" si="23"/>
        <v>121579.38253096287</v>
      </c>
      <c r="H82" s="73">
        <f t="shared" si="23"/>
        <v>357292.07139984414</v>
      </c>
      <c r="I82" s="75">
        <f t="shared" si="25"/>
        <v>0.24978473970656639</v>
      </c>
      <c r="J82" s="75">
        <f t="shared" si="25"/>
        <v>1.2945810482028082</v>
      </c>
      <c r="K82" s="76">
        <f t="shared" si="26"/>
        <v>0.59862308915161222</v>
      </c>
      <c r="L82" s="76">
        <f t="shared" si="26"/>
        <v>0.90226760318959631</v>
      </c>
      <c r="M82" s="30">
        <f>Data!K228</f>
        <v>0.18539998999999999</v>
      </c>
      <c r="N82" s="30">
        <f>Data!K345 - M82</f>
        <v>0.25800001000000006</v>
      </c>
      <c r="O82" s="30">
        <f t="shared" si="27"/>
        <v>0.55659999999999998</v>
      </c>
      <c r="P82" s="30">
        <f>Data!P228</f>
        <v>0.15090001</v>
      </c>
      <c r="Q82" s="30">
        <f>Data!P345 - P82</f>
        <v>0.22559999999999999</v>
      </c>
      <c r="R82" s="30">
        <f t="shared" si="20"/>
        <v>0.62349999</v>
      </c>
      <c r="S82" s="77">
        <f t="shared" si="28"/>
        <v>0.59862308915161222</v>
      </c>
      <c r="T82" s="77">
        <f t="shared" si="29"/>
        <v>0.30364451403798409</v>
      </c>
      <c r="U82" s="77">
        <f t="shared" si="30"/>
        <v>9.7732396810403688E-2</v>
      </c>
      <c r="V82" s="30">
        <f t="shared" si="21"/>
        <v>0.40137691084838778</v>
      </c>
      <c r="W82" s="3">
        <f t="shared" si="31"/>
        <v>0.53434651827520208</v>
      </c>
      <c r="X82" s="30">
        <f t="shared" si="34"/>
        <v>0.89701671145615469</v>
      </c>
      <c r="Y82" s="30">
        <f t="shared" si="32"/>
        <v>-0.15032217585947949</v>
      </c>
      <c r="Z82" s="30">
        <f t="shared" si="22"/>
        <v>-7.0199579523684386E-2</v>
      </c>
      <c r="AA82" s="30"/>
      <c r="AB82" s="30"/>
      <c r="AC82" s="30"/>
    </row>
    <row r="83" spans="1:29" x14ac:dyDescent="0.5">
      <c r="A83" s="1">
        <v>2010</v>
      </c>
      <c r="B83" s="73">
        <f>'Minimum Deflation Total'!F33</f>
        <v>12977.5</v>
      </c>
      <c r="C83" s="73">
        <f>Data!AC554*251.1 / CPI!B99</f>
        <v>55253.166524071523</v>
      </c>
      <c r="D83" s="74">
        <f>Data!F112*251.1 / CPI!B99</f>
        <v>7062393.5839064643</v>
      </c>
      <c r="E83" s="3">
        <f t="shared" si="24"/>
        <v>10.368549535710308</v>
      </c>
      <c r="F83" s="3">
        <f t="shared" si="33"/>
        <v>1.0498870364760788</v>
      </c>
      <c r="G83" s="73">
        <f t="shared" si="23"/>
        <v>122275.73677556959</v>
      </c>
      <c r="H83" s="73">
        <f t="shared" si="23"/>
        <v>366206.26199184894</v>
      </c>
      <c r="I83" s="75">
        <f t="shared" si="25"/>
        <v>0.23166452906852225</v>
      </c>
      <c r="J83" s="75">
        <f t="shared" si="25"/>
        <v>1.2764608375647613</v>
      </c>
      <c r="K83" s="76">
        <f t="shared" si="26"/>
        <v>0.59160070818832267</v>
      </c>
      <c r="L83" s="76">
        <f t="shared" si="26"/>
        <v>0.89910366893000493</v>
      </c>
      <c r="M83" s="30">
        <f>Data!K229</f>
        <v>0.19800000000000001</v>
      </c>
      <c r="N83" s="30">
        <f>Data!K346 - M83</f>
        <v>0.25950001</v>
      </c>
      <c r="O83" s="30">
        <f t="shared" si="27"/>
        <v>0.54249999000000004</v>
      </c>
      <c r="P83" s="30">
        <f>Data!P229</f>
        <v>0.15939999999999999</v>
      </c>
      <c r="Q83" s="30">
        <f>Data!P346 - P83</f>
        <v>0.22550000000000003</v>
      </c>
      <c r="R83" s="30">
        <f t="shared" si="20"/>
        <v>0.61509999999999998</v>
      </c>
      <c r="S83" s="77">
        <f t="shared" si="28"/>
        <v>0.59160070818832267</v>
      </c>
      <c r="T83" s="77">
        <f t="shared" si="29"/>
        <v>0.30750296074168226</v>
      </c>
      <c r="U83" s="77">
        <f t="shared" si="30"/>
        <v>0.10089633106999507</v>
      </c>
      <c r="V83" s="30">
        <f t="shared" si="21"/>
        <v>0.40839929181167733</v>
      </c>
      <c r="W83" s="3">
        <f t="shared" si="31"/>
        <v>0.54214422492982361</v>
      </c>
      <c r="X83" s="30">
        <f t="shared" si="34"/>
        <v>0.96241030670026007</v>
      </c>
      <c r="Y83" s="30">
        <f t="shared" si="32"/>
        <v>-0.1561056538314346</v>
      </c>
      <c r="Z83" s="30">
        <f t="shared" si="22"/>
        <v>-8.2996381695832122E-2</v>
      </c>
      <c r="AA83" s="30"/>
      <c r="AB83" s="30"/>
      <c r="AC83" s="30"/>
    </row>
    <row r="84" spans="1:29" x14ac:dyDescent="0.5">
      <c r="A84">
        <v>2011</v>
      </c>
      <c r="B84" s="73">
        <f>'Minimum Deflation Total'!F34</f>
        <v>12977.5</v>
      </c>
      <c r="C84" s="73">
        <f>Data!AC555*251.1 / CPI!B100</f>
        <v>54967.341929746552</v>
      </c>
      <c r="D84" s="74">
        <f>Data!F113*251.1 / CPI!B100</f>
        <v>6662682.8223654954</v>
      </c>
      <c r="E84" s="3">
        <f t="shared" si="24"/>
        <v>10.37351068302903</v>
      </c>
      <c r="F84" s="3">
        <f t="shared" si="33"/>
        <v>1.0401767366472516</v>
      </c>
      <c r="G84" s="73">
        <f t="shared" si="23"/>
        <v>121364.14989119585</v>
      </c>
      <c r="H84" s="73">
        <f t="shared" si="23"/>
        <v>359807.20415198302</v>
      </c>
      <c r="I84" s="75">
        <f t="shared" si="25"/>
        <v>0.2413748288973474</v>
      </c>
      <c r="J84" s="75">
        <f t="shared" si="25"/>
        <v>1.2861711373935882</v>
      </c>
      <c r="K84" s="76">
        <f t="shared" si="26"/>
        <v>0.59536769014455848</v>
      </c>
      <c r="L84" s="76">
        <f t="shared" si="26"/>
        <v>0.9008083291704706</v>
      </c>
      <c r="M84" s="30">
        <f>Data!K230</f>
        <v>0.19599999000000001</v>
      </c>
      <c r="N84" s="30">
        <f>Data!K347 - M84</f>
        <v>0.26319999999999999</v>
      </c>
      <c r="O84" s="30">
        <f t="shared" si="27"/>
        <v>0.54080001</v>
      </c>
      <c r="P84" s="30">
        <f>Data!P230</f>
        <v>0.1583</v>
      </c>
      <c r="Q84" s="30">
        <f>Data!P347 - P84</f>
        <v>0.22869999000000002</v>
      </c>
      <c r="R84" s="30">
        <f t="shared" si="20"/>
        <v>0.61300001000000004</v>
      </c>
      <c r="S84" s="77">
        <f t="shared" si="28"/>
        <v>0.59536769014455848</v>
      </c>
      <c r="T84" s="77">
        <f t="shared" si="29"/>
        <v>0.30544063902591212</v>
      </c>
      <c r="U84" s="77">
        <f t="shared" si="30"/>
        <v>9.9191670829529399E-2</v>
      </c>
      <c r="V84" s="30">
        <f t="shared" si="21"/>
        <v>0.40463230985544152</v>
      </c>
      <c r="W84" s="3">
        <f t="shared" si="31"/>
        <v>0.53797471538168518</v>
      </c>
      <c r="X84" s="30">
        <f t="shared" si="34"/>
        <v>0.97597226017943783</v>
      </c>
      <c r="Y84" s="30">
        <f t="shared" si="32"/>
        <v>-0.13829410245022644</v>
      </c>
      <c r="Z84" s="30">
        <f t="shared" si="22"/>
        <v>-9.1653747839942623E-2</v>
      </c>
      <c r="AA84" s="30"/>
      <c r="AB84" s="30"/>
      <c r="AC84" s="30"/>
    </row>
    <row r="85" spans="1:29" x14ac:dyDescent="0.5">
      <c r="A85" s="1">
        <v>2012</v>
      </c>
      <c r="B85" s="73">
        <f>'Minimum Deflation Total'!F35</f>
        <v>12977.5</v>
      </c>
      <c r="C85" s="73">
        <f>Data!AC556*251.1 / CPI!B101</f>
        <v>54026.635535278743</v>
      </c>
      <c r="D85" s="74">
        <f>Data!F114*251.1 / CPI!B101</f>
        <v>7264518.761759582</v>
      </c>
      <c r="E85" s="3">
        <f t="shared" si="24"/>
        <v>10.34115237757543</v>
      </c>
      <c r="F85" s="3">
        <f t="shared" si="33"/>
        <v>1.0545900407420652</v>
      </c>
      <c r="G85" s="73">
        <f t="shared" si="23"/>
        <v>119690.4248318812</v>
      </c>
      <c r="H85" s="73">
        <f t="shared" si="23"/>
        <v>360229.16481557203</v>
      </c>
      <c r="I85" s="75">
        <f t="shared" si="25"/>
        <v>0.2269615248025354</v>
      </c>
      <c r="J85" s="75">
        <f t="shared" si="25"/>
        <v>1.271757833298776</v>
      </c>
      <c r="K85" s="76">
        <f t="shared" si="26"/>
        <v>0.58977316988553019</v>
      </c>
      <c r="L85" s="76">
        <f t="shared" si="26"/>
        <v>0.8982704124191383</v>
      </c>
      <c r="M85" s="30">
        <f>Data!K231</f>
        <v>0.20780000000000001</v>
      </c>
      <c r="N85" s="30">
        <f>Data!K348 - M85</f>
        <v>0.26359999000000001</v>
      </c>
      <c r="O85" s="30">
        <f t="shared" si="27"/>
        <v>0.52860001000000001</v>
      </c>
      <c r="P85" s="30">
        <f>Data!P231</f>
        <v>0.16670001000000001</v>
      </c>
      <c r="Q85" s="30">
        <f>Data!P348 - P85</f>
        <v>0.23149999999999998</v>
      </c>
      <c r="R85" s="30">
        <f t="shared" si="20"/>
        <v>0.60179998999999995</v>
      </c>
      <c r="S85" s="77">
        <f t="shared" si="28"/>
        <v>0.58977316988553019</v>
      </c>
      <c r="T85" s="77">
        <f t="shared" si="29"/>
        <v>0.30849724253360811</v>
      </c>
      <c r="U85" s="77">
        <f t="shared" si="30"/>
        <v>0.1017295875808617</v>
      </c>
      <c r="V85" s="30">
        <f t="shared" si="21"/>
        <v>0.41022683011446981</v>
      </c>
      <c r="W85" s="3">
        <f t="shared" si="31"/>
        <v>0.54415603505355969</v>
      </c>
      <c r="X85" s="30">
        <f t="shared" si="34"/>
        <v>1.0426702293944348</v>
      </c>
      <c r="Y85" s="30">
        <f t="shared" si="32"/>
        <v>-0.14553534470803875</v>
      </c>
      <c r="Z85" s="30">
        <f t="shared" si="22"/>
        <v>-0.10372319903498384</v>
      </c>
      <c r="AA85" s="30"/>
      <c r="AB85" s="30"/>
      <c r="AC85" s="30"/>
    </row>
    <row r="86" spans="1:29" x14ac:dyDescent="0.5">
      <c r="A86">
        <v>2013</v>
      </c>
      <c r="B86" s="73">
        <f>'Minimum Deflation Total'!F36</f>
        <v>12977.5</v>
      </c>
      <c r="C86" s="73">
        <f>Data!AC557*251.1 / CPI!B102</f>
        <v>54182.299056338023</v>
      </c>
      <c r="D86" s="74">
        <f>Data!F115*251.1 / CPI!B102</f>
        <v>6449855.5544174127</v>
      </c>
      <c r="E86" s="3">
        <f t="shared" si="24"/>
        <v>10.364739223767838</v>
      </c>
      <c r="F86" s="3">
        <f t="shared" si="33"/>
        <v>1.0347659876926401</v>
      </c>
      <c r="G86" s="73">
        <f t="shared" si="23"/>
        <v>119472.94168107875</v>
      </c>
      <c r="H86" s="73">
        <f t="shared" si="23"/>
        <v>352203.6644213206</v>
      </c>
      <c r="I86" s="75">
        <f t="shared" si="25"/>
        <v>0.24678557785195904</v>
      </c>
      <c r="J86" s="75">
        <f t="shared" si="25"/>
        <v>1.2915818863482007</v>
      </c>
      <c r="K86" s="76">
        <f t="shared" si="26"/>
        <v>0.59746291372571014</v>
      </c>
      <c r="L86" s="76">
        <f t="shared" si="26"/>
        <v>0.90174900985258599</v>
      </c>
      <c r="M86" s="30">
        <f>Data!K232</f>
        <v>0.19589999</v>
      </c>
      <c r="N86" s="30">
        <f>Data!K349 - M86</f>
        <v>0.26730001000000003</v>
      </c>
      <c r="O86" s="30">
        <f t="shared" si="27"/>
        <v>0.53679999999999994</v>
      </c>
      <c r="P86" s="30">
        <f>Data!P232</f>
        <v>0.15350000999999999</v>
      </c>
      <c r="Q86" s="30">
        <f>Data!P349 - P86</f>
        <v>0.23409999000000001</v>
      </c>
      <c r="R86" s="30">
        <f t="shared" si="20"/>
        <v>0.61239999999999994</v>
      </c>
      <c r="S86" s="77">
        <f t="shared" si="28"/>
        <v>0.59746291372571014</v>
      </c>
      <c r="T86" s="77">
        <f t="shared" si="29"/>
        <v>0.30428609612687585</v>
      </c>
      <c r="U86" s="77">
        <f t="shared" si="30"/>
        <v>9.8250990147414008E-2</v>
      </c>
      <c r="V86" s="30">
        <f t="shared" si="21"/>
        <v>0.40253708627428986</v>
      </c>
      <c r="W86" s="3">
        <f t="shared" si="31"/>
        <v>0.53564222719102328</v>
      </c>
      <c r="X86" s="30">
        <f t="shared" si="34"/>
        <v>0.99387293406483934</v>
      </c>
      <c r="Y86" s="30">
        <f t="shared" si="32"/>
        <v>-0.12155036525709018</v>
      </c>
      <c r="Z86" s="30">
        <f t="shared" si="22"/>
        <v>-0.10153419121435214</v>
      </c>
      <c r="AA86" s="30"/>
      <c r="AB86" s="30"/>
      <c r="AC86" s="30"/>
    </row>
    <row r="87" spans="1:29" x14ac:dyDescent="0.5">
      <c r="A87" s="1">
        <v>2014</v>
      </c>
      <c r="B87" s="73">
        <f>'Minimum Deflation Total'!F37</f>
        <v>12977.5</v>
      </c>
      <c r="C87" s="73">
        <f>Data!AC558*251.1 / CPI!B103</f>
        <v>54414.866840304188</v>
      </c>
      <c r="D87" s="74">
        <f>Data!F116*251.1 / CPI!B103</f>
        <v>6806372.6121673007</v>
      </c>
      <c r="E87" s="3">
        <f t="shared" si="24"/>
        <v>10.359703480182072</v>
      </c>
      <c r="F87" s="3">
        <f t="shared" si="33"/>
        <v>1.0437329187405433</v>
      </c>
      <c r="G87" s="73">
        <f t="shared" si="23"/>
        <v>120246.73504475711</v>
      </c>
      <c r="H87" s="73">
        <f t="shared" si="23"/>
        <v>357821.42810424935</v>
      </c>
      <c r="I87" s="75">
        <f t="shared" si="25"/>
        <v>0.23781864680405748</v>
      </c>
      <c r="J87" s="75">
        <f t="shared" si="25"/>
        <v>1.2826149553002963</v>
      </c>
      <c r="K87" s="76">
        <f t="shared" si="26"/>
        <v>0.59398912226015477</v>
      </c>
      <c r="L87" s="76">
        <f t="shared" si="26"/>
        <v>0.90018649598697364</v>
      </c>
      <c r="M87" s="30">
        <f>Data!K233</f>
        <v>0.20200001000000001</v>
      </c>
      <c r="N87" s="30">
        <f>Data!K350 - M87</f>
        <v>0.26819999</v>
      </c>
      <c r="O87" s="30">
        <f t="shared" si="27"/>
        <v>0.52979999999999994</v>
      </c>
      <c r="P87" s="30">
        <f>Data!P233</f>
        <v>0.15659999999999999</v>
      </c>
      <c r="Q87" s="30">
        <f>Data!P350 - P87</f>
        <v>0.23460001</v>
      </c>
      <c r="R87" s="30">
        <f t="shared" si="20"/>
        <v>0.60879999000000007</v>
      </c>
      <c r="S87" s="77">
        <f t="shared" si="28"/>
        <v>0.59398912226015477</v>
      </c>
      <c r="T87" s="77">
        <f t="shared" si="29"/>
        <v>0.30619737372681888</v>
      </c>
      <c r="U87" s="77">
        <f t="shared" si="30"/>
        <v>9.9813504013026355E-2</v>
      </c>
      <c r="V87" s="30">
        <f t="shared" si="21"/>
        <v>0.40601087773984523</v>
      </c>
      <c r="W87" s="3">
        <f t="shared" si="31"/>
        <v>0.53950416048885064</v>
      </c>
      <c r="X87" s="30">
        <f t="shared" si="34"/>
        <v>1.0237743579630028</v>
      </c>
      <c r="Y87" s="30">
        <f t="shared" si="32"/>
        <v>-0.12409441421505829</v>
      </c>
      <c r="Z87" s="30">
        <f t="shared" si="22"/>
        <v>-0.10806447433904576</v>
      </c>
      <c r="AA87" s="30"/>
      <c r="AB87" s="30"/>
      <c r="AC87" s="30"/>
    </row>
    <row r="88" spans="1:29" x14ac:dyDescent="0.5">
      <c r="A88">
        <v>2015</v>
      </c>
      <c r="B88" s="73">
        <f>'Minimum Deflation Total'!F38</f>
        <v>12977.5</v>
      </c>
      <c r="C88" s="73"/>
      <c r="D88" s="74"/>
      <c r="E88" s="3"/>
      <c r="F88" s="3"/>
      <c r="G88" s="73"/>
      <c r="H88" s="73"/>
      <c r="I88" s="75"/>
      <c r="J88" s="75"/>
      <c r="K88" s="76"/>
      <c r="L88" s="76"/>
      <c r="M88" s="30"/>
      <c r="N88" s="30"/>
      <c r="O88" s="30"/>
      <c r="P88" s="30"/>
      <c r="Q88" s="30"/>
      <c r="R88" s="30"/>
      <c r="S88" s="77"/>
      <c r="T88" s="77"/>
      <c r="U88" s="77"/>
      <c r="V88" s="30"/>
      <c r="W88" s="3"/>
      <c r="X88" s="30"/>
      <c r="Y88" s="30"/>
      <c r="Z88" s="30"/>
      <c r="AA88" s="30"/>
      <c r="AB88" s="30"/>
      <c r="AC88" s="30"/>
    </row>
    <row r="89" spans="1:29" x14ac:dyDescent="0.5">
      <c r="A89" s="1">
        <v>2016</v>
      </c>
      <c r="B89" s="73">
        <f>'Minimum Deflation Total'!F39</f>
        <v>12977.5</v>
      </c>
      <c r="C89" s="73"/>
      <c r="D89" s="74"/>
      <c r="E89" s="3"/>
      <c r="F89" s="3"/>
      <c r="G89" s="73"/>
      <c r="H89" s="73"/>
      <c r="I89" s="75"/>
      <c r="J89" s="75"/>
      <c r="K89" s="76"/>
      <c r="L89" s="76"/>
      <c r="M89" s="30"/>
      <c r="N89" s="30"/>
      <c r="O89" s="30"/>
      <c r="P89" s="30"/>
      <c r="Q89" s="30"/>
      <c r="R89" s="30"/>
      <c r="S89" s="77"/>
      <c r="T89" s="77"/>
      <c r="U89" s="77"/>
      <c r="V89" s="30"/>
      <c r="W89" s="3"/>
      <c r="X89" s="30"/>
      <c r="Y89" s="30"/>
      <c r="Z89" s="30"/>
      <c r="AA89" s="30"/>
      <c r="AB89" s="30"/>
      <c r="AC89" s="30"/>
    </row>
    <row r="90" spans="1:29" x14ac:dyDescent="0.5">
      <c r="A90" s="1">
        <v>2017</v>
      </c>
      <c r="B90" s="73">
        <f>'Minimum Deflation Total'!F40</f>
        <v>12977.5</v>
      </c>
      <c r="C90" s="73"/>
      <c r="D90" s="74"/>
      <c r="E90" s="3"/>
      <c r="F90" s="3"/>
    </row>
    <row r="91" spans="1:29" x14ac:dyDescent="0.5">
      <c r="A91">
        <v>2018</v>
      </c>
      <c r="B91" s="73">
        <f>'Minimum Deflation Total'!F41</f>
        <v>12977.5</v>
      </c>
      <c r="C91" s="73"/>
      <c r="D91" s="74"/>
      <c r="E91" s="3"/>
      <c r="F91" s="3"/>
    </row>
    <row r="92" spans="1:29" x14ac:dyDescent="0.5">
      <c r="A92" s="1">
        <v>2019</v>
      </c>
      <c r="B92" s="73">
        <f>'Minimum Deflation Total'!F42</f>
        <v>12977.5</v>
      </c>
      <c r="C92" s="73"/>
      <c r="D92" s="73"/>
      <c r="E92" s="3"/>
    </row>
    <row r="98" spans="1:1" x14ac:dyDescent="0.5">
      <c r="A98" t="s">
        <v>131</v>
      </c>
    </row>
  </sheetData>
  <mergeCells count="8">
    <mergeCell ref="N1:S1"/>
    <mergeCell ref="T1:X1"/>
    <mergeCell ref="A1:A2"/>
    <mergeCell ref="B1:D1"/>
    <mergeCell ref="F1:G1"/>
    <mergeCell ref="H1:I1"/>
    <mergeCell ref="J1:K1"/>
    <mergeCell ref="L1:M1"/>
  </mergeCells>
  <phoneticPr fontId="31" type="noConversion"/>
  <hyperlinks>
    <hyperlink ref="H1" location="Index" display="Back to Index" xr:uid="{591D5E7D-324B-4FD1-88BC-A3B346370A4A}"/>
  </hyperlinks>
  <pageMargins left="0.7" right="0.7" top="0.75" bottom="0.75" header="0.3" footer="0.3"/>
  <pageSetup orientation="portrait" horizontalDpi="4294967293"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10C78-5977-4A5C-A5A2-0EC6DD848E79}">
  <sheetPr codeName="Sheet22"/>
  <dimension ref="A1:H54"/>
  <sheetViews>
    <sheetView workbookViewId="0">
      <selection activeCell="C38" sqref="C38"/>
    </sheetView>
  </sheetViews>
  <sheetFormatPr defaultRowHeight="14.25" x14ac:dyDescent="0.45"/>
  <cols>
    <col min="1" max="8" width="19.5" style="42" customWidth="1"/>
    <col min="9" max="16384" width="9" style="42"/>
  </cols>
  <sheetData>
    <row r="1" spans="1:8" ht="102.75" x14ac:dyDescent="0.5">
      <c r="A1" s="41" t="s">
        <v>177</v>
      </c>
      <c r="B1" s="41" t="s">
        <v>43</v>
      </c>
      <c r="C1" s="41" t="s">
        <v>178</v>
      </c>
      <c r="D1" s="41" t="s">
        <v>179</v>
      </c>
      <c r="E1" s="41" t="s">
        <v>180</v>
      </c>
      <c r="F1" s="41" t="s">
        <v>181</v>
      </c>
      <c r="G1" s="41" t="s">
        <v>182</v>
      </c>
      <c r="H1" s="5" t="s">
        <v>543</v>
      </c>
    </row>
    <row r="2" spans="1:8" x14ac:dyDescent="0.45">
      <c r="A2" s="42" t="s">
        <v>27</v>
      </c>
      <c r="B2" s="42">
        <v>1962</v>
      </c>
      <c r="C2" s="42">
        <v>6.2600002000000002E-2</v>
      </c>
    </row>
    <row r="3" spans="1:8" x14ac:dyDescent="0.45">
      <c r="A3" s="42" t="s">
        <v>27</v>
      </c>
      <c r="B3" s="42">
        <v>1963</v>
      </c>
    </row>
    <row r="4" spans="1:8" x14ac:dyDescent="0.45">
      <c r="A4" s="42" t="s">
        <v>27</v>
      </c>
      <c r="B4" s="42">
        <v>1964</v>
      </c>
      <c r="C4" s="42">
        <v>6.2899998999999998E-2</v>
      </c>
    </row>
    <row r="5" spans="1:8" x14ac:dyDescent="0.45">
      <c r="A5" s="42" t="s">
        <v>27</v>
      </c>
      <c r="B5" s="42">
        <v>1965</v>
      </c>
    </row>
    <row r="6" spans="1:8" x14ac:dyDescent="0.45">
      <c r="A6" s="42" t="s">
        <v>27</v>
      </c>
      <c r="B6" s="42">
        <v>1966</v>
      </c>
      <c r="C6" s="42">
        <v>6.2700003000000004E-2</v>
      </c>
    </row>
    <row r="7" spans="1:8" x14ac:dyDescent="0.45">
      <c r="A7" s="42" t="s">
        <v>27</v>
      </c>
      <c r="B7" s="42">
        <v>1967</v>
      </c>
      <c r="C7" s="42">
        <v>6.3000001E-2</v>
      </c>
    </row>
    <row r="8" spans="1:8" x14ac:dyDescent="0.45">
      <c r="A8" s="42" t="s">
        <v>27</v>
      </c>
      <c r="B8" s="42">
        <v>1968</v>
      </c>
      <c r="C8" s="42">
        <v>6.3500002E-2</v>
      </c>
    </row>
    <row r="9" spans="1:8" x14ac:dyDescent="0.45">
      <c r="A9" s="42" t="s">
        <v>27</v>
      </c>
      <c r="B9" s="42">
        <v>1969</v>
      </c>
      <c r="C9" s="42">
        <v>6.0699998999999998E-2</v>
      </c>
    </row>
    <row r="10" spans="1:8" x14ac:dyDescent="0.45">
      <c r="A10" s="42" t="s">
        <v>27</v>
      </c>
      <c r="B10" s="42">
        <v>1970</v>
      </c>
      <c r="C10" s="42">
        <v>6.0400002000000001E-2</v>
      </c>
      <c r="D10" s="42">
        <v>6.7299998999999999E-2</v>
      </c>
    </row>
    <row r="11" spans="1:8" x14ac:dyDescent="0.45">
      <c r="A11" s="42" t="s">
        <v>27</v>
      </c>
      <c r="B11" s="42">
        <v>1971</v>
      </c>
      <c r="C11" s="42">
        <v>6.2399997999999998E-2</v>
      </c>
      <c r="D11" s="42">
        <v>6.6500001000000003E-2</v>
      </c>
    </row>
    <row r="12" spans="1:8" x14ac:dyDescent="0.45">
      <c r="A12" s="42" t="s">
        <v>27</v>
      </c>
      <c r="B12" s="42">
        <v>1972</v>
      </c>
      <c r="C12" s="42">
        <v>6.3399999999999998E-2</v>
      </c>
      <c r="D12" s="42">
        <v>6.6799997999999999E-2</v>
      </c>
    </row>
    <row r="13" spans="1:8" x14ac:dyDescent="0.45">
      <c r="A13" s="42" t="s">
        <v>27</v>
      </c>
      <c r="B13" s="42">
        <v>1973</v>
      </c>
      <c r="C13" s="42">
        <v>6.5300002999999995E-2</v>
      </c>
      <c r="D13" s="42">
        <v>6.6200002999999993E-2</v>
      </c>
    </row>
    <row r="14" spans="1:8" x14ac:dyDescent="0.45">
      <c r="A14" s="42" t="s">
        <v>27</v>
      </c>
      <c r="B14" s="42">
        <v>1974</v>
      </c>
      <c r="C14" s="42">
        <v>6.5800003999999995E-2</v>
      </c>
      <c r="D14" s="42">
        <v>6.5099999000000006E-2</v>
      </c>
    </row>
    <row r="15" spans="1:8" x14ac:dyDescent="0.45">
      <c r="A15" s="42" t="s">
        <v>27</v>
      </c>
      <c r="B15" s="42">
        <v>1975</v>
      </c>
      <c r="C15" s="42">
        <v>6.7599996999999995E-2</v>
      </c>
      <c r="D15" s="42">
        <v>6.3900000999999998E-2</v>
      </c>
    </row>
    <row r="16" spans="1:8" x14ac:dyDescent="0.45">
      <c r="A16" s="42" t="s">
        <v>27</v>
      </c>
      <c r="B16" s="42">
        <v>1976</v>
      </c>
      <c r="C16" s="42">
        <v>6.6399999000000001E-2</v>
      </c>
      <c r="D16" s="42">
        <v>6.25E-2</v>
      </c>
    </row>
    <row r="17" spans="1:4" x14ac:dyDescent="0.45">
      <c r="A17" s="42" t="s">
        <v>27</v>
      </c>
      <c r="B17" s="42">
        <v>1977</v>
      </c>
      <c r="C17" s="42">
        <v>6.7599996999999995E-2</v>
      </c>
      <c r="D17" s="42">
        <v>6.1400000000000003E-2</v>
      </c>
    </row>
    <row r="18" spans="1:4" x14ac:dyDescent="0.45">
      <c r="A18" s="42" t="s">
        <v>27</v>
      </c>
      <c r="B18" s="42">
        <v>1978</v>
      </c>
      <c r="C18" s="42">
        <v>6.8599998999999995E-2</v>
      </c>
      <c r="D18" s="42">
        <v>6.0800000999999999E-2</v>
      </c>
    </row>
    <row r="19" spans="1:4" x14ac:dyDescent="0.45">
      <c r="A19" s="42" t="s">
        <v>27</v>
      </c>
      <c r="B19" s="42">
        <v>1979</v>
      </c>
      <c r="C19" s="42">
        <v>7.1500003000000006E-2</v>
      </c>
      <c r="D19" s="42">
        <v>5.9700001000000003E-2</v>
      </c>
    </row>
    <row r="20" spans="1:4" x14ac:dyDescent="0.45">
      <c r="A20" s="42" t="s">
        <v>27</v>
      </c>
      <c r="B20" s="42">
        <v>1980</v>
      </c>
      <c r="C20" s="42">
        <v>7.2300002000000002E-2</v>
      </c>
      <c r="D20" s="42">
        <v>5.8800000999999998E-2</v>
      </c>
    </row>
    <row r="21" spans="1:4" x14ac:dyDescent="0.45">
      <c r="A21" s="42" t="s">
        <v>27</v>
      </c>
      <c r="B21" s="42">
        <v>1981</v>
      </c>
      <c r="C21" s="42">
        <v>7.3899998999999994E-2</v>
      </c>
      <c r="D21" s="42">
        <v>5.7399999E-2</v>
      </c>
    </row>
    <row r="22" spans="1:4" x14ac:dyDescent="0.45">
      <c r="A22" s="42" t="s">
        <v>27</v>
      </c>
      <c r="B22" s="42">
        <v>1982</v>
      </c>
      <c r="C22" s="42">
        <v>7.7399998999999997E-2</v>
      </c>
      <c r="D22" s="42">
        <v>5.7100001999999997E-2</v>
      </c>
    </row>
    <row r="23" spans="1:4" x14ac:dyDescent="0.45">
      <c r="A23" s="42" t="s">
        <v>27</v>
      </c>
      <c r="B23" s="42">
        <v>1983</v>
      </c>
      <c r="C23" s="42">
        <v>7.9400002999999997E-2</v>
      </c>
      <c r="D23" s="42">
        <v>5.6699999000000001E-2</v>
      </c>
    </row>
    <row r="24" spans="1:4" x14ac:dyDescent="0.45">
      <c r="A24" s="42" t="s">
        <v>27</v>
      </c>
      <c r="B24" s="42">
        <v>1984</v>
      </c>
      <c r="C24" s="42">
        <v>8.5500002000000005E-2</v>
      </c>
      <c r="D24" s="42">
        <v>5.6000002E-2</v>
      </c>
    </row>
    <row r="25" spans="1:4" x14ac:dyDescent="0.45">
      <c r="A25" s="42" t="s">
        <v>27</v>
      </c>
      <c r="B25" s="42">
        <v>1985</v>
      </c>
      <c r="C25" s="42">
        <v>8.6499995999999996E-2</v>
      </c>
      <c r="D25" s="42">
        <v>5.7399999E-2</v>
      </c>
    </row>
    <row r="26" spans="1:4" x14ac:dyDescent="0.45">
      <c r="A26" s="42" t="s">
        <v>27</v>
      </c>
      <c r="B26" s="42">
        <v>1986</v>
      </c>
      <c r="C26" s="42">
        <v>8.6800002000000001E-2</v>
      </c>
      <c r="D26" s="42">
        <v>5.8699999000000003E-2</v>
      </c>
    </row>
    <row r="27" spans="1:4" x14ac:dyDescent="0.45">
      <c r="A27" s="42" t="s">
        <v>27</v>
      </c>
      <c r="B27" s="42">
        <v>1987</v>
      </c>
      <c r="C27" s="42">
        <v>9.4899997E-2</v>
      </c>
      <c r="D27" s="42">
        <v>5.9500000999999997E-2</v>
      </c>
    </row>
    <row r="28" spans="1:4" x14ac:dyDescent="0.45">
      <c r="A28" s="42" t="s">
        <v>27</v>
      </c>
      <c r="B28" s="42">
        <v>1988</v>
      </c>
      <c r="C28" s="42">
        <v>0.10730000000000001</v>
      </c>
      <c r="D28" s="42">
        <v>6.0100000000000001E-2</v>
      </c>
    </row>
    <row r="29" spans="1:4" x14ac:dyDescent="0.45">
      <c r="A29" s="42" t="s">
        <v>27</v>
      </c>
      <c r="B29" s="42">
        <v>1989</v>
      </c>
      <c r="C29" s="42">
        <v>0.1022</v>
      </c>
      <c r="D29" s="42">
        <v>5.9200000000000003E-2</v>
      </c>
    </row>
    <row r="30" spans="1:4" x14ac:dyDescent="0.45">
      <c r="A30" s="42" t="s">
        <v>27</v>
      </c>
      <c r="B30" s="42">
        <v>1990</v>
      </c>
      <c r="C30" s="42">
        <v>0.1043</v>
      </c>
      <c r="D30" s="42">
        <v>5.6899998E-2</v>
      </c>
    </row>
    <row r="31" spans="1:4" x14ac:dyDescent="0.45">
      <c r="A31" s="42" t="s">
        <v>27</v>
      </c>
      <c r="B31" s="42">
        <v>1991</v>
      </c>
      <c r="C31" s="42">
        <v>9.8399997000000003E-2</v>
      </c>
      <c r="D31" s="42">
        <v>5.6000002E-2</v>
      </c>
    </row>
    <row r="32" spans="1:4" x14ac:dyDescent="0.45">
      <c r="A32" s="42" t="s">
        <v>27</v>
      </c>
      <c r="B32" s="42">
        <v>1992</v>
      </c>
      <c r="C32" s="42">
        <v>0.1087</v>
      </c>
      <c r="D32" s="42">
        <v>5.5599998999999997E-2</v>
      </c>
    </row>
    <row r="33" spans="1:4" x14ac:dyDescent="0.45">
      <c r="A33" s="42" t="s">
        <v>27</v>
      </c>
      <c r="B33" s="42">
        <v>1993</v>
      </c>
      <c r="C33" s="42">
        <v>0.1036</v>
      </c>
      <c r="D33" s="42">
        <v>5.2200001000000003E-2</v>
      </c>
    </row>
    <row r="34" spans="1:4" x14ac:dyDescent="0.45">
      <c r="A34" s="42" t="s">
        <v>27</v>
      </c>
      <c r="B34" s="42">
        <v>1994</v>
      </c>
      <c r="C34" s="42">
        <v>0.1014</v>
      </c>
      <c r="D34" s="42">
        <v>5.4299999000000002E-2</v>
      </c>
    </row>
    <row r="35" spans="1:4" x14ac:dyDescent="0.45">
      <c r="A35" s="42" t="s">
        <v>27</v>
      </c>
      <c r="B35" s="42">
        <v>1995</v>
      </c>
      <c r="C35" s="42">
        <v>0.10630000000000001</v>
      </c>
      <c r="D35" s="42">
        <v>5.3599998000000003E-2</v>
      </c>
    </row>
    <row r="36" spans="1:4" x14ac:dyDescent="0.45">
      <c r="A36" s="42" t="s">
        <v>27</v>
      </c>
      <c r="B36" s="42">
        <v>1996</v>
      </c>
      <c r="C36" s="42">
        <v>0.1129</v>
      </c>
      <c r="D36" s="42">
        <v>5.3800002E-2</v>
      </c>
    </row>
    <row r="37" spans="1:4" x14ac:dyDescent="0.45">
      <c r="A37" s="42" t="s">
        <v>27</v>
      </c>
      <c r="B37" s="42">
        <v>1997</v>
      </c>
      <c r="C37" s="42">
        <v>0.1198</v>
      </c>
      <c r="D37" s="42">
        <v>5.3199998999999998E-2</v>
      </c>
    </row>
    <row r="38" spans="1:4" x14ac:dyDescent="0.45">
      <c r="A38" s="42" t="s">
        <v>27</v>
      </c>
      <c r="B38" s="42">
        <v>1998</v>
      </c>
      <c r="C38" s="42">
        <v>0.1245</v>
      </c>
      <c r="D38" s="42">
        <v>5.4000000999999999E-2</v>
      </c>
    </row>
    <row r="39" spans="1:4" x14ac:dyDescent="0.45">
      <c r="A39" s="42" t="s">
        <v>27</v>
      </c>
      <c r="B39" s="42">
        <v>1999</v>
      </c>
      <c r="C39" s="42">
        <v>0.1328</v>
      </c>
      <c r="D39" s="42">
        <v>5.5399998999999998E-2</v>
      </c>
    </row>
    <row r="40" spans="1:4" x14ac:dyDescent="0.45">
      <c r="A40" s="42" t="s">
        <v>27</v>
      </c>
      <c r="B40" s="42">
        <v>2000</v>
      </c>
      <c r="C40" s="42">
        <v>0.1411</v>
      </c>
      <c r="D40" s="42">
        <v>5.6400000999999998E-2</v>
      </c>
    </row>
    <row r="41" spans="1:4" x14ac:dyDescent="0.45">
      <c r="A41" s="42" t="s">
        <v>27</v>
      </c>
      <c r="B41" s="42">
        <v>2001</v>
      </c>
      <c r="C41" s="42">
        <v>0.13039999999999999</v>
      </c>
      <c r="D41" s="42">
        <v>5.7500001000000002E-2</v>
      </c>
    </row>
    <row r="42" spans="1:4" x14ac:dyDescent="0.45">
      <c r="A42" s="42" t="s">
        <v>27</v>
      </c>
      <c r="B42" s="42">
        <v>2002</v>
      </c>
      <c r="C42" s="42">
        <v>0.1229</v>
      </c>
      <c r="D42" s="42">
        <v>5.7700001000000001E-2</v>
      </c>
    </row>
    <row r="43" spans="1:4" x14ac:dyDescent="0.45">
      <c r="A43" s="42" t="s">
        <v>27</v>
      </c>
      <c r="B43" s="42">
        <v>2003</v>
      </c>
      <c r="C43" s="42">
        <v>0.1225</v>
      </c>
      <c r="D43" s="42">
        <v>5.7799998999999998E-2</v>
      </c>
    </row>
    <row r="44" spans="1:4" x14ac:dyDescent="0.45">
      <c r="A44" s="42" t="s">
        <v>27</v>
      </c>
      <c r="B44" s="42">
        <v>2004</v>
      </c>
      <c r="C44" s="42">
        <v>0.1295</v>
      </c>
      <c r="D44" s="42">
        <v>5.8600000999999999E-2</v>
      </c>
    </row>
    <row r="45" spans="1:4" x14ac:dyDescent="0.45">
      <c r="A45" s="42" t="s">
        <v>27</v>
      </c>
      <c r="B45" s="42">
        <v>2005</v>
      </c>
      <c r="C45" s="42">
        <v>0.13639999999999999</v>
      </c>
      <c r="D45" s="42">
        <v>5.9099998000000001E-2</v>
      </c>
    </row>
    <row r="46" spans="1:4" x14ac:dyDescent="0.45">
      <c r="A46" s="42" t="s">
        <v>27</v>
      </c>
      <c r="B46" s="42">
        <v>2006</v>
      </c>
      <c r="C46" s="42">
        <v>0.14040000999999999</v>
      </c>
      <c r="D46" s="42">
        <v>6.0299999999999999E-2</v>
      </c>
    </row>
    <row r="47" spans="1:4" x14ac:dyDescent="0.45">
      <c r="A47" s="42" t="s">
        <v>27</v>
      </c>
      <c r="B47" s="42">
        <v>2007</v>
      </c>
      <c r="C47" s="42">
        <v>0.14080000000000001</v>
      </c>
      <c r="D47" s="42">
        <v>6.1400000000000003E-2</v>
      </c>
    </row>
    <row r="48" spans="1:4" x14ac:dyDescent="0.45">
      <c r="A48" s="42" t="s">
        <v>27</v>
      </c>
      <c r="B48" s="42">
        <v>2008</v>
      </c>
      <c r="C48" s="42">
        <v>0.13770001000000001</v>
      </c>
      <c r="D48" s="42">
        <v>6.1099999000000002E-2</v>
      </c>
    </row>
    <row r="49" spans="1:4" x14ac:dyDescent="0.45">
      <c r="A49" s="42" t="s">
        <v>27</v>
      </c>
      <c r="B49" s="42">
        <v>2009</v>
      </c>
      <c r="C49" s="42">
        <v>0.12520000000000001</v>
      </c>
      <c r="D49" s="42">
        <v>5.7700001000000001E-2</v>
      </c>
    </row>
    <row r="50" spans="1:4" x14ac:dyDescent="0.45">
      <c r="A50" s="42" t="s">
        <v>27</v>
      </c>
      <c r="B50" s="42">
        <v>2010</v>
      </c>
      <c r="C50" s="42">
        <v>0.13139999999999999</v>
      </c>
      <c r="D50" s="42">
        <v>5.9400000000000001E-2</v>
      </c>
    </row>
    <row r="51" spans="1:4" x14ac:dyDescent="0.45">
      <c r="A51" s="42" t="s">
        <v>27</v>
      </c>
      <c r="B51" s="42">
        <v>2011</v>
      </c>
      <c r="C51" s="42">
        <v>0.13259999</v>
      </c>
      <c r="D51" s="42">
        <v>5.9500000999999997E-2</v>
      </c>
    </row>
    <row r="52" spans="1:4" x14ac:dyDescent="0.45">
      <c r="A52" s="42" t="s">
        <v>27</v>
      </c>
      <c r="B52" s="42">
        <v>2012</v>
      </c>
      <c r="C52" s="42">
        <v>0.1416</v>
      </c>
      <c r="D52" s="42">
        <v>5.8499998999999997E-2</v>
      </c>
    </row>
    <row r="53" spans="1:4" x14ac:dyDescent="0.45">
      <c r="A53" s="42" t="s">
        <v>27</v>
      </c>
      <c r="B53" s="42">
        <v>2013</v>
      </c>
      <c r="C53" s="42">
        <v>0.1358</v>
      </c>
      <c r="D53" s="42">
        <v>5.7999997999999997E-2</v>
      </c>
    </row>
    <row r="54" spans="1:4" x14ac:dyDescent="0.45">
      <c r="A54" s="42" t="s">
        <v>27</v>
      </c>
      <c r="B54" s="42">
        <v>2014</v>
      </c>
      <c r="C54" s="42">
        <v>0.13980000000000001</v>
      </c>
      <c r="D54" s="42">
        <v>5.7700001000000001E-2</v>
      </c>
    </row>
  </sheetData>
  <hyperlinks>
    <hyperlink ref="H1" location="Index" display="Back to Index" xr:uid="{D14DB7E2-D6EB-49E1-B5BC-C649DED4B9C7}"/>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028BF-5473-4BF7-980E-E2B475B38108}">
  <sheetPr codeName="Sheet23"/>
  <dimension ref="A1:J6"/>
  <sheetViews>
    <sheetView topLeftCell="H1" workbookViewId="0">
      <selection activeCell="H1" sqref="H1"/>
    </sheetView>
  </sheetViews>
  <sheetFormatPr defaultRowHeight="14.25" x14ac:dyDescent="0.45"/>
  <cols>
    <col min="1" max="11" width="47.625" style="42" customWidth="1"/>
    <col min="12" max="16384" width="9" style="42"/>
  </cols>
  <sheetData>
    <row r="1" spans="1:10" ht="15.75" x14ac:dyDescent="0.45">
      <c r="A1" s="43" t="s">
        <v>81</v>
      </c>
      <c r="B1" s="43" t="s">
        <v>80</v>
      </c>
      <c r="C1" s="43" t="s">
        <v>79</v>
      </c>
      <c r="D1" s="43" t="s">
        <v>78</v>
      </c>
      <c r="E1" s="43" t="s">
        <v>77</v>
      </c>
      <c r="F1" s="43" t="s">
        <v>76</v>
      </c>
      <c r="G1" s="43" t="s">
        <v>75</v>
      </c>
      <c r="H1" s="99" t="s">
        <v>543</v>
      </c>
      <c r="I1" s="43" t="s">
        <v>74</v>
      </c>
      <c r="J1" s="43" t="s">
        <v>73</v>
      </c>
    </row>
    <row r="2" spans="1:10" ht="185.25" x14ac:dyDescent="0.45">
      <c r="A2" s="41" t="s">
        <v>71</v>
      </c>
      <c r="B2" s="41" t="s">
        <v>70</v>
      </c>
      <c r="C2" s="41" t="s">
        <v>183</v>
      </c>
      <c r="D2" s="41" t="s">
        <v>27</v>
      </c>
      <c r="E2" s="41" t="s">
        <v>49</v>
      </c>
      <c r="F2" s="41" t="s">
        <v>184</v>
      </c>
      <c r="G2" s="41" t="s">
        <v>185</v>
      </c>
      <c r="H2" s="41" t="s">
        <v>186</v>
      </c>
      <c r="I2" s="41" t="s">
        <v>187</v>
      </c>
      <c r="J2" s="41" t="s">
        <v>187</v>
      </c>
    </row>
    <row r="3" spans="1:10" ht="185.25" x14ac:dyDescent="0.45">
      <c r="A3" s="41" t="s">
        <v>67</v>
      </c>
      <c r="B3" s="41" t="s">
        <v>66</v>
      </c>
      <c r="C3" s="41" t="s">
        <v>183</v>
      </c>
      <c r="D3" s="41" t="s">
        <v>27</v>
      </c>
      <c r="E3" s="41" t="s">
        <v>49</v>
      </c>
      <c r="F3" s="41" t="s">
        <v>184</v>
      </c>
      <c r="G3" s="41" t="s">
        <v>185</v>
      </c>
      <c r="H3" s="41" t="s">
        <v>186</v>
      </c>
      <c r="I3" s="41" t="s">
        <v>45</v>
      </c>
      <c r="J3" s="41" t="s">
        <v>65</v>
      </c>
    </row>
    <row r="4" spans="1:10" ht="185.25" x14ac:dyDescent="0.45">
      <c r="A4" s="41" t="s">
        <v>64</v>
      </c>
      <c r="B4" s="41" t="s">
        <v>6</v>
      </c>
      <c r="C4" s="41" t="s">
        <v>183</v>
      </c>
      <c r="D4" s="41" t="s">
        <v>27</v>
      </c>
      <c r="E4" s="41" t="s">
        <v>49</v>
      </c>
      <c r="F4" s="41" t="s">
        <v>184</v>
      </c>
      <c r="G4" s="41" t="s">
        <v>185</v>
      </c>
      <c r="H4" s="41" t="s">
        <v>186</v>
      </c>
      <c r="I4" s="41" t="s">
        <v>187</v>
      </c>
      <c r="J4" s="41" t="s">
        <v>187</v>
      </c>
    </row>
    <row r="5" spans="1:10" ht="185.25" x14ac:dyDescent="0.45">
      <c r="A5" s="41" t="s">
        <v>61</v>
      </c>
      <c r="B5" s="41" t="s">
        <v>7</v>
      </c>
      <c r="C5" s="41" t="s">
        <v>183</v>
      </c>
      <c r="D5" s="41" t="s">
        <v>27</v>
      </c>
      <c r="E5" s="41" t="s">
        <v>49</v>
      </c>
      <c r="F5" s="41" t="s">
        <v>184</v>
      </c>
      <c r="G5" s="41" t="s">
        <v>185</v>
      </c>
      <c r="H5" s="41" t="s">
        <v>186</v>
      </c>
      <c r="I5" s="41" t="s">
        <v>187</v>
      </c>
      <c r="J5" s="41" t="s">
        <v>187</v>
      </c>
    </row>
    <row r="6" spans="1:10" ht="185.25" x14ac:dyDescent="0.45">
      <c r="A6" s="41" t="s">
        <v>8</v>
      </c>
      <c r="B6" s="41" t="s">
        <v>51</v>
      </c>
      <c r="C6" s="41" t="s">
        <v>183</v>
      </c>
      <c r="D6" s="41" t="s">
        <v>27</v>
      </c>
      <c r="E6" s="41" t="s">
        <v>49</v>
      </c>
      <c r="F6" s="41" t="s">
        <v>184</v>
      </c>
      <c r="G6" s="41" t="s">
        <v>185</v>
      </c>
      <c r="H6" s="41" t="s">
        <v>186</v>
      </c>
      <c r="I6" s="41" t="s">
        <v>188</v>
      </c>
      <c r="J6" s="41" t="s">
        <v>44</v>
      </c>
    </row>
  </sheetData>
  <hyperlinks>
    <hyperlink ref="H1" location="Index" display="Back to Index" xr:uid="{79C76B96-5F57-4A25-B138-EA4C50F4DE1E}"/>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A6A5D-3D27-49FB-8726-F72A9B30042D}">
  <sheetPr codeName="Sheet24"/>
  <dimension ref="A1:H54"/>
  <sheetViews>
    <sheetView topLeftCell="A10" workbookViewId="0">
      <selection activeCell="C38" sqref="C38"/>
    </sheetView>
  </sheetViews>
  <sheetFormatPr defaultRowHeight="14.25" x14ac:dyDescent="0.45"/>
  <cols>
    <col min="1" max="5" width="19.5" style="42" customWidth="1"/>
    <col min="6" max="16384" width="9" style="42"/>
  </cols>
  <sheetData>
    <row r="1" spans="1:8" ht="102.75" x14ac:dyDescent="0.5">
      <c r="A1" s="44" t="s">
        <v>101</v>
      </c>
      <c r="B1" s="41" t="s">
        <v>43</v>
      </c>
      <c r="C1" s="41" t="s">
        <v>189</v>
      </c>
      <c r="D1" s="41" t="s">
        <v>190</v>
      </c>
      <c r="H1" s="5" t="s">
        <v>543</v>
      </c>
    </row>
    <row r="2" spans="1:8" x14ac:dyDescent="0.45">
      <c r="A2" s="42" t="s">
        <v>26</v>
      </c>
      <c r="B2" s="42">
        <v>1962</v>
      </c>
      <c r="C2" s="42">
        <v>0.27779999</v>
      </c>
    </row>
    <row r="3" spans="1:8" x14ac:dyDescent="0.45">
      <c r="A3" s="42" t="s">
        <v>26</v>
      </c>
      <c r="B3" s="42">
        <v>1963</v>
      </c>
    </row>
    <row r="4" spans="1:8" x14ac:dyDescent="0.45">
      <c r="A4" s="42" t="s">
        <v>26</v>
      </c>
      <c r="B4" s="42">
        <v>1964</v>
      </c>
      <c r="C4" s="42">
        <v>0.27959999000000002</v>
      </c>
    </row>
    <row r="5" spans="1:8" x14ac:dyDescent="0.45">
      <c r="A5" s="42" t="s">
        <v>26</v>
      </c>
      <c r="B5" s="42">
        <v>1965</v>
      </c>
    </row>
    <row r="6" spans="1:8" x14ac:dyDescent="0.45">
      <c r="A6" s="42" t="s">
        <v>26</v>
      </c>
      <c r="B6" s="42">
        <v>1966</v>
      </c>
      <c r="C6" s="42">
        <v>0.2757</v>
      </c>
    </row>
    <row r="7" spans="1:8" x14ac:dyDescent="0.45">
      <c r="A7" s="42" t="s">
        <v>26</v>
      </c>
      <c r="B7" s="42">
        <v>1967</v>
      </c>
      <c r="C7" s="42">
        <v>0.27329998999999999</v>
      </c>
    </row>
    <row r="8" spans="1:8" x14ac:dyDescent="0.45">
      <c r="A8" s="42" t="s">
        <v>26</v>
      </c>
      <c r="B8" s="42">
        <v>1968</v>
      </c>
      <c r="C8" s="42">
        <v>0.27430000999999998</v>
      </c>
    </row>
    <row r="9" spans="1:8" x14ac:dyDescent="0.45">
      <c r="A9" s="42" t="s">
        <v>26</v>
      </c>
      <c r="B9" s="42">
        <v>1969</v>
      </c>
      <c r="C9" s="42">
        <v>0.27100000000000002</v>
      </c>
    </row>
    <row r="10" spans="1:8" x14ac:dyDescent="0.45">
      <c r="A10" s="42" t="s">
        <v>26</v>
      </c>
      <c r="B10" s="42">
        <v>1970</v>
      </c>
      <c r="C10" s="42">
        <v>0.27279999999999999</v>
      </c>
      <c r="D10" s="42">
        <v>0.30720001000000002</v>
      </c>
    </row>
    <row r="11" spans="1:8" x14ac:dyDescent="0.45">
      <c r="A11" s="42" t="s">
        <v>26</v>
      </c>
      <c r="B11" s="42">
        <v>1971</v>
      </c>
      <c r="C11" s="42">
        <v>0.27700001000000002</v>
      </c>
      <c r="D11" s="42">
        <v>0.3039</v>
      </c>
    </row>
    <row r="12" spans="1:8" x14ac:dyDescent="0.45">
      <c r="A12" s="42" t="s">
        <v>26</v>
      </c>
      <c r="B12" s="42">
        <v>1972</v>
      </c>
      <c r="C12" s="42">
        <v>0.27779999</v>
      </c>
      <c r="D12" s="42">
        <v>0.30219998999999997</v>
      </c>
    </row>
    <row r="13" spans="1:8" x14ac:dyDescent="0.45">
      <c r="A13" s="42" t="s">
        <v>26</v>
      </c>
      <c r="B13" s="42">
        <v>1973</v>
      </c>
      <c r="C13" s="42">
        <v>0.27990000999999998</v>
      </c>
      <c r="D13" s="42">
        <v>0.29920000000000002</v>
      </c>
    </row>
    <row r="14" spans="1:8" x14ac:dyDescent="0.45">
      <c r="A14" s="42" t="s">
        <v>26</v>
      </c>
      <c r="B14" s="42">
        <v>1974</v>
      </c>
      <c r="C14" s="42">
        <v>0.27979999999999999</v>
      </c>
      <c r="D14" s="42">
        <v>0.29550000999999998</v>
      </c>
    </row>
    <row r="15" spans="1:8" x14ac:dyDescent="0.45">
      <c r="A15" s="42" t="s">
        <v>26</v>
      </c>
      <c r="B15" s="42">
        <v>1975</v>
      </c>
      <c r="C15" s="42">
        <v>0.28369999000000001</v>
      </c>
      <c r="D15" s="42">
        <v>0.29229999000000001</v>
      </c>
    </row>
    <row r="16" spans="1:8" x14ac:dyDescent="0.45">
      <c r="A16" s="42" t="s">
        <v>26</v>
      </c>
      <c r="B16" s="42">
        <v>1976</v>
      </c>
      <c r="C16" s="42">
        <v>0.28249999999999997</v>
      </c>
      <c r="D16" s="42">
        <v>0.28740000999999998</v>
      </c>
    </row>
    <row r="17" spans="1:4" x14ac:dyDescent="0.45">
      <c r="A17" s="42" t="s">
        <v>26</v>
      </c>
      <c r="B17" s="42">
        <v>1977</v>
      </c>
      <c r="C17" s="42">
        <v>0.28360000000000002</v>
      </c>
      <c r="D17" s="42">
        <v>0.28290000999999998</v>
      </c>
    </row>
    <row r="18" spans="1:4" x14ac:dyDescent="0.45">
      <c r="A18" s="42" t="s">
        <v>26</v>
      </c>
      <c r="B18" s="42">
        <v>1978</v>
      </c>
      <c r="C18" s="42">
        <v>0.28580000999999999</v>
      </c>
      <c r="D18" s="42">
        <v>0.27929999999999999</v>
      </c>
    </row>
    <row r="19" spans="1:4" x14ac:dyDescent="0.45">
      <c r="A19" s="42" t="s">
        <v>26</v>
      </c>
      <c r="B19" s="42">
        <v>1979</v>
      </c>
      <c r="C19" s="42">
        <v>0.28690000999999998</v>
      </c>
      <c r="D19" s="42">
        <v>0.27529999999999999</v>
      </c>
    </row>
    <row r="20" spans="1:4" x14ac:dyDescent="0.45">
      <c r="A20" s="42" t="s">
        <v>26</v>
      </c>
      <c r="B20" s="42">
        <v>1980</v>
      </c>
      <c r="C20" s="42">
        <v>0.29020000000000001</v>
      </c>
      <c r="D20" s="42">
        <v>0.27540000999999997</v>
      </c>
    </row>
    <row r="21" spans="1:4" x14ac:dyDescent="0.45">
      <c r="A21" s="42" t="s">
        <v>26</v>
      </c>
      <c r="B21" s="42">
        <v>1981</v>
      </c>
      <c r="C21" s="42">
        <v>0.29440000999999999</v>
      </c>
      <c r="D21" s="42">
        <v>0.27509999000000002</v>
      </c>
    </row>
    <row r="22" spans="1:4" x14ac:dyDescent="0.45">
      <c r="A22" s="42" t="s">
        <v>26</v>
      </c>
      <c r="B22" s="42">
        <v>1982</v>
      </c>
      <c r="C22" s="42">
        <v>0.30250000999999999</v>
      </c>
      <c r="D22" s="42">
        <v>0.27610001000000001</v>
      </c>
    </row>
    <row r="23" spans="1:4" x14ac:dyDescent="0.45">
      <c r="A23" s="42" t="s">
        <v>26</v>
      </c>
      <c r="B23" s="42">
        <v>1983</v>
      </c>
      <c r="C23" s="42">
        <v>0.30880001000000001</v>
      </c>
      <c r="D23" s="42">
        <v>0.27689998999999998</v>
      </c>
    </row>
    <row r="24" spans="1:4" x14ac:dyDescent="0.45">
      <c r="A24" s="42" t="s">
        <v>26</v>
      </c>
      <c r="B24" s="42">
        <v>1984</v>
      </c>
      <c r="C24" s="42">
        <v>0.31439999000000002</v>
      </c>
      <c r="D24" s="42">
        <v>0.27720001</v>
      </c>
    </row>
    <row r="25" spans="1:4" x14ac:dyDescent="0.45">
      <c r="A25" s="42" t="s">
        <v>26</v>
      </c>
      <c r="B25" s="42">
        <v>1985</v>
      </c>
      <c r="C25" s="42">
        <v>0.31779998999999998</v>
      </c>
      <c r="D25" s="42">
        <v>0.27770001</v>
      </c>
    </row>
    <row r="26" spans="1:4" x14ac:dyDescent="0.45">
      <c r="A26" s="42" t="s">
        <v>26</v>
      </c>
      <c r="B26" s="42">
        <v>1986</v>
      </c>
      <c r="C26" s="42">
        <v>0.3206</v>
      </c>
      <c r="D26" s="42">
        <v>0.27800000000000002</v>
      </c>
    </row>
    <row r="27" spans="1:4" x14ac:dyDescent="0.45">
      <c r="A27" s="42" t="s">
        <v>26</v>
      </c>
      <c r="B27" s="42">
        <v>1987</v>
      </c>
      <c r="C27" s="42">
        <v>0.32940000000000003</v>
      </c>
      <c r="D27" s="42">
        <v>0.27750000000000002</v>
      </c>
    </row>
    <row r="28" spans="1:4" x14ac:dyDescent="0.45">
      <c r="A28" s="42" t="s">
        <v>26</v>
      </c>
      <c r="B28" s="42">
        <v>1988</v>
      </c>
      <c r="C28" s="42">
        <v>0.34060001000000001</v>
      </c>
      <c r="D28" s="42">
        <v>0.27700001000000002</v>
      </c>
    </row>
    <row r="29" spans="1:4" x14ac:dyDescent="0.45">
      <c r="A29" s="42" t="s">
        <v>26</v>
      </c>
      <c r="B29" s="42">
        <v>1989</v>
      </c>
      <c r="C29" s="42">
        <v>0.33860001000000001</v>
      </c>
      <c r="D29" s="42">
        <v>0.27829999</v>
      </c>
    </row>
    <row r="30" spans="1:4" x14ac:dyDescent="0.45">
      <c r="A30" s="42" t="s">
        <v>26</v>
      </c>
      <c r="B30" s="42">
        <v>1990</v>
      </c>
      <c r="C30" s="42">
        <v>0.34050000000000002</v>
      </c>
      <c r="D30" s="42">
        <v>0.27759999000000002</v>
      </c>
    </row>
    <row r="31" spans="1:4" x14ac:dyDescent="0.45">
      <c r="A31" s="42" t="s">
        <v>26</v>
      </c>
      <c r="B31" s="42">
        <v>1991</v>
      </c>
      <c r="C31" s="42">
        <v>0.33930000999999999</v>
      </c>
      <c r="D31" s="42">
        <v>0.26989998999999998</v>
      </c>
    </row>
    <row r="32" spans="1:4" x14ac:dyDescent="0.45">
      <c r="A32" s="42" t="s">
        <v>26</v>
      </c>
      <c r="B32" s="42">
        <v>1992</v>
      </c>
      <c r="C32" s="42">
        <v>0.35039999999999999</v>
      </c>
      <c r="D32" s="42">
        <v>0.27450001000000002</v>
      </c>
    </row>
    <row r="33" spans="1:4" x14ac:dyDescent="0.45">
      <c r="A33" s="42" t="s">
        <v>26</v>
      </c>
      <c r="B33" s="42">
        <v>1993</v>
      </c>
      <c r="C33" s="42">
        <v>0.34670001</v>
      </c>
      <c r="D33" s="42">
        <v>0.27029999999999998</v>
      </c>
    </row>
    <row r="34" spans="1:4" x14ac:dyDescent="0.45">
      <c r="A34" s="42" t="s">
        <v>26</v>
      </c>
      <c r="B34" s="42">
        <v>1994</v>
      </c>
      <c r="C34" s="42">
        <v>0.34580000999999999</v>
      </c>
      <c r="D34" s="42">
        <v>0.26989998999999998</v>
      </c>
    </row>
    <row r="35" spans="1:4" x14ac:dyDescent="0.45">
      <c r="A35" s="42" t="s">
        <v>26</v>
      </c>
      <c r="B35" s="42">
        <v>1995</v>
      </c>
      <c r="C35" s="42">
        <v>0.35229999000000001</v>
      </c>
      <c r="D35" s="42">
        <v>0.26859999000000001</v>
      </c>
    </row>
    <row r="36" spans="1:4" x14ac:dyDescent="0.45">
      <c r="A36" s="42" t="s">
        <v>26</v>
      </c>
      <c r="B36" s="42">
        <v>1996</v>
      </c>
      <c r="C36" s="42">
        <v>0.36070001000000002</v>
      </c>
      <c r="D36" s="42">
        <v>0.26850000000000002</v>
      </c>
    </row>
    <row r="37" spans="1:4" x14ac:dyDescent="0.45">
      <c r="A37" s="42" t="s">
        <v>26</v>
      </c>
      <c r="B37" s="42">
        <v>1997</v>
      </c>
      <c r="C37" s="42">
        <v>0.36770001000000002</v>
      </c>
      <c r="D37" s="42">
        <v>0.26660001</v>
      </c>
    </row>
    <row r="38" spans="1:4" x14ac:dyDescent="0.45">
      <c r="A38" s="42" t="s">
        <v>26</v>
      </c>
      <c r="B38" s="42">
        <v>1998</v>
      </c>
      <c r="C38" s="42">
        <v>0.37310000999999998</v>
      </c>
      <c r="D38" s="42">
        <v>0.26669999999999999</v>
      </c>
    </row>
    <row r="39" spans="1:4" x14ac:dyDescent="0.45">
      <c r="A39" s="42" t="s">
        <v>26</v>
      </c>
      <c r="B39" s="42">
        <v>1999</v>
      </c>
      <c r="C39" s="42">
        <v>0.38150001</v>
      </c>
      <c r="D39" s="42">
        <v>0.26910001</v>
      </c>
    </row>
    <row r="40" spans="1:4" x14ac:dyDescent="0.45">
      <c r="A40" s="42" t="s">
        <v>26</v>
      </c>
      <c r="B40" s="42">
        <v>2000</v>
      </c>
      <c r="C40" s="42">
        <v>0.38960001</v>
      </c>
      <c r="D40" s="42">
        <v>0.26960000000000001</v>
      </c>
    </row>
    <row r="41" spans="1:4" x14ac:dyDescent="0.45">
      <c r="A41" s="42" t="s">
        <v>26</v>
      </c>
      <c r="B41" s="42">
        <v>2001</v>
      </c>
      <c r="C41" s="42">
        <v>0.38060000999999999</v>
      </c>
      <c r="D41" s="42">
        <v>0.26919999999999999</v>
      </c>
    </row>
    <row r="42" spans="1:4" x14ac:dyDescent="0.45">
      <c r="A42" s="42" t="s">
        <v>26</v>
      </c>
      <c r="B42" s="42">
        <v>2002</v>
      </c>
      <c r="C42" s="42">
        <v>0.37390000000000001</v>
      </c>
      <c r="D42" s="42">
        <v>0.26789998999999998</v>
      </c>
    </row>
    <row r="43" spans="1:4" x14ac:dyDescent="0.45">
      <c r="A43" s="42" t="s">
        <v>26</v>
      </c>
      <c r="B43" s="42">
        <v>2003</v>
      </c>
      <c r="C43" s="42">
        <v>0.37400000999999999</v>
      </c>
      <c r="D43" s="42">
        <v>0.26930000999999998</v>
      </c>
    </row>
    <row r="44" spans="1:4" x14ac:dyDescent="0.45">
      <c r="A44" s="42" t="s">
        <v>26</v>
      </c>
      <c r="B44" s="42">
        <v>2004</v>
      </c>
      <c r="C44" s="42">
        <v>0.37970000999999998</v>
      </c>
      <c r="D44" s="42">
        <v>0.26939999999999997</v>
      </c>
    </row>
    <row r="45" spans="1:4" x14ac:dyDescent="0.45">
      <c r="A45" s="42" t="s">
        <v>26</v>
      </c>
      <c r="B45" s="42">
        <v>2005</v>
      </c>
      <c r="C45" s="42">
        <v>0.38650000000000001</v>
      </c>
      <c r="D45" s="42">
        <v>0.26910001</v>
      </c>
    </row>
    <row r="46" spans="1:4" x14ac:dyDescent="0.45">
      <c r="A46" s="42" t="s">
        <v>26</v>
      </c>
      <c r="B46" s="42">
        <v>2006</v>
      </c>
      <c r="C46" s="42">
        <v>0.39179998999999999</v>
      </c>
      <c r="D46" s="42">
        <v>0.27059999000000001</v>
      </c>
    </row>
    <row r="47" spans="1:4" x14ac:dyDescent="0.45">
      <c r="A47" s="42" t="s">
        <v>26</v>
      </c>
      <c r="B47" s="42">
        <v>2007</v>
      </c>
      <c r="C47" s="42">
        <v>0.39230000999999998</v>
      </c>
      <c r="D47" s="42">
        <v>0.27110001</v>
      </c>
    </row>
    <row r="48" spans="1:4" x14ac:dyDescent="0.45">
      <c r="A48" s="42" t="s">
        <v>26</v>
      </c>
      <c r="B48" s="42">
        <v>2008</v>
      </c>
      <c r="C48" s="42">
        <v>0.39089998999999997</v>
      </c>
      <c r="D48" s="42">
        <v>0.27079998999999999</v>
      </c>
    </row>
    <row r="49" spans="1:4" x14ac:dyDescent="0.45">
      <c r="A49" s="42" t="s">
        <v>26</v>
      </c>
      <c r="B49" s="42">
        <v>2009</v>
      </c>
      <c r="C49" s="42">
        <v>0.38170000999999998</v>
      </c>
      <c r="D49" s="42">
        <v>0.26690000000000003</v>
      </c>
    </row>
    <row r="50" spans="1:4" x14ac:dyDescent="0.45">
      <c r="A50" s="42" t="s">
        <v>26</v>
      </c>
      <c r="B50" s="42">
        <v>2010</v>
      </c>
      <c r="C50" s="42">
        <v>0.3901</v>
      </c>
      <c r="D50" s="42">
        <v>0.26879998999999999</v>
      </c>
    </row>
    <row r="51" spans="1:4" x14ac:dyDescent="0.45">
      <c r="A51" s="42" t="s">
        <v>26</v>
      </c>
      <c r="B51" s="42">
        <v>2011</v>
      </c>
      <c r="C51" s="42">
        <v>0.39539998999999998</v>
      </c>
      <c r="D51" s="42">
        <v>0.26800001000000001</v>
      </c>
    </row>
    <row r="52" spans="1:4" x14ac:dyDescent="0.45">
      <c r="A52" s="42" t="s">
        <v>26</v>
      </c>
      <c r="B52" s="42">
        <v>2012</v>
      </c>
      <c r="C52" s="42">
        <v>0.40470001</v>
      </c>
      <c r="D52" s="42">
        <v>0.26640001000000002</v>
      </c>
    </row>
    <row r="53" spans="1:4" x14ac:dyDescent="0.45">
      <c r="A53" s="42" t="s">
        <v>26</v>
      </c>
      <c r="B53" s="42">
        <v>2013</v>
      </c>
      <c r="C53" s="42">
        <v>0.3987</v>
      </c>
      <c r="D53" s="42">
        <v>0.26570000999999999</v>
      </c>
    </row>
    <row r="54" spans="1:4" x14ac:dyDescent="0.45">
      <c r="A54" s="42" t="s">
        <v>26</v>
      </c>
      <c r="B54" s="42">
        <v>2014</v>
      </c>
      <c r="C54" s="42">
        <v>0.4032</v>
      </c>
      <c r="D54" s="42">
        <v>0.26519999</v>
      </c>
    </row>
  </sheetData>
  <hyperlinks>
    <hyperlink ref="H1" location="Index" display="Back to Index" xr:uid="{1DF97845-209F-4E3F-80B9-5FB33BC3453E}"/>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7B893-B846-4055-82D4-A1FE490C2F0D}">
  <sheetPr codeName="Sheet25"/>
  <dimension ref="A1:J3"/>
  <sheetViews>
    <sheetView workbookViewId="0">
      <selection activeCell="C38" sqref="C38"/>
    </sheetView>
  </sheetViews>
  <sheetFormatPr defaultRowHeight="14.25" x14ac:dyDescent="0.45"/>
  <cols>
    <col min="1" max="11" width="47.625" style="42" customWidth="1"/>
    <col min="12" max="16384" width="9" style="42"/>
  </cols>
  <sheetData>
    <row r="1" spans="1:10" ht="15.75" x14ac:dyDescent="0.45">
      <c r="A1" s="43" t="s">
        <v>81</v>
      </c>
      <c r="B1" s="43" t="s">
        <v>80</v>
      </c>
      <c r="C1" s="43" t="s">
        <v>79</v>
      </c>
      <c r="D1" s="43" t="s">
        <v>78</v>
      </c>
      <c r="E1" s="43" t="s">
        <v>77</v>
      </c>
      <c r="F1" s="43" t="s">
        <v>76</v>
      </c>
      <c r="G1" s="43" t="s">
        <v>75</v>
      </c>
      <c r="H1" s="99" t="s">
        <v>543</v>
      </c>
      <c r="I1" s="43" t="s">
        <v>74</v>
      </c>
      <c r="J1" s="43" t="s">
        <v>73</v>
      </c>
    </row>
    <row r="2" spans="1:10" ht="185.25" x14ac:dyDescent="0.45">
      <c r="A2" s="41" t="s">
        <v>67</v>
      </c>
      <c r="B2" s="41" t="s">
        <v>66</v>
      </c>
      <c r="C2" s="41" t="s">
        <v>183</v>
      </c>
      <c r="D2" s="41" t="s">
        <v>26</v>
      </c>
      <c r="E2" s="41" t="s">
        <v>49</v>
      </c>
      <c r="F2" s="41" t="s">
        <v>184</v>
      </c>
      <c r="G2" s="41" t="s">
        <v>185</v>
      </c>
      <c r="H2" s="41" t="s">
        <v>186</v>
      </c>
      <c r="I2" s="41" t="s">
        <v>45</v>
      </c>
      <c r="J2" s="41" t="s">
        <v>65</v>
      </c>
    </row>
    <row r="3" spans="1:10" ht="185.25" x14ac:dyDescent="0.45">
      <c r="A3" s="41" t="s">
        <v>8</v>
      </c>
      <c r="B3" s="41" t="s">
        <v>51</v>
      </c>
      <c r="C3" s="41" t="s">
        <v>183</v>
      </c>
      <c r="D3" s="41" t="s">
        <v>26</v>
      </c>
      <c r="E3" s="41" t="s">
        <v>49</v>
      </c>
      <c r="F3" s="41" t="s">
        <v>184</v>
      </c>
      <c r="G3" s="41" t="s">
        <v>185</v>
      </c>
      <c r="H3" s="41" t="s">
        <v>186</v>
      </c>
      <c r="I3" s="41" t="s">
        <v>188</v>
      </c>
      <c r="J3" s="41" t="s">
        <v>44</v>
      </c>
    </row>
  </sheetData>
  <hyperlinks>
    <hyperlink ref="H1" location="Index" display="Back to Index" xr:uid="{E298105B-60A9-4943-97EE-CC606EF2BF9F}"/>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67946-C519-414B-BA94-F42DBE96DDF9}">
  <sheetPr codeName="Sheet26"/>
  <dimension ref="A1:H54"/>
  <sheetViews>
    <sheetView workbookViewId="0">
      <selection activeCell="C38" sqref="C38"/>
    </sheetView>
  </sheetViews>
  <sheetFormatPr defaultRowHeight="14.25" x14ac:dyDescent="0.45"/>
  <cols>
    <col min="1" max="9" width="19.5" style="42" customWidth="1"/>
    <col min="10" max="16384" width="9" style="42"/>
  </cols>
  <sheetData>
    <row r="1" spans="1:8" ht="102.75" x14ac:dyDescent="0.45">
      <c r="A1" s="41" t="s">
        <v>177</v>
      </c>
      <c r="B1" s="41" t="s">
        <v>43</v>
      </c>
      <c r="C1" s="41" t="s">
        <v>191</v>
      </c>
      <c r="D1" s="41" t="s">
        <v>192</v>
      </c>
      <c r="E1" s="41" t="s">
        <v>193</v>
      </c>
      <c r="F1" s="41" t="s">
        <v>194</v>
      </c>
      <c r="G1" s="41" t="s">
        <v>195</v>
      </c>
      <c r="H1" s="98" t="s">
        <v>543</v>
      </c>
    </row>
    <row r="2" spans="1:8" x14ac:dyDescent="0.45">
      <c r="A2" s="42" t="s">
        <v>196</v>
      </c>
      <c r="B2" s="42">
        <v>1962</v>
      </c>
      <c r="C2" s="42">
        <v>0.72219997999999996</v>
      </c>
    </row>
    <row r="3" spans="1:8" x14ac:dyDescent="0.45">
      <c r="A3" s="42" t="s">
        <v>196</v>
      </c>
      <c r="B3" s="42">
        <v>1963</v>
      </c>
    </row>
    <row r="4" spans="1:8" x14ac:dyDescent="0.45">
      <c r="A4" s="42" t="s">
        <v>196</v>
      </c>
      <c r="B4" s="42">
        <v>1964</v>
      </c>
      <c r="C4" s="42">
        <v>0.72039998000000005</v>
      </c>
    </row>
    <row r="5" spans="1:8" x14ac:dyDescent="0.45">
      <c r="A5" s="42" t="s">
        <v>196</v>
      </c>
      <c r="B5" s="42">
        <v>1965</v>
      </c>
    </row>
    <row r="6" spans="1:8" x14ac:dyDescent="0.45">
      <c r="A6" s="42" t="s">
        <v>196</v>
      </c>
      <c r="B6" s="42">
        <v>1966</v>
      </c>
      <c r="C6" s="42">
        <v>0.72430002999999998</v>
      </c>
    </row>
    <row r="7" spans="1:8" x14ac:dyDescent="0.45">
      <c r="A7" s="42" t="s">
        <v>196</v>
      </c>
      <c r="B7" s="42">
        <v>1967</v>
      </c>
      <c r="C7" s="42">
        <v>0.72680001999999999</v>
      </c>
    </row>
    <row r="8" spans="1:8" x14ac:dyDescent="0.45">
      <c r="A8" s="42" t="s">
        <v>196</v>
      </c>
      <c r="B8" s="42">
        <v>1968</v>
      </c>
      <c r="C8" s="42">
        <v>0.72570002</v>
      </c>
    </row>
    <row r="9" spans="1:8" x14ac:dyDescent="0.45">
      <c r="A9" s="42" t="s">
        <v>196</v>
      </c>
      <c r="B9" s="42">
        <v>1969</v>
      </c>
      <c r="C9" s="42">
        <v>0.72890001999999998</v>
      </c>
    </row>
    <row r="10" spans="1:8" x14ac:dyDescent="0.45">
      <c r="A10" s="42" t="s">
        <v>196</v>
      </c>
      <c r="B10" s="42">
        <v>1970</v>
      </c>
      <c r="C10" s="42">
        <v>0.72719997000000003</v>
      </c>
      <c r="D10" s="42">
        <v>0.69279999000000003</v>
      </c>
    </row>
    <row r="11" spans="1:8" x14ac:dyDescent="0.45">
      <c r="A11" s="42" t="s">
        <v>196</v>
      </c>
      <c r="B11" s="42">
        <v>1971</v>
      </c>
      <c r="C11" s="42">
        <v>0.72310001000000002</v>
      </c>
      <c r="D11" s="42">
        <v>0.69610000000000005</v>
      </c>
    </row>
    <row r="12" spans="1:8" x14ac:dyDescent="0.45">
      <c r="A12" s="42" t="s">
        <v>196</v>
      </c>
      <c r="B12" s="42">
        <v>1972</v>
      </c>
      <c r="C12" s="42">
        <v>0.72219997999999996</v>
      </c>
      <c r="D12" s="42">
        <v>0.69779997999999999</v>
      </c>
    </row>
    <row r="13" spans="1:8" x14ac:dyDescent="0.45">
      <c r="A13" s="42" t="s">
        <v>196</v>
      </c>
      <c r="B13" s="42">
        <v>1973</v>
      </c>
      <c r="C13" s="42">
        <v>0.72009999000000002</v>
      </c>
      <c r="D13" s="42">
        <v>0.70079999999999998</v>
      </c>
    </row>
    <row r="14" spans="1:8" x14ac:dyDescent="0.45">
      <c r="A14" s="42" t="s">
        <v>196</v>
      </c>
      <c r="B14" s="42">
        <v>1974</v>
      </c>
      <c r="C14" s="42">
        <v>0.72030002000000004</v>
      </c>
      <c r="D14" s="42">
        <v>0.70450002</v>
      </c>
    </row>
    <row r="15" spans="1:8" x14ac:dyDescent="0.45">
      <c r="A15" s="42" t="s">
        <v>196</v>
      </c>
      <c r="B15" s="42">
        <v>1975</v>
      </c>
      <c r="C15" s="42">
        <v>0.71630000999999999</v>
      </c>
      <c r="D15" s="42">
        <v>0.70770001000000005</v>
      </c>
    </row>
    <row r="16" spans="1:8" x14ac:dyDescent="0.45">
      <c r="A16" s="42" t="s">
        <v>196</v>
      </c>
      <c r="B16" s="42">
        <v>1976</v>
      </c>
      <c r="C16" s="42">
        <v>0.71749996999999999</v>
      </c>
      <c r="D16" s="42">
        <v>0.71259998999999996</v>
      </c>
    </row>
    <row r="17" spans="1:4" x14ac:dyDescent="0.45">
      <c r="A17" s="42" t="s">
        <v>196</v>
      </c>
      <c r="B17" s="42">
        <v>1977</v>
      </c>
      <c r="C17" s="42">
        <v>0.71630000999999999</v>
      </c>
      <c r="D17" s="42">
        <v>0.71710001999999995</v>
      </c>
    </row>
    <row r="18" spans="1:4" x14ac:dyDescent="0.45">
      <c r="A18" s="42" t="s">
        <v>196</v>
      </c>
      <c r="B18" s="42">
        <v>1978</v>
      </c>
      <c r="C18" s="42">
        <v>0.71420002000000005</v>
      </c>
      <c r="D18" s="42">
        <v>0.72070003000000005</v>
      </c>
    </row>
    <row r="19" spans="1:4" x14ac:dyDescent="0.45">
      <c r="A19" s="42" t="s">
        <v>196</v>
      </c>
      <c r="B19" s="42">
        <v>1979</v>
      </c>
      <c r="C19" s="42">
        <v>0.71310001999999995</v>
      </c>
      <c r="D19" s="42">
        <v>0.72469996999999997</v>
      </c>
    </row>
    <row r="20" spans="1:4" x14ac:dyDescent="0.45">
      <c r="A20" s="42" t="s">
        <v>196</v>
      </c>
      <c r="B20" s="42">
        <v>1980</v>
      </c>
      <c r="C20" s="42">
        <v>0.70969998999999995</v>
      </c>
      <c r="D20" s="42">
        <v>0.72460002000000001</v>
      </c>
    </row>
    <row r="21" spans="1:4" x14ac:dyDescent="0.45">
      <c r="A21" s="42" t="s">
        <v>196</v>
      </c>
      <c r="B21" s="42">
        <v>1981</v>
      </c>
      <c r="C21" s="42">
        <v>0.70569998</v>
      </c>
      <c r="D21" s="42">
        <v>0.72490001000000004</v>
      </c>
    </row>
    <row r="22" spans="1:4" x14ac:dyDescent="0.45">
      <c r="A22" s="42" t="s">
        <v>196</v>
      </c>
      <c r="B22" s="42">
        <v>1982</v>
      </c>
      <c r="C22" s="42">
        <v>0.69760001000000005</v>
      </c>
      <c r="D22" s="42">
        <v>0.72390001999999998</v>
      </c>
    </row>
    <row r="23" spans="1:4" x14ac:dyDescent="0.45">
      <c r="A23" s="42" t="s">
        <v>196</v>
      </c>
      <c r="B23" s="42">
        <v>1983</v>
      </c>
      <c r="C23" s="42">
        <v>0.69120002000000003</v>
      </c>
      <c r="D23" s="42">
        <v>0.72310001000000002</v>
      </c>
    </row>
    <row r="24" spans="1:4" x14ac:dyDescent="0.45">
      <c r="A24" s="42" t="s">
        <v>196</v>
      </c>
      <c r="B24" s="42">
        <v>1984</v>
      </c>
      <c r="C24" s="42">
        <v>0.68559998</v>
      </c>
      <c r="D24" s="42">
        <v>0.72280001999999999</v>
      </c>
    </row>
    <row r="25" spans="1:4" x14ac:dyDescent="0.45">
      <c r="A25" s="42" t="s">
        <v>196</v>
      </c>
      <c r="B25" s="42">
        <v>1985</v>
      </c>
      <c r="C25" s="42">
        <v>0.68220000999999997</v>
      </c>
      <c r="D25" s="42">
        <v>0.72229999</v>
      </c>
    </row>
    <row r="26" spans="1:4" x14ac:dyDescent="0.45">
      <c r="A26" s="42" t="s">
        <v>196</v>
      </c>
      <c r="B26" s="42">
        <v>1986</v>
      </c>
      <c r="C26" s="42">
        <v>0.67940003000000004</v>
      </c>
      <c r="D26" s="42">
        <v>0.72199999999999998</v>
      </c>
    </row>
    <row r="27" spans="1:4" x14ac:dyDescent="0.45">
      <c r="A27" s="42" t="s">
        <v>196</v>
      </c>
      <c r="B27" s="42">
        <v>1987</v>
      </c>
      <c r="C27" s="42">
        <v>0.67070001000000001</v>
      </c>
      <c r="D27" s="42">
        <v>0.72250002999999996</v>
      </c>
    </row>
    <row r="28" spans="1:4" x14ac:dyDescent="0.45">
      <c r="A28" s="42" t="s">
        <v>196</v>
      </c>
      <c r="B28" s="42">
        <v>1988</v>
      </c>
      <c r="C28" s="42">
        <v>0.65939999000000005</v>
      </c>
      <c r="D28" s="42">
        <v>0.72299999000000004</v>
      </c>
    </row>
    <row r="29" spans="1:4" x14ac:dyDescent="0.45">
      <c r="A29" s="42" t="s">
        <v>196</v>
      </c>
      <c r="B29" s="42">
        <v>1989</v>
      </c>
      <c r="C29" s="42">
        <v>0.66149997999999999</v>
      </c>
      <c r="D29" s="42">
        <v>0.72170000999999995</v>
      </c>
    </row>
    <row r="30" spans="1:4" x14ac:dyDescent="0.45">
      <c r="A30" s="42" t="s">
        <v>196</v>
      </c>
      <c r="B30" s="42">
        <v>1990</v>
      </c>
      <c r="C30" s="42">
        <v>0.65939999000000005</v>
      </c>
      <c r="D30" s="42">
        <v>0.72240000999999998</v>
      </c>
    </row>
    <row r="31" spans="1:4" x14ac:dyDescent="0.45">
      <c r="A31" s="42" t="s">
        <v>196</v>
      </c>
      <c r="B31" s="42">
        <v>1991</v>
      </c>
      <c r="C31" s="42">
        <v>0.66070002000000005</v>
      </c>
      <c r="D31" s="42">
        <v>0.73009997999999998</v>
      </c>
    </row>
    <row r="32" spans="1:4" x14ac:dyDescent="0.45">
      <c r="A32" s="42" t="s">
        <v>196</v>
      </c>
      <c r="B32" s="42">
        <v>1992</v>
      </c>
      <c r="C32" s="42">
        <v>0.64960002999999999</v>
      </c>
      <c r="D32" s="42">
        <v>0.72549998999999998</v>
      </c>
    </row>
    <row r="33" spans="1:4" x14ac:dyDescent="0.45">
      <c r="A33" s="42" t="s">
        <v>196</v>
      </c>
      <c r="B33" s="42">
        <v>1993</v>
      </c>
      <c r="C33" s="42">
        <v>0.65319996999999996</v>
      </c>
      <c r="D33" s="42">
        <v>0.72970003000000005</v>
      </c>
    </row>
    <row r="34" spans="1:4" x14ac:dyDescent="0.45">
      <c r="A34" s="42" t="s">
        <v>196</v>
      </c>
      <c r="B34" s="42">
        <v>1994</v>
      </c>
      <c r="C34" s="42">
        <v>0.65420001999999999</v>
      </c>
      <c r="D34" s="42">
        <v>0.73009997999999998</v>
      </c>
    </row>
    <row r="35" spans="1:4" x14ac:dyDescent="0.45">
      <c r="A35" s="42" t="s">
        <v>196</v>
      </c>
      <c r="B35" s="42">
        <v>1995</v>
      </c>
      <c r="C35" s="42">
        <v>0.64759999999999995</v>
      </c>
      <c r="D35" s="42">
        <v>0.73140000999999999</v>
      </c>
    </row>
    <row r="36" spans="1:4" x14ac:dyDescent="0.45">
      <c r="A36" s="42" t="s">
        <v>196</v>
      </c>
      <c r="B36" s="42">
        <v>1996</v>
      </c>
      <c r="C36" s="42">
        <v>0.63929999000000004</v>
      </c>
      <c r="D36" s="42">
        <v>0.73150002999999997</v>
      </c>
    </row>
    <row r="37" spans="1:4" x14ac:dyDescent="0.45">
      <c r="A37" s="42" t="s">
        <v>196</v>
      </c>
      <c r="B37" s="42">
        <v>1997</v>
      </c>
      <c r="C37" s="42">
        <v>0.63230001999999996</v>
      </c>
      <c r="D37" s="42">
        <v>0.73339999</v>
      </c>
    </row>
    <row r="38" spans="1:4" x14ac:dyDescent="0.45">
      <c r="A38" s="42" t="s">
        <v>196</v>
      </c>
      <c r="B38" s="42">
        <v>1998</v>
      </c>
      <c r="C38" s="42">
        <v>0.62690002</v>
      </c>
      <c r="D38" s="42">
        <v>0.73329997000000002</v>
      </c>
    </row>
    <row r="39" spans="1:4" x14ac:dyDescent="0.45">
      <c r="A39" s="42" t="s">
        <v>196</v>
      </c>
      <c r="B39" s="42">
        <v>1999</v>
      </c>
      <c r="C39" s="42">
        <v>0.61860000999999998</v>
      </c>
      <c r="D39" s="42">
        <v>0.73089999000000005</v>
      </c>
    </row>
    <row r="40" spans="1:4" x14ac:dyDescent="0.45">
      <c r="A40" s="42" t="s">
        <v>196</v>
      </c>
      <c r="B40" s="42">
        <v>2000</v>
      </c>
      <c r="C40" s="42">
        <v>0.61029999999999995</v>
      </c>
      <c r="D40" s="42">
        <v>0.73040002999999998</v>
      </c>
    </row>
    <row r="41" spans="1:4" x14ac:dyDescent="0.45">
      <c r="A41" s="42" t="s">
        <v>196</v>
      </c>
      <c r="B41" s="42">
        <v>2001</v>
      </c>
      <c r="C41" s="42">
        <v>0.61930001000000001</v>
      </c>
      <c r="D41" s="42">
        <v>0.73079996999999997</v>
      </c>
    </row>
    <row r="42" spans="1:4" x14ac:dyDescent="0.45">
      <c r="A42" s="42" t="s">
        <v>196</v>
      </c>
      <c r="B42" s="42">
        <v>2002</v>
      </c>
      <c r="C42" s="42">
        <v>0.62609999999999999</v>
      </c>
      <c r="D42" s="42">
        <v>0.73210001000000002</v>
      </c>
    </row>
    <row r="43" spans="1:4" x14ac:dyDescent="0.45">
      <c r="A43" s="42" t="s">
        <v>196</v>
      </c>
      <c r="B43" s="42">
        <v>2003</v>
      </c>
      <c r="C43" s="42">
        <v>0.62599998999999995</v>
      </c>
      <c r="D43" s="42">
        <v>0.73070002000000001</v>
      </c>
    </row>
    <row r="44" spans="1:4" x14ac:dyDescent="0.45">
      <c r="A44" s="42" t="s">
        <v>196</v>
      </c>
      <c r="B44" s="42">
        <v>2004</v>
      </c>
      <c r="C44" s="42">
        <v>0.62019997999999998</v>
      </c>
      <c r="D44" s="42">
        <v>0.73060000000000003</v>
      </c>
    </row>
    <row r="45" spans="1:4" x14ac:dyDescent="0.45">
      <c r="A45" s="42" t="s">
        <v>196</v>
      </c>
      <c r="B45" s="42">
        <v>2005</v>
      </c>
      <c r="C45" s="42">
        <v>0.61350000000000005</v>
      </c>
      <c r="D45" s="42">
        <v>0.73089999000000005</v>
      </c>
    </row>
    <row r="46" spans="1:4" x14ac:dyDescent="0.45">
      <c r="A46" s="42" t="s">
        <v>196</v>
      </c>
      <c r="B46" s="42">
        <v>2006</v>
      </c>
      <c r="C46" s="42">
        <v>0.60820001000000001</v>
      </c>
      <c r="D46" s="42">
        <v>0.72939997999999995</v>
      </c>
    </row>
    <row r="47" spans="1:4" x14ac:dyDescent="0.45">
      <c r="A47" s="42" t="s">
        <v>196</v>
      </c>
      <c r="B47" s="42">
        <v>2007</v>
      </c>
      <c r="C47" s="42">
        <v>0.60780000999999995</v>
      </c>
      <c r="D47" s="42">
        <v>0.72890001999999998</v>
      </c>
    </row>
    <row r="48" spans="1:4" x14ac:dyDescent="0.45">
      <c r="A48" s="42" t="s">
        <v>196</v>
      </c>
      <c r="B48" s="42">
        <v>2008</v>
      </c>
      <c r="C48" s="42">
        <v>0.60919999999999996</v>
      </c>
      <c r="D48" s="42">
        <v>0.72920001000000001</v>
      </c>
    </row>
    <row r="49" spans="1:4" x14ac:dyDescent="0.45">
      <c r="A49" s="42" t="s">
        <v>196</v>
      </c>
      <c r="B49" s="42">
        <v>2009</v>
      </c>
      <c r="C49" s="42">
        <v>0.61819999999999997</v>
      </c>
      <c r="D49" s="42">
        <v>0.73309999999999997</v>
      </c>
    </row>
    <row r="50" spans="1:4" x14ac:dyDescent="0.45">
      <c r="A50" s="42" t="s">
        <v>196</v>
      </c>
      <c r="B50" s="42">
        <v>2010</v>
      </c>
      <c r="C50" s="42">
        <v>0.6099</v>
      </c>
      <c r="D50" s="42">
        <v>0.73119997999999997</v>
      </c>
    </row>
    <row r="51" spans="1:4" x14ac:dyDescent="0.45">
      <c r="A51" s="42" t="s">
        <v>196</v>
      </c>
      <c r="B51" s="42">
        <v>2011</v>
      </c>
      <c r="C51" s="42">
        <v>0.60460000999999997</v>
      </c>
      <c r="D51" s="42">
        <v>0.73199999000000004</v>
      </c>
    </row>
    <row r="52" spans="1:4" x14ac:dyDescent="0.45">
      <c r="A52" s="42" t="s">
        <v>196</v>
      </c>
      <c r="B52" s="42">
        <v>2012</v>
      </c>
      <c r="C52" s="42">
        <v>0.59519999999999995</v>
      </c>
      <c r="D52" s="42">
        <v>0.73360002000000002</v>
      </c>
    </row>
    <row r="53" spans="1:4" x14ac:dyDescent="0.45">
      <c r="A53" s="42" t="s">
        <v>196</v>
      </c>
      <c r="B53" s="42">
        <v>2013</v>
      </c>
      <c r="C53" s="42">
        <v>0.60129999999999995</v>
      </c>
      <c r="D53" s="42">
        <v>0.73430002000000005</v>
      </c>
    </row>
    <row r="54" spans="1:4" x14ac:dyDescent="0.45">
      <c r="A54" s="42" t="s">
        <v>196</v>
      </c>
      <c r="B54" s="42">
        <v>2014</v>
      </c>
      <c r="C54" s="42">
        <v>0.59689999000000005</v>
      </c>
      <c r="D54" s="42">
        <v>0.73479998000000002</v>
      </c>
    </row>
  </sheetData>
  <hyperlinks>
    <hyperlink ref="H1" location="Index" display="Back to Index" xr:uid="{58778484-E3E4-48F2-9EF6-77EBF93896AF}"/>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9D6CFF-D7F3-453A-9B79-A11CD3EFE139}">
  <sheetPr codeName="Sheet27"/>
  <dimension ref="A1:J7"/>
  <sheetViews>
    <sheetView workbookViewId="0">
      <selection activeCell="C38" sqref="C38"/>
    </sheetView>
  </sheetViews>
  <sheetFormatPr defaultRowHeight="14.25" x14ac:dyDescent="0.45"/>
  <cols>
    <col min="1" max="11" width="47.625" style="42" customWidth="1"/>
    <col min="12" max="16384" width="9" style="42"/>
  </cols>
  <sheetData>
    <row r="1" spans="1:10" ht="15.75" x14ac:dyDescent="0.45">
      <c r="A1" s="43" t="s">
        <v>81</v>
      </c>
      <c r="B1" s="43" t="s">
        <v>80</v>
      </c>
      <c r="C1" s="43" t="s">
        <v>79</v>
      </c>
      <c r="D1" s="43" t="s">
        <v>78</v>
      </c>
      <c r="E1" s="43" t="s">
        <v>77</v>
      </c>
      <c r="F1" s="43" t="s">
        <v>76</v>
      </c>
      <c r="G1" s="43" t="s">
        <v>75</v>
      </c>
      <c r="H1" s="99" t="s">
        <v>543</v>
      </c>
      <c r="I1" s="43" t="s">
        <v>74</v>
      </c>
      <c r="J1" s="43" t="s">
        <v>73</v>
      </c>
    </row>
    <row r="2" spans="1:10" ht="185.25" x14ac:dyDescent="0.45">
      <c r="A2" s="41" t="s">
        <v>71</v>
      </c>
      <c r="B2" s="41" t="s">
        <v>70</v>
      </c>
      <c r="C2" s="41" t="s">
        <v>183</v>
      </c>
      <c r="D2" s="41" t="s">
        <v>196</v>
      </c>
      <c r="E2" s="41" t="s">
        <v>49</v>
      </c>
      <c r="F2" s="41" t="s">
        <v>184</v>
      </c>
      <c r="G2" s="41" t="s">
        <v>185</v>
      </c>
      <c r="H2" s="41" t="s">
        <v>186</v>
      </c>
      <c r="I2" s="41" t="s">
        <v>187</v>
      </c>
      <c r="J2" s="41" t="s">
        <v>187</v>
      </c>
    </row>
    <row r="3" spans="1:10" ht="185.25" x14ac:dyDescent="0.45">
      <c r="A3" s="41" t="s">
        <v>67</v>
      </c>
      <c r="B3" s="41" t="s">
        <v>66</v>
      </c>
      <c r="C3" s="41" t="s">
        <v>183</v>
      </c>
      <c r="D3" s="41" t="s">
        <v>196</v>
      </c>
      <c r="E3" s="41" t="s">
        <v>49</v>
      </c>
      <c r="F3" s="41" t="s">
        <v>184</v>
      </c>
      <c r="G3" s="41" t="s">
        <v>185</v>
      </c>
      <c r="H3" s="41" t="s">
        <v>186</v>
      </c>
      <c r="I3" s="41" t="s">
        <v>45</v>
      </c>
      <c r="J3" s="41" t="s">
        <v>65</v>
      </c>
    </row>
    <row r="4" spans="1:10" ht="185.25" x14ac:dyDescent="0.45">
      <c r="A4" s="41" t="s">
        <v>64</v>
      </c>
      <c r="B4" s="41" t="s">
        <v>6</v>
      </c>
      <c r="C4" s="41" t="s">
        <v>183</v>
      </c>
      <c r="D4" s="41" t="s">
        <v>196</v>
      </c>
      <c r="E4" s="41" t="s">
        <v>49</v>
      </c>
      <c r="F4" s="41" t="s">
        <v>184</v>
      </c>
      <c r="G4" s="41" t="s">
        <v>185</v>
      </c>
      <c r="H4" s="41" t="s">
        <v>186</v>
      </c>
      <c r="I4" s="41" t="s">
        <v>187</v>
      </c>
      <c r="J4" s="41" t="s">
        <v>187</v>
      </c>
    </row>
    <row r="5" spans="1:10" ht="185.25" x14ac:dyDescent="0.45">
      <c r="A5" s="41" t="s">
        <v>61</v>
      </c>
      <c r="B5" s="41" t="s">
        <v>7</v>
      </c>
      <c r="C5" s="41" t="s">
        <v>183</v>
      </c>
      <c r="D5" s="41" t="s">
        <v>196</v>
      </c>
      <c r="E5" s="41" t="s">
        <v>49</v>
      </c>
      <c r="F5" s="41" t="s">
        <v>184</v>
      </c>
      <c r="G5" s="41" t="s">
        <v>185</v>
      </c>
      <c r="H5" s="41" t="s">
        <v>186</v>
      </c>
      <c r="I5" s="41" t="s">
        <v>187</v>
      </c>
      <c r="J5" s="41" t="s">
        <v>187</v>
      </c>
    </row>
    <row r="6" spans="1:10" ht="185.25" x14ac:dyDescent="0.45">
      <c r="A6" s="41" t="s">
        <v>8</v>
      </c>
      <c r="B6" s="41" t="s">
        <v>51</v>
      </c>
      <c r="C6" s="41" t="s">
        <v>183</v>
      </c>
      <c r="D6" s="41" t="s">
        <v>196</v>
      </c>
      <c r="E6" s="41" t="s">
        <v>49</v>
      </c>
      <c r="F6" s="41" t="s">
        <v>184</v>
      </c>
      <c r="G6" s="41" t="s">
        <v>185</v>
      </c>
      <c r="H6" s="41" t="s">
        <v>186</v>
      </c>
      <c r="I6" s="41" t="s">
        <v>188</v>
      </c>
      <c r="J6" s="41" t="s">
        <v>44</v>
      </c>
    </row>
    <row r="7" spans="1:10" ht="185.25" x14ac:dyDescent="0.45">
      <c r="A7" s="41" t="s">
        <v>197</v>
      </c>
      <c r="B7" s="41" t="s">
        <v>198</v>
      </c>
      <c r="C7" s="41" t="s">
        <v>183</v>
      </c>
      <c r="D7" s="41" t="s">
        <v>196</v>
      </c>
      <c r="E7" s="41" t="s">
        <v>49</v>
      </c>
      <c r="F7" s="41" t="s">
        <v>184</v>
      </c>
      <c r="G7" s="41" t="s">
        <v>185</v>
      </c>
      <c r="H7" s="41" t="s">
        <v>186</v>
      </c>
      <c r="I7" s="41" t="s">
        <v>187</v>
      </c>
      <c r="J7" s="41" t="s">
        <v>187</v>
      </c>
    </row>
  </sheetData>
  <hyperlinks>
    <hyperlink ref="H1" location="Index" display="Back to Index" xr:uid="{9DA2B807-6D98-460A-8486-E37444695D25}"/>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C88B2-94CC-446D-95F7-B8C25DD8E0CD}">
  <sheetPr codeName="Sheet28"/>
  <dimension ref="A1:H54"/>
  <sheetViews>
    <sheetView workbookViewId="0">
      <selection activeCell="W14" sqref="W14"/>
    </sheetView>
  </sheetViews>
  <sheetFormatPr defaultRowHeight="14.25" x14ac:dyDescent="0.45"/>
  <cols>
    <col min="1" max="8" width="19.5" style="42" customWidth="1"/>
    <col min="9" max="16384" width="9" style="42"/>
  </cols>
  <sheetData>
    <row r="1" spans="1:8" ht="165.75" x14ac:dyDescent="0.5">
      <c r="A1" s="41" t="s">
        <v>177</v>
      </c>
      <c r="B1" s="41" t="s">
        <v>43</v>
      </c>
      <c r="C1" s="41" t="s">
        <v>199</v>
      </c>
      <c r="D1" s="41" t="s">
        <v>200</v>
      </c>
      <c r="E1" s="41" t="s">
        <v>201</v>
      </c>
      <c r="F1" s="41" t="s">
        <v>202</v>
      </c>
      <c r="G1" s="41" t="s">
        <v>203</v>
      </c>
      <c r="H1" s="5" t="s">
        <v>543</v>
      </c>
    </row>
    <row r="2" spans="1:8" x14ac:dyDescent="0.45">
      <c r="A2" s="42" t="s">
        <v>107</v>
      </c>
      <c r="B2" s="42">
        <v>1962</v>
      </c>
      <c r="C2" s="42">
        <v>23407.1</v>
      </c>
    </row>
    <row r="3" spans="1:8" x14ac:dyDescent="0.45">
      <c r="A3" s="42" t="s">
        <v>107</v>
      </c>
      <c r="B3" s="42">
        <v>1963</v>
      </c>
    </row>
    <row r="4" spans="1:8" x14ac:dyDescent="0.45">
      <c r="A4" s="42" t="s">
        <v>107</v>
      </c>
      <c r="B4" s="42">
        <v>1964</v>
      </c>
      <c r="C4" s="42">
        <v>24952.699000000001</v>
      </c>
    </row>
    <row r="5" spans="1:8" x14ac:dyDescent="0.45">
      <c r="A5" s="42" t="s">
        <v>107</v>
      </c>
      <c r="B5" s="42">
        <v>1965</v>
      </c>
    </row>
    <row r="6" spans="1:8" x14ac:dyDescent="0.45">
      <c r="A6" s="42" t="s">
        <v>107</v>
      </c>
      <c r="B6" s="42">
        <v>1966</v>
      </c>
      <c r="C6" s="42">
        <v>27488.699000000001</v>
      </c>
    </row>
    <row r="7" spans="1:8" x14ac:dyDescent="0.45">
      <c r="A7" s="42" t="s">
        <v>107</v>
      </c>
      <c r="B7" s="42">
        <v>1967</v>
      </c>
      <c r="C7" s="42">
        <v>28147</v>
      </c>
    </row>
    <row r="8" spans="1:8" x14ac:dyDescent="0.45">
      <c r="A8" s="42" t="s">
        <v>107</v>
      </c>
      <c r="B8" s="42">
        <v>1968</v>
      </c>
      <c r="C8" s="42">
        <v>29098.800999999999</v>
      </c>
    </row>
    <row r="9" spans="1:8" x14ac:dyDescent="0.45">
      <c r="A9" s="42" t="s">
        <v>107</v>
      </c>
      <c r="B9" s="42">
        <v>1969</v>
      </c>
      <c r="C9" s="42">
        <v>29924.6</v>
      </c>
    </row>
    <row r="10" spans="1:8" x14ac:dyDescent="0.45">
      <c r="A10" s="42" t="s">
        <v>107</v>
      </c>
      <c r="B10" s="42">
        <v>1970</v>
      </c>
      <c r="C10" s="42">
        <v>29639.800999999999</v>
      </c>
      <c r="D10" s="42">
        <v>16941</v>
      </c>
    </row>
    <row r="11" spans="1:8" x14ac:dyDescent="0.45">
      <c r="A11" s="42" t="s">
        <v>107</v>
      </c>
      <c r="B11" s="42">
        <v>1971</v>
      </c>
      <c r="C11" s="42">
        <v>29368.400000000001</v>
      </c>
      <c r="D11" s="42">
        <v>17664.5</v>
      </c>
    </row>
    <row r="12" spans="1:8" x14ac:dyDescent="0.45">
      <c r="A12" s="42" t="s">
        <v>107</v>
      </c>
      <c r="B12" s="42">
        <v>1972</v>
      </c>
      <c r="C12" s="42">
        <v>30388.699000000001</v>
      </c>
      <c r="D12" s="42">
        <v>18281.099999999999</v>
      </c>
    </row>
    <row r="13" spans="1:8" x14ac:dyDescent="0.45">
      <c r="A13" s="42" t="s">
        <v>107</v>
      </c>
      <c r="B13" s="42">
        <v>1973</v>
      </c>
      <c r="C13" s="42">
        <v>31560.1</v>
      </c>
      <c r="D13" s="42">
        <v>19178.099999999999</v>
      </c>
    </row>
    <row r="14" spans="1:8" x14ac:dyDescent="0.45">
      <c r="A14" s="42" t="s">
        <v>107</v>
      </c>
      <c r="B14" s="42">
        <v>1974</v>
      </c>
      <c r="C14" s="42">
        <v>30927.300999999999</v>
      </c>
      <c r="D14" s="42">
        <v>19864.199000000001</v>
      </c>
    </row>
    <row r="15" spans="1:8" x14ac:dyDescent="0.45">
      <c r="A15" s="42" t="s">
        <v>107</v>
      </c>
      <c r="B15" s="42">
        <v>1975</v>
      </c>
      <c r="C15" s="42">
        <v>29534.699000000001</v>
      </c>
      <c r="D15" s="42">
        <v>20026.5</v>
      </c>
    </row>
    <row r="16" spans="1:8" x14ac:dyDescent="0.45">
      <c r="A16" s="42" t="s">
        <v>107</v>
      </c>
      <c r="B16" s="42">
        <v>1976</v>
      </c>
      <c r="C16" s="42">
        <v>30390.1</v>
      </c>
      <c r="D16" s="42">
        <v>20813</v>
      </c>
    </row>
    <row r="17" spans="1:4" x14ac:dyDescent="0.45">
      <c r="A17" s="42" t="s">
        <v>107</v>
      </c>
      <c r="B17" s="42">
        <v>1977</v>
      </c>
      <c r="C17" s="42">
        <v>31206.800999999999</v>
      </c>
      <c r="D17" s="42">
        <v>21254.699000000001</v>
      </c>
    </row>
    <row r="18" spans="1:4" x14ac:dyDescent="0.45">
      <c r="A18" s="42" t="s">
        <v>107</v>
      </c>
      <c r="B18" s="42">
        <v>1978</v>
      </c>
      <c r="C18" s="42">
        <v>32384.9</v>
      </c>
      <c r="D18" s="42">
        <v>21835.5</v>
      </c>
    </row>
    <row r="19" spans="1:4" x14ac:dyDescent="0.45">
      <c r="A19" s="42" t="s">
        <v>107</v>
      </c>
      <c r="B19" s="42">
        <v>1979</v>
      </c>
      <c r="C19" s="42">
        <v>32844.898000000001</v>
      </c>
      <c r="D19" s="42">
        <v>22338.1</v>
      </c>
    </row>
    <row r="20" spans="1:4" x14ac:dyDescent="0.45">
      <c r="A20" s="42" t="s">
        <v>107</v>
      </c>
      <c r="B20" s="42">
        <v>1980</v>
      </c>
      <c r="C20" s="42">
        <v>32196.699000000001</v>
      </c>
      <c r="D20" s="42">
        <v>22602.400000000001</v>
      </c>
    </row>
    <row r="21" spans="1:4" x14ac:dyDescent="0.45">
      <c r="A21" s="42" t="s">
        <v>107</v>
      </c>
      <c r="B21" s="42">
        <v>1981</v>
      </c>
      <c r="C21" s="42">
        <v>31935.300999999999</v>
      </c>
      <c r="D21" s="42">
        <v>22381.199000000001</v>
      </c>
    </row>
    <row r="22" spans="1:4" x14ac:dyDescent="0.45">
      <c r="A22" s="42" t="s">
        <v>107</v>
      </c>
      <c r="B22" s="42">
        <v>1982</v>
      </c>
      <c r="C22" s="42">
        <v>30858.9</v>
      </c>
      <c r="D22" s="42">
        <v>22726.400000000001</v>
      </c>
    </row>
    <row r="23" spans="1:4" x14ac:dyDescent="0.45">
      <c r="A23" s="42" t="s">
        <v>107</v>
      </c>
      <c r="B23" s="42">
        <v>1983</v>
      </c>
      <c r="C23" s="42">
        <v>30920.400000000001</v>
      </c>
      <c r="D23" s="42">
        <v>22416.5</v>
      </c>
    </row>
    <row r="24" spans="1:4" x14ac:dyDescent="0.45">
      <c r="A24" s="42" t="s">
        <v>107</v>
      </c>
      <c r="B24" s="42">
        <v>1984</v>
      </c>
      <c r="C24" s="42">
        <v>32493.199000000001</v>
      </c>
      <c r="D24" s="42">
        <v>22152.9</v>
      </c>
    </row>
    <row r="25" spans="1:4" x14ac:dyDescent="0.45">
      <c r="A25" s="42" t="s">
        <v>107</v>
      </c>
      <c r="B25" s="42">
        <v>1985</v>
      </c>
      <c r="C25" s="42">
        <v>33170.101999999999</v>
      </c>
      <c r="D25" s="42">
        <v>22131.300999999999</v>
      </c>
    </row>
    <row r="26" spans="1:4" x14ac:dyDescent="0.45">
      <c r="A26" s="42" t="s">
        <v>107</v>
      </c>
      <c r="B26" s="42">
        <v>1986</v>
      </c>
      <c r="C26" s="42">
        <v>34042.398000000001</v>
      </c>
      <c r="D26" s="42">
        <v>22029.800999999999</v>
      </c>
    </row>
    <row r="27" spans="1:4" x14ac:dyDescent="0.45">
      <c r="A27" s="42" t="s">
        <v>107</v>
      </c>
      <c r="B27" s="42">
        <v>1987</v>
      </c>
      <c r="C27" s="42">
        <v>35115.699000000001</v>
      </c>
      <c r="D27" s="42">
        <v>22089.4</v>
      </c>
    </row>
    <row r="28" spans="1:4" x14ac:dyDescent="0.45">
      <c r="A28" s="42" t="s">
        <v>107</v>
      </c>
      <c r="B28" s="42">
        <v>1988</v>
      </c>
      <c r="C28" s="42">
        <v>36477.601999999999</v>
      </c>
      <c r="D28" s="42">
        <v>22519.699000000001</v>
      </c>
    </row>
    <row r="29" spans="1:4" x14ac:dyDescent="0.45">
      <c r="A29" s="42" t="s">
        <v>107</v>
      </c>
      <c r="B29" s="42">
        <v>1989</v>
      </c>
      <c r="C29" s="42">
        <v>36928.898000000001</v>
      </c>
      <c r="D29" s="42">
        <v>22807.4</v>
      </c>
    </row>
    <row r="30" spans="1:4" x14ac:dyDescent="0.45">
      <c r="A30" s="42" t="s">
        <v>107</v>
      </c>
      <c r="B30" s="42">
        <v>1990</v>
      </c>
      <c r="C30" s="42">
        <v>37041.800999999999</v>
      </c>
      <c r="D30" s="42">
        <v>23306.800999999999</v>
      </c>
    </row>
    <row r="31" spans="1:4" x14ac:dyDescent="0.45">
      <c r="A31" s="42" t="s">
        <v>107</v>
      </c>
      <c r="B31" s="42">
        <v>1991</v>
      </c>
      <c r="C31" s="42">
        <v>36207.601999999999</v>
      </c>
      <c r="D31" s="42">
        <v>23368.199000000001</v>
      </c>
    </row>
    <row r="32" spans="1:4" x14ac:dyDescent="0.45">
      <c r="A32" s="42" t="s">
        <v>107</v>
      </c>
      <c r="B32" s="42">
        <v>1992</v>
      </c>
      <c r="C32" s="42">
        <v>37029.601999999999</v>
      </c>
      <c r="D32" s="42">
        <v>23388.400000000001</v>
      </c>
    </row>
    <row r="33" spans="1:4" x14ac:dyDescent="0.45">
      <c r="A33" s="42" t="s">
        <v>107</v>
      </c>
      <c r="B33" s="42">
        <v>1993</v>
      </c>
      <c r="C33" s="42">
        <v>37185.300999999999</v>
      </c>
      <c r="D33" s="42">
        <v>22987.1</v>
      </c>
    </row>
    <row r="34" spans="1:4" x14ac:dyDescent="0.45">
      <c r="A34" s="42" t="s">
        <v>107</v>
      </c>
      <c r="B34" s="42">
        <v>1994</v>
      </c>
      <c r="C34" s="42">
        <v>37817.199000000001</v>
      </c>
      <c r="D34" s="42">
        <v>23205.699000000001</v>
      </c>
    </row>
    <row r="35" spans="1:4" x14ac:dyDescent="0.45">
      <c r="A35" s="42" t="s">
        <v>107</v>
      </c>
      <c r="B35" s="42">
        <v>1995</v>
      </c>
      <c r="C35" s="42">
        <v>38165.398000000001</v>
      </c>
      <c r="D35" s="42">
        <v>23591.9</v>
      </c>
    </row>
    <row r="36" spans="1:4" x14ac:dyDescent="0.45">
      <c r="A36" s="42" t="s">
        <v>107</v>
      </c>
      <c r="B36" s="42">
        <v>1996</v>
      </c>
      <c r="C36" s="42">
        <v>38987</v>
      </c>
      <c r="D36" s="42">
        <v>23818</v>
      </c>
    </row>
    <row r="37" spans="1:4" x14ac:dyDescent="0.45">
      <c r="A37" s="42" t="s">
        <v>107</v>
      </c>
      <c r="B37" s="42">
        <v>1997</v>
      </c>
      <c r="C37" s="42">
        <v>40243.601999999999</v>
      </c>
      <c r="D37" s="42">
        <v>24167.5</v>
      </c>
    </row>
    <row r="38" spans="1:4" x14ac:dyDescent="0.45">
      <c r="A38" s="42" t="s">
        <v>107</v>
      </c>
      <c r="B38" s="42">
        <v>1998</v>
      </c>
      <c r="C38" s="42">
        <v>42379.199000000001</v>
      </c>
      <c r="D38" s="42">
        <v>24982</v>
      </c>
    </row>
    <row r="39" spans="1:4" x14ac:dyDescent="0.45">
      <c r="A39" s="42" t="s">
        <v>107</v>
      </c>
      <c r="B39" s="42">
        <v>1999</v>
      </c>
      <c r="C39" s="42">
        <v>43956.898000000001</v>
      </c>
      <c r="D39" s="42">
        <v>26042.1</v>
      </c>
    </row>
    <row r="40" spans="1:4" x14ac:dyDescent="0.45">
      <c r="A40" s="42" t="s">
        <v>107</v>
      </c>
      <c r="B40" s="42">
        <v>2000</v>
      </c>
      <c r="C40" s="42">
        <v>45985.398000000001</v>
      </c>
      <c r="D40" s="42">
        <v>26640.699000000001</v>
      </c>
    </row>
    <row r="41" spans="1:4" x14ac:dyDescent="0.45">
      <c r="A41" s="42" t="s">
        <v>107</v>
      </c>
      <c r="B41" s="42">
        <v>2001</v>
      </c>
      <c r="C41" s="42">
        <v>46074.601999999999</v>
      </c>
      <c r="D41" s="42">
        <v>26882</v>
      </c>
    </row>
    <row r="42" spans="1:4" x14ac:dyDescent="0.45">
      <c r="A42" s="42" t="s">
        <v>107</v>
      </c>
      <c r="B42" s="42">
        <v>2002</v>
      </c>
      <c r="C42" s="42">
        <v>45310.699000000001</v>
      </c>
      <c r="D42" s="42">
        <v>27037.5</v>
      </c>
    </row>
    <row r="43" spans="1:4" x14ac:dyDescent="0.45">
      <c r="A43" s="42" t="s">
        <v>107</v>
      </c>
      <c r="B43" s="42">
        <v>2003</v>
      </c>
      <c r="C43" s="42">
        <v>45391</v>
      </c>
      <c r="D43" s="42">
        <v>26976.1</v>
      </c>
    </row>
    <row r="44" spans="1:4" x14ac:dyDescent="0.45">
      <c r="A44" s="42" t="s">
        <v>107</v>
      </c>
      <c r="B44" s="42">
        <v>2004</v>
      </c>
      <c r="C44" s="42">
        <v>46221.699000000001</v>
      </c>
      <c r="D44" s="42">
        <v>27420.400000000001</v>
      </c>
    </row>
    <row r="45" spans="1:4" x14ac:dyDescent="0.45">
      <c r="A45" s="42" t="s">
        <v>107</v>
      </c>
      <c r="B45" s="42">
        <v>2005</v>
      </c>
      <c r="C45" s="42">
        <v>46597.800999999999</v>
      </c>
      <c r="D45" s="42">
        <v>27772</v>
      </c>
    </row>
    <row r="46" spans="1:4" x14ac:dyDescent="0.45">
      <c r="A46" s="42" t="s">
        <v>107</v>
      </c>
      <c r="B46" s="42">
        <v>2006</v>
      </c>
      <c r="C46" s="42">
        <v>47396.898000000001</v>
      </c>
      <c r="D46" s="42">
        <v>28159.199000000001</v>
      </c>
    </row>
    <row r="47" spans="1:4" x14ac:dyDescent="0.45">
      <c r="A47" s="42" t="s">
        <v>107</v>
      </c>
      <c r="B47" s="42">
        <v>2007</v>
      </c>
      <c r="C47" s="42">
        <v>47436.300999999999</v>
      </c>
      <c r="D47" s="42">
        <v>28357</v>
      </c>
    </row>
    <row r="48" spans="1:4" x14ac:dyDescent="0.45">
      <c r="A48" s="42" t="s">
        <v>107</v>
      </c>
      <c r="B48" s="42">
        <v>2008</v>
      </c>
      <c r="C48" s="42">
        <v>47031.699000000001</v>
      </c>
      <c r="D48" s="42">
        <v>28143.4</v>
      </c>
    </row>
    <row r="49" spans="1:4" x14ac:dyDescent="0.45">
      <c r="A49" s="42" t="s">
        <v>107</v>
      </c>
      <c r="B49" s="42">
        <v>2009</v>
      </c>
      <c r="C49" s="42">
        <v>43586.398000000001</v>
      </c>
      <c r="D49" s="42">
        <v>27586.300999999999</v>
      </c>
    </row>
    <row r="50" spans="1:4" x14ac:dyDescent="0.45">
      <c r="A50" s="42" t="s">
        <v>107</v>
      </c>
      <c r="B50" s="42">
        <v>2010</v>
      </c>
      <c r="C50" s="42">
        <v>43049.101999999999</v>
      </c>
      <c r="D50" s="42">
        <v>28028.9</v>
      </c>
    </row>
    <row r="51" spans="1:4" x14ac:dyDescent="0.45">
      <c r="A51" s="42" t="s">
        <v>107</v>
      </c>
      <c r="B51" s="42">
        <v>2011</v>
      </c>
      <c r="C51" s="42">
        <v>43488</v>
      </c>
      <c r="D51" s="42">
        <v>28057.199000000001</v>
      </c>
    </row>
    <row r="52" spans="1:4" x14ac:dyDescent="0.45">
      <c r="A52" s="42" t="s">
        <v>107</v>
      </c>
      <c r="B52" s="42">
        <v>2012</v>
      </c>
      <c r="C52" s="42">
        <v>44131.898000000001</v>
      </c>
      <c r="D52" s="42">
        <v>27852.9</v>
      </c>
    </row>
    <row r="53" spans="1:4" x14ac:dyDescent="0.45">
      <c r="A53" s="42" t="s">
        <v>107</v>
      </c>
      <c r="B53" s="42">
        <v>2013</v>
      </c>
      <c r="C53" s="42">
        <v>44621</v>
      </c>
      <c r="D53" s="42">
        <v>27882.9</v>
      </c>
    </row>
    <row r="54" spans="1:4" x14ac:dyDescent="0.45">
      <c r="A54" s="42" t="s">
        <v>107</v>
      </c>
      <c r="B54" s="42">
        <v>2014</v>
      </c>
      <c r="C54" s="42">
        <v>45411.398000000001</v>
      </c>
      <c r="D54" s="42">
        <v>27917.300999999999</v>
      </c>
    </row>
  </sheetData>
  <hyperlinks>
    <hyperlink ref="H1" location="Index" display="Back to Index" xr:uid="{9C10D315-34CC-4003-9413-A091EE1D4F78}"/>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36292-D365-4A4E-B9D6-24FC9B5AAB8A}">
  <sheetPr codeName="Sheet29"/>
  <dimension ref="A1:J6"/>
  <sheetViews>
    <sheetView workbookViewId="0">
      <selection activeCell="C38" sqref="C38"/>
    </sheetView>
  </sheetViews>
  <sheetFormatPr defaultRowHeight="14.25" x14ac:dyDescent="0.45"/>
  <cols>
    <col min="1" max="11" width="47.625" style="42" customWidth="1"/>
    <col min="12" max="16384" width="9" style="42"/>
  </cols>
  <sheetData>
    <row r="1" spans="1:10" ht="15.75" x14ac:dyDescent="0.45">
      <c r="A1" s="43" t="s">
        <v>81</v>
      </c>
      <c r="B1" s="43" t="s">
        <v>80</v>
      </c>
      <c r="C1" s="43" t="s">
        <v>79</v>
      </c>
      <c r="D1" s="43" t="s">
        <v>78</v>
      </c>
      <c r="E1" s="43" t="s">
        <v>77</v>
      </c>
      <c r="F1" s="43" t="s">
        <v>76</v>
      </c>
      <c r="G1" s="43" t="s">
        <v>75</v>
      </c>
      <c r="H1" s="99" t="s">
        <v>543</v>
      </c>
      <c r="I1" s="43" t="s">
        <v>74</v>
      </c>
      <c r="J1" s="43" t="s">
        <v>73</v>
      </c>
    </row>
    <row r="2" spans="1:10" ht="185.25" x14ac:dyDescent="0.45">
      <c r="A2" s="41" t="s">
        <v>71</v>
      </c>
      <c r="B2" s="41" t="s">
        <v>70</v>
      </c>
      <c r="C2" s="41" t="s">
        <v>204</v>
      </c>
      <c r="D2" s="41" t="s">
        <v>107</v>
      </c>
      <c r="E2" s="41" t="s">
        <v>72</v>
      </c>
      <c r="F2" s="41" t="s">
        <v>205</v>
      </c>
      <c r="G2" s="41" t="s">
        <v>206</v>
      </c>
      <c r="H2" s="41" t="s">
        <v>186</v>
      </c>
      <c r="I2" s="41" t="s">
        <v>187</v>
      </c>
      <c r="J2" s="41" t="s">
        <v>187</v>
      </c>
    </row>
    <row r="3" spans="1:10" ht="185.25" x14ac:dyDescent="0.45">
      <c r="A3" s="41" t="s">
        <v>67</v>
      </c>
      <c r="B3" s="41" t="s">
        <v>66</v>
      </c>
      <c r="C3" s="41" t="s">
        <v>204</v>
      </c>
      <c r="D3" s="41" t="s">
        <v>107</v>
      </c>
      <c r="E3" s="41" t="s">
        <v>69</v>
      </c>
      <c r="F3" s="41" t="s">
        <v>205</v>
      </c>
      <c r="G3" s="41" t="s">
        <v>206</v>
      </c>
      <c r="H3" s="41" t="s">
        <v>186</v>
      </c>
      <c r="I3" s="41" t="s">
        <v>45</v>
      </c>
      <c r="J3" s="41" t="s">
        <v>65</v>
      </c>
    </row>
    <row r="4" spans="1:10" ht="185.25" x14ac:dyDescent="0.45">
      <c r="A4" s="41" t="s">
        <v>64</v>
      </c>
      <c r="B4" s="41" t="s">
        <v>6</v>
      </c>
      <c r="C4" s="41" t="s">
        <v>204</v>
      </c>
      <c r="D4" s="41" t="s">
        <v>107</v>
      </c>
      <c r="E4" s="41" t="s">
        <v>63</v>
      </c>
      <c r="F4" s="41" t="s">
        <v>205</v>
      </c>
      <c r="G4" s="41" t="s">
        <v>206</v>
      </c>
      <c r="H4" s="41" t="s">
        <v>186</v>
      </c>
      <c r="I4" s="41" t="s">
        <v>187</v>
      </c>
      <c r="J4" s="41" t="s">
        <v>187</v>
      </c>
    </row>
    <row r="5" spans="1:10" ht="185.25" x14ac:dyDescent="0.45">
      <c r="A5" s="41" t="s">
        <v>61</v>
      </c>
      <c r="B5" s="41" t="s">
        <v>7</v>
      </c>
      <c r="C5" s="41" t="s">
        <v>204</v>
      </c>
      <c r="D5" s="41" t="s">
        <v>107</v>
      </c>
      <c r="E5" s="41" t="s">
        <v>62</v>
      </c>
      <c r="F5" s="41" t="s">
        <v>205</v>
      </c>
      <c r="G5" s="41" t="s">
        <v>206</v>
      </c>
      <c r="H5" s="41" t="s">
        <v>186</v>
      </c>
      <c r="I5" s="41" t="s">
        <v>187</v>
      </c>
      <c r="J5" s="41" t="s">
        <v>187</v>
      </c>
    </row>
    <row r="6" spans="1:10" ht="185.25" x14ac:dyDescent="0.45">
      <c r="A6" s="41" t="s">
        <v>8</v>
      </c>
      <c r="B6" s="41" t="s">
        <v>51</v>
      </c>
      <c r="C6" s="41" t="s">
        <v>204</v>
      </c>
      <c r="D6" s="41" t="s">
        <v>107</v>
      </c>
      <c r="E6" s="41" t="s">
        <v>55</v>
      </c>
      <c r="F6" s="41" t="s">
        <v>205</v>
      </c>
      <c r="G6" s="41" t="s">
        <v>206</v>
      </c>
      <c r="H6" s="41" t="s">
        <v>186</v>
      </c>
      <c r="I6" s="41" t="s">
        <v>188</v>
      </c>
      <c r="J6" s="41" t="s">
        <v>44</v>
      </c>
    </row>
  </sheetData>
  <hyperlinks>
    <hyperlink ref="H1" location="Index" display="Back to Index" xr:uid="{11AEC6AD-670C-49FC-8E45-F3946034B19C}"/>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1AB4D-29F9-4EC6-B4AF-1EB69A29DEDB}">
  <sheetPr codeName="Sheet30"/>
  <dimension ref="A1:H54"/>
  <sheetViews>
    <sheetView workbookViewId="0">
      <selection activeCell="C54" sqref="C54"/>
    </sheetView>
  </sheetViews>
  <sheetFormatPr defaultRowHeight="14.25" x14ac:dyDescent="0.45"/>
  <cols>
    <col min="1" max="8" width="19.5" style="42" customWidth="1"/>
    <col min="9" max="16384" width="9" style="42"/>
  </cols>
  <sheetData>
    <row r="1" spans="1:8" ht="150" x14ac:dyDescent="0.5">
      <c r="A1" s="41" t="s">
        <v>177</v>
      </c>
      <c r="B1" s="41" t="s">
        <v>43</v>
      </c>
      <c r="C1" s="41" t="s">
        <v>207</v>
      </c>
      <c r="D1" s="41" t="s">
        <v>208</v>
      </c>
      <c r="E1" s="41" t="s">
        <v>209</v>
      </c>
      <c r="F1" s="41" t="s">
        <v>210</v>
      </c>
      <c r="G1" s="41" t="s">
        <v>211</v>
      </c>
      <c r="H1" s="5" t="s">
        <v>543</v>
      </c>
    </row>
    <row r="2" spans="1:8" x14ac:dyDescent="0.45">
      <c r="A2" s="42" t="s">
        <v>28</v>
      </c>
      <c r="B2" s="42">
        <v>1962</v>
      </c>
      <c r="C2" s="42">
        <v>215046.41</v>
      </c>
    </row>
    <row r="3" spans="1:8" x14ac:dyDescent="0.45">
      <c r="A3" s="42" t="s">
        <v>28</v>
      </c>
      <c r="B3" s="42">
        <v>1963</v>
      </c>
    </row>
    <row r="4" spans="1:8" x14ac:dyDescent="0.45">
      <c r="A4" s="42" t="s">
        <v>28</v>
      </c>
      <c r="B4" s="42">
        <v>1964</v>
      </c>
      <c r="C4" s="42">
        <v>226773.91</v>
      </c>
    </row>
    <row r="5" spans="1:8" x14ac:dyDescent="0.45">
      <c r="A5" s="42" t="s">
        <v>28</v>
      </c>
      <c r="B5" s="42">
        <v>1965</v>
      </c>
    </row>
    <row r="6" spans="1:8" x14ac:dyDescent="0.45">
      <c r="A6" s="42" t="s">
        <v>28</v>
      </c>
      <c r="B6" s="42">
        <v>1966</v>
      </c>
      <c r="C6" s="42">
        <v>255742.59</v>
      </c>
    </row>
    <row r="7" spans="1:8" x14ac:dyDescent="0.45">
      <c r="A7" s="42" t="s">
        <v>28</v>
      </c>
      <c r="B7" s="42">
        <v>1967</v>
      </c>
      <c r="C7" s="42">
        <v>259361.8</v>
      </c>
    </row>
    <row r="8" spans="1:8" x14ac:dyDescent="0.45">
      <c r="A8" s="42" t="s">
        <v>28</v>
      </c>
      <c r="B8" s="42">
        <v>1968</v>
      </c>
      <c r="C8" s="42">
        <v>273722.09000000003</v>
      </c>
    </row>
    <row r="9" spans="1:8" x14ac:dyDescent="0.45">
      <c r="A9" s="42" t="s">
        <v>28</v>
      </c>
      <c r="B9" s="42">
        <v>1969</v>
      </c>
      <c r="C9" s="42">
        <v>264701.69</v>
      </c>
    </row>
    <row r="10" spans="1:8" x14ac:dyDescent="0.45">
      <c r="A10" s="42" t="s">
        <v>28</v>
      </c>
      <c r="B10" s="42">
        <v>1970</v>
      </c>
      <c r="C10" s="42">
        <v>260309</v>
      </c>
      <c r="D10" s="42">
        <v>170375.59</v>
      </c>
    </row>
    <row r="11" spans="1:8" x14ac:dyDescent="0.45">
      <c r="A11" s="42" t="s">
        <v>28</v>
      </c>
      <c r="B11" s="42">
        <v>1971</v>
      </c>
      <c r="C11" s="42">
        <v>266333.69</v>
      </c>
      <c r="D11" s="42">
        <v>175926.09</v>
      </c>
    </row>
    <row r="12" spans="1:8" x14ac:dyDescent="0.45">
      <c r="A12" s="42" t="s">
        <v>28</v>
      </c>
      <c r="B12" s="42">
        <v>1972</v>
      </c>
      <c r="C12" s="42">
        <v>278325.19</v>
      </c>
      <c r="D12" s="42">
        <v>183542</v>
      </c>
    </row>
    <row r="13" spans="1:8" x14ac:dyDescent="0.45">
      <c r="A13" s="42" t="s">
        <v>28</v>
      </c>
      <c r="B13" s="42">
        <v>1973</v>
      </c>
      <c r="C13" s="42">
        <v>297675.31</v>
      </c>
      <c r="D13" s="42">
        <v>190992.7</v>
      </c>
    </row>
    <row r="14" spans="1:8" x14ac:dyDescent="0.45">
      <c r="A14" s="42" t="s">
        <v>28</v>
      </c>
      <c r="B14" s="42">
        <v>1974</v>
      </c>
      <c r="C14" s="42">
        <v>299636.5</v>
      </c>
      <c r="D14" s="42">
        <v>194686.3</v>
      </c>
    </row>
    <row r="15" spans="1:8" x14ac:dyDescent="0.45">
      <c r="A15" s="42" t="s">
        <v>28</v>
      </c>
      <c r="B15" s="42">
        <v>1975</v>
      </c>
      <c r="C15" s="42">
        <v>296269.40999999997</v>
      </c>
      <c r="D15" s="42">
        <v>186785.41</v>
      </c>
    </row>
    <row r="16" spans="1:8" x14ac:dyDescent="0.45">
      <c r="A16" s="42" t="s">
        <v>28</v>
      </c>
      <c r="B16" s="42">
        <v>1976</v>
      </c>
      <c r="C16" s="42">
        <v>297047.81</v>
      </c>
      <c r="D16" s="42">
        <v>191208.5</v>
      </c>
    </row>
    <row r="17" spans="1:4" x14ac:dyDescent="0.45">
      <c r="A17" s="42" t="s">
        <v>28</v>
      </c>
      <c r="B17" s="42">
        <v>1977</v>
      </c>
      <c r="C17" s="42">
        <v>311810.31</v>
      </c>
      <c r="D17" s="42">
        <v>192799.91</v>
      </c>
    </row>
    <row r="18" spans="1:4" x14ac:dyDescent="0.45">
      <c r="A18" s="42" t="s">
        <v>28</v>
      </c>
      <c r="B18" s="42">
        <v>1978</v>
      </c>
      <c r="C18" s="42">
        <v>329110.59000000003</v>
      </c>
      <c r="D18" s="42">
        <v>197846.41</v>
      </c>
    </row>
    <row r="19" spans="1:4" x14ac:dyDescent="0.45">
      <c r="A19" s="42" t="s">
        <v>28</v>
      </c>
      <c r="B19" s="42">
        <v>1979</v>
      </c>
      <c r="C19" s="42">
        <v>348951.19</v>
      </c>
      <c r="D19" s="42">
        <v>193216.09</v>
      </c>
    </row>
    <row r="20" spans="1:4" x14ac:dyDescent="0.45">
      <c r="A20" s="42" t="s">
        <v>28</v>
      </c>
      <c r="B20" s="42">
        <v>1980</v>
      </c>
      <c r="C20" s="42">
        <v>350553.5</v>
      </c>
      <c r="D20" s="42">
        <v>190934.41</v>
      </c>
    </row>
    <row r="21" spans="1:4" x14ac:dyDescent="0.45">
      <c r="A21" s="42" t="s">
        <v>28</v>
      </c>
      <c r="B21" s="42">
        <v>1981</v>
      </c>
      <c r="C21" s="42">
        <v>353078.09</v>
      </c>
      <c r="D21" s="42">
        <v>182611.09</v>
      </c>
    </row>
    <row r="22" spans="1:4" x14ac:dyDescent="0.45">
      <c r="A22" s="42" t="s">
        <v>28</v>
      </c>
      <c r="B22" s="42">
        <v>1982</v>
      </c>
      <c r="C22" s="42">
        <v>365769</v>
      </c>
      <c r="D22" s="42">
        <v>183313.41</v>
      </c>
    </row>
    <row r="23" spans="1:4" x14ac:dyDescent="0.45">
      <c r="A23" s="42" t="s">
        <v>28</v>
      </c>
      <c r="B23" s="42">
        <v>1983</v>
      </c>
      <c r="C23" s="42">
        <v>370642.81</v>
      </c>
      <c r="D23" s="42">
        <v>178668.79999999999</v>
      </c>
    </row>
    <row r="24" spans="1:4" x14ac:dyDescent="0.45">
      <c r="A24" s="42" t="s">
        <v>28</v>
      </c>
      <c r="B24" s="42">
        <v>1984</v>
      </c>
      <c r="C24" s="42">
        <v>424190.81</v>
      </c>
      <c r="D24" s="42">
        <v>170830.59</v>
      </c>
    </row>
    <row r="25" spans="1:4" x14ac:dyDescent="0.45">
      <c r="A25" s="42" t="s">
        <v>28</v>
      </c>
      <c r="B25" s="42">
        <v>1985</v>
      </c>
      <c r="C25" s="42">
        <v>441379.31</v>
      </c>
      <c r="D25" s="42">
        <v>176240.2</v>
      </c>
    </row>
    <row r="26" spans="1:4" x14ac:dyDescent="0.45">
      <c r="A26" s="42" t="s">
        <v>28</v>
      </c>
      <c r="B26" s="42">
        <v>1986</v>
      </c>
      <c r="C26" s="42">
        <v>448988.91</v>
      </c>
      <c r="D26" s="42">
        <v>180543.8</v>
      </c>
    </row>
    <row r="27" spans="1:4" x14ac:dyDescent="0.45">
      <c r="A27" s="42" t="s">
        <v>28</v>
      </c>
      <c r="B27" s="42">
        <v>1987</v>
      </c>
      <c r="C27" s="42">
        <v>525911.13</v>
      </c>
      <c r="D27" s="42">
        <v>183751.2</v>
      </c>
    </row>
    <row r="28" spans="1:4" x14ac:dyDescent="0.45">
      <c r="A28" s="42" t="s">
        <v>28</v>
      </c>
      <c r="B28" s="42">
        <v>1988</v>
      </c>
      <c r="C28" s="42">
        <v>625833.63</v>
      </c>
      <c r="D28" s="42">
        <v>194364.41</v>
      </c>
    </row>
    <row r="29" spans="1:4" x14ac:dyDescent="0.45">
      <c r="A29" s="42" t="s">
        <v>28</v>
      </c>
      <c r="B29" s="42">
        <v>1989</v>
      </c>
      <c r="C29" s="42">
        <v>606608.18999999994</v>
      </c>
      <c r="D29" s="42">
        <v>194770.41</v>
      </c>
    </row>
    <row r="30" spans="1:4" x14ac:dyDescent="0.45">
      <c r="A30" s="42" t="s">
        <v>28</v>
      </c>
      <c r="B30" s="42">
        <v>1990</v>
      </c>
      <c r="C30" s="42">
        <v>619047.38</v>
      </c>
      <c r="D30" s="42">
        <v>189606.59</v>
      </c>
    </row>
    <row r="31" spans="1:4" x14ac:dyDescent="0.45">
      <c r="A31" s="42" t="s">
        <v>28</v>
      </c>
      <c r="B31" s="42">
        <v>1991</v>
      </c>
      <c r="C31" s="42">
        <v>557934.38</v>
      </c>
      <c r="D31" s="42">
        <v>179231.59</v>
      </c>
    </row>
    <row r="32" spans="1:4" x14ac:dyDescent="0.45">
      <c r="A32" s="42" t="s">
        <v>28</v>
      </c>
      <c r="B32" s="42">
        <v>1992</v>
      </c>
      <c r="C32" s="42">
        <v>621195.38</v>
      </c>
      <c r="D32" s="42">
        <v>176365.3</v>
      </c>
    </row>
    <row r="33" spans="1:4" x14ac:dyDescent="0.45">
      <c r="A33" s="42" t="s">
        <v>28</v>
      </c>
      <c r="B33" s="42">
        <v>1993</v>
      </c>
      <c r="C33" s="42">
        <v>597659.81000000006</v>
      </c>
      <c r="D33" s="42">
        <v>165370.41</v>
      </c>
    </row>
    <row r="34" spans="1:4" x14ac:dyDescent="0.45">
      <c r="A34" s="42" t="s">
        <v>28</v>
      </c>
      <c r="B34" s="42">
        <v>1994</v>
      </c>
      <c r="C34" s="42">
        <v>589650.38</v>
      </c>
      <c r="D34" s="42">
        <v>175140.5</v>
      </c>
    </row>
    <row r="35" spans="1:4" x14ac:dyDescent="0.45">
      <c r="A35" s="42" t="s">
        <v>28</v>
      </c>
      <c r="B35" s="42">
        <v>1995</v>
      </c>
      <c r="C35" s="42">
        <v>629667</v>
      </c>
      <c r="D35" s="42">
        <v>175613.59</v>
      </c>
    </row>
    <row r="36" spans="1:4" x14ac:dyDescent="0.45">
      <c r="A36" s="42" t="s">
        <v>28</v>
      </c>
      <c r="B36" s="42">
        <v>1996</v>
      </c>
      <c r="C36" s="42">
        <v>678564.13</v>
      </c>
      <c r="D36" s="42">
        <v>176105.3</v>
      </c>
    </row>
    <row r="37" spans="1:4" x14ac:dyDescent="0.45">
      <c r="A37" s="42" t="s">
        <v>28</v>
      </c>
      <c r="B37" s="42">
        <v>1997</v>
      </c>
      <c r="C37" s="42">
        <v>750331.19</v>
      </c>
      <c r="D37" s="42">
        <v>176406.5</v>
      </c>
    </row>
    <row r="38" spans="1:4" x14ac:dyDescent="0.45">
      <c r="A38" s="42" t="s">
        <v>28</v>
      </c>
      <c r="B38" s="42">
        <v>1998</v>
      </c>
      <c r="C38" s="42">
        <v>816871.63</v>
      </c>
      <c r="D38" s="42">
        <v>188441.7</v>
      </c>
    </row>
    <row r="39" spans="1:4" x14ac:dyDescent="0.45">
      <c r="A39" s="42" t="s">
        <v>28</v>
      </c>
      <c r="B39" s="42">
        <v>1999</v>
      </c>
      <c r="C39" s="42">
        <v>886484.5</v>
      </c>
      <c r="D39" s="42">
        <v>199144.91</v>
      </c>
    </row>
    <row r="40" spans="1:4" x14ac:dyDescent="0.45">
      <c r="A40" s="42" t="s">
        <v>28</v>
      </c>
      <c r="B40" s="42">
        <v>2000</v>
      </c>
      <c r="C40" s="42">
        <v>986720.69</v>
      </c>
      <c r="D40" s="42">
        <v>211491.8</v>
      </c>
    </row>
    <row r="41" spans="1:4" x14ac:dyDescent="0.45">
      <c r="A41" s="42" t="s">
        <v>28</v>
      </c>
      <c r="B41" s="42">
        <v>2001</v>
      </c>
      <c r="C41" s="42">
        <v>945727.63</v>
      </c>
      <c r="D41" s="42">
        <v>216409.2</v>
      </c>
    </row>
    <row r="42" spans="1:4" x14ac:dyDescent="0.45">
      <c r="A42" s="42" t="s">
        <v>28</v>
      </c>
      <c r="B42" s="42">
        <v>2002</v>
      </c>
      <c r="C42" s="42">
        <v>872775.31</v>
      </c>
      <c r="D42" s="42">
        <v>220431.2</v>
      </c>
    </row>
    <row r="43" spans="1:4" x14ac:dyDescent="0.45">
      <c r="A43" s="42" t="s">
        <v>28</v>
      </c>
      <c r="B43" s="42">
        <v>2003</v>
      </c>
      <c r="C43" s="42">
        <v>874144</v>
      </c>
      <c r="D43" s="42">
        <v>220266.91</v>
      </c>
    </row>
    <row r="44" spans="1:4" x14ac:dyDescent="0.45">
      <c r="A44" s="42" t="s">
        <v>28</v>
      </c>
      <c r="B44" s="42">
        <v>2004</v>
      </c>
      <c r="C44" s="42">
        <v>922418.63</v>
      </c>
      <c r="D44" s="42">
        <v>227784.41</v>
      </c>
    </row>
    <row r="45" spans="1:4" x14ac:dyDescent="0.45">
      <c r="A45" s="42" t="s">
        <v>28</v>
      </c>
      <c r="B45" s="42">
        <v>2005</v>
      </c>
      <c r="C45" s="42">
        <v>989195.88</v>
      </c>
      <c r="D45" s="42">
        <v>235389.59</v>
      </c>
    </row>
    <row r="46" spans="1:4" x14ac:dyDescent="0.45">
      <c r="A46" s="42" t="s">
        <v>28</v>
      </c>
      <c r="B46" s="42">
        <v>2006</v>
      </c>
      <c r="C46" s="42">
        <v>1042198.4</v>
      </c>
      <c r="D46" s="42">
        <v>243825.2</v>
      </c>
    </row>
    <row r="47" spans="1:4" x14ac:dyDescent="0.45">
      <c r="A47" s="42" t="s">
        <v>28</v>
      </c>
      <c r="B47" s="42">
        <v>2007</v>
      </c>
      <c r="C47" s="42">
        <v>1035997.6</v>
      </c>
      <c r="D47" s="42">
        <v>247911.7</v>
      </c>
    </row>
    <row r="48" spans="1:4" x14ac:dyDescent="0.45">
      <c r="A48" s="42" t="s">
        <v>28</v>
      </c>
      <c r="B48" s="42">
        <v>2008</v>
      </c>
      <c r="C48" s="42">
        <v>988384</v>
      </c>
      <c r="D48" s="42">
        <v>245918.8</v>
      </c>
    </row>
    <row r="49" spans="1:4" x14ac:dyDescent="0.45">
      <c r="A49" s="42" t="s">
        <v>28</v>
      </c>
      <c r="B49" s="42">
        <v>2009</v>
      </c>
      <c r="C49" s="42">
        <v>824559.38</v>
      </c>
      <c r="D49" s="42">
        <v>226714.59</v>
      </c>
    </row>
    <row r="50" spans="1:4" x14ac:dyDescent="0.45">
      <c r="A50" s="42" t="s">
        <v>28</v>
      </c>
      <c r="B50" s="42">
        <v>2010</v>
      </c>
      <c r="C50" s="42">
        <v>868880.38</v>
      </c>
      <c r="D50" s="42">
        <v>237517.5</v>
      </c>
    </row>
    <row r="51" spans="1:4" x14ac:dyDescent="0.45">
      <c r="A51" s="42" t="s">
        <v>28</v>
      </c>
      <c r="B51" s="42">
        <v>2011</v>
      </c>
      <c r="C51" s="42">
        <v>889759.88</v>
      </c>
      <c r="D51" s="42">
        <v>239598</v>
      </c>
    </row>
    <row r="52" spans="1:4" x14ac:dyDescent="0.45">
      <c r="A52" s="42" t="s">
        <v>28</v>
      </c>
      <c r="B52" s="42">
        <v>2012</v>
      </c>
      <c r="C52" s="42">
        <v>961222.69</v>
      </c>
      <c r="D52" s="42">
        <v>235105.41</v>
      </c>
    </row>
    <row r="53" spans="1:4" x14ac:dyDescent="0.45">
      <c r="A53" s="42" t="s">
        <v>28</v>
      </c>
      <c r="B53" s="42">
        <v>2013</v>
      </c>
      <c r="C53" s="42">
        <v>931748.88</v>
      </c>
      <c r="D53" s="42">
        <v>233429.09</v>
      </c>
    </row>
    <row r="54" spans="1:4" x14ac:dyDescent="0.45">
      <c r="A54" s="42" t="s">
        <v>28</v>
      </c>
      <c r="B54" s="42">
        <v>2014</v>
      </c>
      <c r="C54" s="42">
        <v>974511.63</v>
      </c>
      <c r="D54" s="42">
        <v>232104.2</v>
      </c>
    </row>
  </sheetData>
  <hyperlinks>
    <hyperlink ref="H1" location="Index" display="Back to Index" xr:uid="{4C9CAE4C-2E25-425E-BB59-116AF039A892}"/>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FE4FCA-63DD-4274-8F44-9FA6B5A9DC3E}">
  <sheetPr codeName="Sheet31"/>
  <dimension ref="A1:J6"/>
  <sheetViews>
    <sheetView workbookViewId="0">
      <selection activeCell="C38" sqref="C38"/>
    </sheetView>
  </sheetViews>
  <sheetFormatPr defaultRowHeight="14.25" x14ac:dyDescent="0.45"/>
  <cols>
    <col min="1" max="11" width="47.625" style="42" customWidth="1"/>
    <col min="12" max="16384" width="9" style="42"/>
  </cols>
  <sheetData>
    <row r="1" spans="1:10" ht="15.75" x14ac:dyDescent="0.45">
      <c r="A1" s="43" t="s">
        <v>81</v>
      </c>
      <c r="B1" s="43" t="s">
        <v>80</v>
      </c>
      <c r="C1" s="43" t="s">
        <v>79</v>
      </c>
      <c r="D1" s="43" t="s">
        <v>78</v>
      </c>
      <c r="E1" s="43" t="s">
        <v>77</v>
      </c>
      <c r="F1" s="43" t="s">
        <v>76</v>
      </c>
      <c r="G1" s="43" t="s">
        <v>75</v>
      </c>
      <c r="H1" s="99" t="s">
        <v>543</v>
      </c>
      <c r="I1" s="43" t="s">
        <v>74</v>
      </c>
      <c r="J1" s="43" t="s">
        <v>73</v>
      </c>
    </row>
    <row r="2" spans="1:10" ht="185.25" x14ac:dyDescent="0.45">
      <c r="A2" s="41" t="s">
        <v>71</v>
      </c>
      <c r="B2" s="41" t="s">
        <v>70</v>
      </c>
      <c r="C2" s="41" t="s">
        <v>212</v>
      </c>
      <c r="D2" s="41" t="s">
        <v>28</v>
      </c>
      <c r="E2" s="41" t="s">
        <v>72</v>
      </c>
      <c r="F2" s="41" t="s">
        <v>213</v>
      </c>
      <c r="G2" s="41" t="s">
        <v>214</v>
      </c>
      <c r="H2" s="41" t="s">
        <v>186</v>
      </c>
      <c r="I2" s="41" t="s">
        <v>187</v>
      </c>
      <c r="J2" s="41" t="s">
        <v>187</v>
      </c>
    </row>
    <row r="3" spans="1:10" ht="185.25" x14ac:dyDescent="0.45">
      <c r="A3" s="41" t="s">
        <v>67</v>
      </c>
      <c r="B3" s="41" t="s">
        <v>66</v>
      </c>
      <c r="C3" s="41" t="s">
        <v>212</v>
      </c>
      <c r="D3" s="41" t="s">
        <v>28</v>
      </c>
      <c r="E3" s="41" t="s">
        <v>69</v>
      </c>
      <c r="F3" s="41" t="s">
        <v>213</v>
      </c>
      <c r="G3" s="41" t="s">
        <v>214</v>
      </c>
      <c r="H3" s="41" t="s">
        <v>186</v>
      </c>
      <c r="I3" s="41" t="s">
        <v>45</v>
      </c>
      <c r="J3" s="41" t="s">
        <v>65</v>
      </c>
    </row>
    <row r="4" spans="1:10" ht="185.25" x14ac:dyDescent="0.45">
      <c r="A4" s="41" t="s">
        <v>64</v>
      </c>
      <c r="B4" s="41" t="s">
        <v>6</v>
      </c>
      <c r="C4" s="41" t="s">
        <v>212</v>
      </c>
      <c r="D4" s="41" t="s">
        <v>28</v>
      </c>
      <c r="E4" s="41" t="s">
        <v>63</v>
      </c>
      <c r="F4" s="41" t="s">
        <v>213</v>
      </c>
      <c r="G4" s="41" t="s">
        <v>214</v>
      </c>
      <c r="H4" s="41" t="s">
        <v>186</v>
      </c>
      <c r="I4" s="41" t="s">
        <v>187</v>
      </c>
      <c r="J4" s="41" t="s">
        <v>187</v>
      </c>
    </row>
    <row r="5" spans="1:10" ht="185.25" x14ac:dyDescent="0.45">
      <c r="A5" s="41" t="s">
        <v>61</v>
      </c>
      <c r="B5" s="41" t="s">
        <v>7</v>
      </c>
      <c r="C5" s="41" t="s">
        <v>212</v>
      </c>
      <c r="D5" s="41" t="s">
        <v>28</v>
      </c>
      <c r="E5" s="41" t="s">
        <v>62</v>
      </c>
      <c r="F5" s="41" t="s">
        <v>213</v>
      </c>
      <c r="G5" s="41" t="s">
        <v>214</v>
      </c>
      <c r="H5" s="41" t="s">
        <v>186</v>
      </c>
      <c r="I5" s="41" t="s">
        <v>187</v>
      </c>
      <c r="J5" s="41" t="s">
        <v>187</v>
      </c>
    </row>
    <row r="6" spans="1:10" ht="185.25" x14ac:dyDescent="0.45">
      <c r="A6" s="41" t="s">
        <v>8</v>
      </c>
      <c r="B6" s="41" t="s">
        <v>51</v>
      </c>
      <c r="C6" s="41" t="s">
        <v>212</v>
      </c>
      <c r="D6" s="41" t="s">
        <v>28</v>
      </c>
      <c r="E6" s="41" t="s">
        <v>55</v>
      </c>
      <c r="F6" s="41" t="s">
        <v>213</v>
      </c>
      <c r="G6" s="41" t="s">
        <v>214</v>
      </c>
      <c r="H6" s="41" t="s">
        <v>186</v>
      </c>
      <c r="I6" s="41" t="s">
        <v>188</v>
      </c>
      <c r="J6" s="41" t="s">
        <v>44</v>
      </c>
    </row>
  </sheetData>
  <hyperlinks>
    <hyperlink ref="H1" location="Index" display="Back to Index" xr:uid="{9F7DC777-0780-48B2-A00A-9B081F7C7A3B}"/>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0254BF-24B1-4C80-9C44-649151B83AB8}">
  <sheetPr codeName="Sheet32"/>
  <dimension ref="A1:H54"/>
  <sheetViews>
    <sheetView workbookViewId="0">
      <selection activeCell="D20" sqref="D20"/>
    </sheetView>
  </sheetViews>
  <sheetFormatPr defaultRowHeight="14.25" x14ac:dyDescent="0.45"/>
  <cols>
    <col min="1" max="5" width="19.5" style="42" customWidth="1"/>
    <col min="6" max="16384" width="9" style="42"/>
  </cols>
  <sheetData>
    <row r="1" spans="1:8" ht="165.75" x14ac:dyDescent="0.5">
      <c r="A1" s="41" t="s">
        <v>177</v>
      </c>
      <c r="B1" s="41" t="s">
        <v>43</v>
      </c>
      <c r="C1" s="41" t="s">
        <v>215</v>
      </c>
      <c r="D1" s="41" t="s">
        <v>216</v>
      </c>
      <c r="H1" s="5" t="s">
        <v>543</v>
      </c>
    </row>
    <row r="2" spans="1:8" x14ac:dyDescent="0.45">
      <c r="A2" s="42" t="s">
        <v>28</v>
      </c>
      <c r="B2" s="42">
        <v>1962</v>
      </c>
      <c r="D2" s="42">
        <v>310615.19</v>
      </c>
    </row>
    <row r="3" spans="1:8" x14ac:dyDescent="0.45">
      <c r="A3" s="42" t="s">
        <v>28</v>
      </c>
      <c r="B3" s="42">
        <v>1963</v>
      </c>
    </row>
    <row r="4" spans="1:8" x14ac:dyDescent="0.45">
      <c r="A4" s="42" t="s">
        <v>28</v>
      </c>
      <c r="B4" s="42">
        <v>1964</v>
      </c>
      <c r="D4" s="42">
        <v>332616.19</v>
      </c>
    </row>
    <row r="5" spans="1:8" x14ac:dyDescent="0.45">
      <c r="A5" s="42" t="s">
        <v>28</v>
      </c>
      <c r="B5" s="42">
        <v>1965</v>
      </c>
    </row>
    <row r="6" spans="1:8" x14ac:dyDescent="0.45">
      <c r="A6" s="42" t="s">
        <v>28</v>
      </c>
      <c r="B6" s="42">
        <v>1966</v>
      </c>
      <c r="D6" s="42">
        <v>378534.5</v>
      </c>
    </row>
    <row r="7" spans="1:8" x14ac:dyDescent="0.45">
      <c r="A7" s="42" t="s">
        <v>28</v>
      </c>
      <c r="B7" s="42">
        <v>1967</v>
      </c>
      <c r="D7" s="42">
        <v>393201.5</v>
      </c>
    </row>
    <row r="8" spans="1:8" x14ac:dyDescent="0.45">
      <c r="A8" s="42" t="s">
        <v>28</v>
      </c>
      <c r="B8" s="42">
        <v>1968</v>
      </c>
      <c r="D8" s="42">
        <v>419904.19</v>
      </c>
    </row>
    <row r="9" spans="1:8" x14ac:dyDescent="0.45">
      <c r="A9" s="42" t="s">
        <v>28</v>
      </c>
      <c r="B9" s="42">
        <v>1969</v>
      </c>
      <c r="D9" s="42">
        <v>397119</v>
      </c>
    </row>
    <row r="10" spans="1:8" x14ac:dyDescent="0.45">
      <c r="A10" s="42" t="s">
        <v>28</v>
      </c>
      <c r="B10" s="42">
        <v>1970</v>
      </c>
      <c r="C10" s="42">
        <v>241348.09</v>
      </c>
      <c r="D10" s="42">
        <v>385329.31</v>
      </c>
    </row>
    <row r="11" spans="1:8" x14ac:dyDescent="0.45">
      <c r="A11" s="42" t="s">
        <v>28</v>
      </c>
      <c r="B11" s="42">
        <v>1971</v>
      </c>
      <c r="C11" s="42">
        <v>249793.59</v>
      </c>
      <c r="D11" s="42">
        <v>404688.19</v>
      </c>
    </row>
    <row r="12" spans="1:8" x14ac:dyDescent="0.45">
      <c r="A12" s="42" t="s">
        <v>28</v>
      </c>
      <c r="B12" s="42">
        <v>1972</v>
      </c>
      <c r="C12" s="42">
        <v>262384.40999999997</v>
      </c>
      <c r="D12" s="42">
        <v>433338.41</v>
      </c>
    </row>
    <row r="13" spans="1:8" x14ac:dyDescent="0.45">
      <c r="A13" s="42" t="s">
        <v>28</v>
      </c>
      <c r="B13" s="42">
        <v>1973</v>
      </c>
      <c r="C13" s="42">
        <v>273723.90999999997</v>
      </c>
      <c r="D13" s="42">
        <v>468051</v>
      </c>
    </row>
    <row r="14" spans="1:8" x14ac:dyDescent="0.45">
      <c r="A14" s="42" t="s">
        <v>28</v>
      </c>
      <c r="B14" s="42">
        <v>1974</v>
      </c>
      <c r="C14" s="42">
        <v>279259.19</v>
      </c>
      <c r="D14" s="42">
        <v>480601.31</v>
      </c>
    </row>
    <row r="15" spans="1:8" x14ac:dyDescent="0.45">
      <c r="A15" s="42" t="s">
        <v>28</v>
      </c>
      <c r="B15" s="42">
        <v>1975</v>
      </c>
      <c r="C15" s="42">
        <v>274816.19</v>
      </c>
      <c r="D15" s="42">
        <v>485259.81</v>
      </c>
    </row>
    <row r="16" spans="1:8" x14ac:dyDescent="0.45">
      <c r="A16" s="42" t="s">
        <v>28</v>
      </c>
      <c r="B16" s="42">
        <v>1976</v>
      </c>
      <c r="C16" s="42">
        <v>284484.59000000003</v>
      </c>
      <c r="D16" s="42">
        <v>482580.41</v>
      </c>
    </row>
    <row r="17" spans="1:4" x14ac:dyDescent="0.45">
      <c r="A17" s="42" t="s">
        <v>28</v>
      </c>
      <c r="B17" s="42">
        <v>1977</v>
      </c>
      <c r="C17" s="42">
        <v>289943.40999999997</v>
      </c>
      <c r="D17" s="42">
        <v>509314.81</v>
      </c>
    </row>
    <row r="18" spans="1:4" x14ac:dyDescent="0.45">
      <c r="A18" s="42" t="s">
        <v>28</v>
      </c>
      <c r="B18" s="42">
        <v>1978</v>
      </c>
      <c r="C18" s="42">
        <v>301838.81</v>
      </c>
      <c r="D18" s="42">
        <v>544045.13</v>
      </c>
    </row>
    <row r="19" spans="1:4" x14ac:dyDescent="0.45">
      <c r="A19" s="42" t="s">
        <v>28</v>
      </c>
      <c r="B19" s="42">
        <v>1979</v>
      </c>
      <c r="C19" s="42">
        <v>308399.19</v>
      </c>
      <c r="D19" s="42">
        <v>619461.13</v>
      </c>
    </row>
    <row r="20" spans="1:4" x14ac:dyDescent="0.45">
      <c r="A20" s="42" t="s">
        <v>28</v>
      </c>
      <c r="B20" s="42">
        <v>1980</v>
      </c>
      <c r="C20" s="42">
        <v>300302.31</v>
      </c>
      <c r="D20" s="42">
        <v>622367.5</v>
      </c>
    </row>
    <row r="21" spans="1:4" x14ac:dyDescent="0.45">
      <c r="A21" s="42" t="s">
        <v>28</v>
      </c>
      <c r="B21" s="42">
        <v>1981</v>
      </c>
      <c r="C21" s="42">
        <v>281761.09000000003</v>
      </c>
      <c r="D21" s="42">
        <v>646337.5</v>
      </c>
    </row>
    <row r="22" spans="1:4" x14ac:dyDescent="0.45">
      <c r="A22" s="42" t="s">
        <v>28</v>
      </c>
      <c r="B22" s="42">
        <v>1982</v>
      </c>
      <c r="C22" s="42">
        <v>280028.5</v>
      </c>
      <c r="D22" s="42">
        <v>680411.81</v>
      </c>
    </row>
    <row r="23" spans="1:4" x14ac:dyDescent="0.45">
      <c r="A23" s="42" t="s">
        <v>28</v>
      </c>
      <c r="B23" s="42">
        <v>1983</v>
      </c>
      <c r="C23" s="42">
        <v>270311.5</v>
      </c>
      <c r="D23" s="42">
        <v>699742.31</v>
      </c>
    </row>
    <row r="24" spans="1:4" x14ac:dyDescent="0.45">
      <c r="A24" s="42" t="s">
        <v>28</v>
      </c>
      <c r="B24" s="42">
        <v>1984</v>
      </c>
      <c r="C24" s="42">
        <v>258801.41</v>
      </c>
      <c r="D24" s="42">
        <v>847097</v>
      </c>
    </row>
    <row r="25" spans="1:4" x14ac:dyDescent="0.45">
      <c r="A25" s="42" t="s">
        <v>28</v>
      </c>
      <c r="B25" s="42">
        <v>1985</v>
      </c>
      <c r="C25" s="42">
        <v>270163.5</v>
      </c>
      <c r="D25" s="42">
        <v>864081.5</v>
      </c>
    </row>
    <row r="26" spans="1:4" x14ac:dyDescent="0.45">
      <c r="A26" s="42" t="s">
        <v>28</v>
      </c>
      <c r="B26" s="42">
        <v>1986</v>
      </c>
      <c r="C26" s="42">
        <v>279530</v>
      </c>
      <c r="D26" s="42">
        <v>883024</v>
      </c>
    </row>
    <row r="27" spans="1:4" x14ac:dyDescent="0.45">
      <c r="A27" s="42" t="s">
        <v>28</v>
      </c>
      <c r="B27" s="42">
        <v>1987</v>
      </c>
      <c r="C27" s="42">
        <v>285795.19</v>
      </c>
      <c r="D27" s="42">
        <v>1038701</v>
      </c>
    </row>
    <row r="28" spans="1:4" x14ac:dyDescent="0.45">
      <c r="A28" s="42" t="s">
        <v>28</v>
      </c>
      <c r="B28" s="42">
        <v>1988</v>
      </c>
      <c r="C28" s="42">
        <v>296214.81</v>
      </c>
      <c r="D28" s="42">
        <v>1359141.4</v>
      </c>
    </row>
    <row r="29" spans="1:4" x14ac:dyDescent="0.45">
      <c r="A29" s="42" t="s">
        <v>28</v>
      </c>
      <c r="B29" s="42">
        <v>1989</v>
      </c>
      <c r="C29" s="42">
        <v>299854</v>
      </c>
      <c r="D29" s="42">
        <v>1218997.3999999999</v>
      </c>
    </row>
    <row r="30" spans="1:4" x14ac:dyDescent="0.45">
      <c r="A30" s="42" t="s">
        <v>28</v>
      </c>
      <c r="B30" s="42">
        <v>1990</v>
      </c>
      <c r="C30" s="42">
        <v>295334.5</v>
      </c>
      <c r="D30" s="42">
        <v>1252494.8999999999</v>
      </c>
    </row>
    <row r="31" spans="1:4" x14ac:dyDescent="0.45">
      <c r="A31" s="42" t="s">
        <v>28</v>
      </c>
      <c r="B31" s="42">
        <v>1991</v>
      </c>
      <c r="C31" s="42">
        <v>268057.09000000003</v>
      </c>
      <c r="D31" s="42">
        <v>1102158.6000000001</v>
      </c>
    </row>
    <row r="32" spans="1:4" x14ac:dyDescent="0.45">
      <c r="A32" s="42" t="s">
        <v>28</v>
      </c>
      <c r="B32" s="42">
        <v>1992</v>
      </c>
      <c r="C32" s="42">
        <v>290058</v>
      </c>
      <c r="D32" s="42">
        <v>1365211.5</v>
      </c>
    </row>
    <row r="33" spans="1:4" x14ac:dyDescent="0.45">
      <c r="A33" s="42" t="s">
        <v>28</v>
      </c>
      <c r="B33" s="42">
        <v>1993</v>
      </c>
      <c r="C33" s="42">
        <v>248609.7</v>
      </c>
      <c r="D33" s="42">
        <v>1255029.8</v>
      </c>
    </row>
    <row r="34" spans="1:4" x14ac:dyDescent="0.45">
      <c r="A34" s="42" t="s">
        <v>28</v>
      </c>
      <c r="B34" s="42">
        <v>1994</v>
      </c>
      <c r="C34" s="42">
        <v>268559.40999999997</v>
      </c>
      <c r="D34" s="42">
        <v>1188216.8</v>
      </c>
    </row>
    <row r="35" spans="1:4" x14ac:dyDescent="0.45">
      <c r="A35" s="42" t="s">
        <v>28</v>
      </c>
      <c r="B35" s="42">
        <v>1995</v>
      </c>
      <c r="C35" s="42">
        <v>265395.31</v>
      </c>
      <c r="D35" s="42">
        <v>1306060</v>
      </c>
    </row>
    <row r="36" spans="1:4" x14ac:dyDescent="0.45">
      <c r="A36" s="42" t="s">
        <v>28</v>
      </c>
      <c r="B36" s="42">
        <v>1996</v>
      </c>
      <c r="C36" s="42">
        <v>272459</v>
      </c>
      <c r="D36" s="42">
        <v>1483153.5</v>
      </c>
    </row>
    <row r="37" spans="1:4" x14ac:dyDescent="0.45">
      <c r="A37" s="42" t="s">
        <v>28</v>
      </c>
      <c r="B37" s="42">
        <v>1997</v>
      </c>
      <c r="C37" s="42">
        <v>278329.5</v>
      </c>
      <c r="D37" s="42">
        <v>1713236.6</v>
      </c>
    </row>
    <row r="38" spans="1:4" x14ac:dyDescent="0.45">
      <c r="A38" s="42" t="s">
        <v>28</v>
      </c>
      <c r="B38" s="42">
        <v>1998</v>
      </c>
      <c r="C38" s="42">
        <v>296071.69</v>
      </c>
      <c r="D38" s="42">
        <v>1945186.3</v>
      </c>
    </row>
    <row r="39" spans="1:4" x14ac:dyDescent="0.45">
      <c r="A39" s="42" t="s">
        <v>28</v>
      </c>
      <c r="B39" s="42">
        <v>1999</v>
      </c>
      <c r="C39" s="42">
        <v>328442.59000000003</v>
      </c>
      <c r="D39" s="42">
        <v>2285273</v>
      </c>
    </row>
    <row r="40" spans="1:4" x14ac:dyDescent="0.45">
      <c r="A40" s="42" t="s">
        <v>28</v>
      </c>
      <c r="B40" s="42">
        <v>2000</v>
      </c>
      <c r="C40" s="42">
        <v>348223</v>
      </c>
      <c r="D40" s="42">
        <v>2674183.2999999998</v>
      </c>
    </row>
    <row r="41" spans="1:4" x14ac:dyDescent="0.45">
      <c r="A41" s="42" t="s">
        <v>28</v>
      </c>
      <c r="B41" s="42">
        <v>2001</v>
      </c>
      <c r="C41" s="42">
        <v>366170.09</v>
      </c>
      <c r="D41" s="42">
        <v>2280785.5</v>
      </c>
    </row>
    <row r="42" spans="1:4" x14ac:dyDescent="0.45">
      <c r="A42" s="42" t="s">
        <v>28</v>
      </c>
      <c r="B42" s="42">
        <v>2002</v>
      </c>
      <c r="C42" s="42">
        <v>368610.19</v>
      </c>
      <c r="D42" s="42">
        <v>1999522.3</v>
      </c>
    </row>
    <row r="43" spans="1:4" x14ac:dyDescent="0.45">
      <c r="A43" s="42" t="s">
        <v>28</v>
      </c>
      <c r="B43" s="42">
        <v>2003</v>
      </c>
      <c r="C43" s="42">
        <v>361978.31</v>
      </c>
      <c r="D43" s="42">
        <v>2008987</v>
      </c>
    </row>
    <row r="44" spans="1:4" x14ac:dyDescent="0.45">
      <c r="A44" s="42" t="s">
        <v>28</v>
      </c>
      <c r="B44" s="42">
        <v>2004</v>
      </c>
      <c r="C44" s="42">
        <v>384124.19</v>
      </c>
      <c r="D44" s="42">
        <v>2275143.7999999998</v>
      </c>
    </row>
    <row r="45" spans="1:4" x14ac:dyDescent="0.45">
      <c r="A45" s="42" t="s">
        <v>28</v>
      </c>
      <c r="B45" s="42">
        <v>2005</v>
      </c>
      <c r="C45" s="42">
        <v>397634</v>
      </c>
      <c r="D45" s="42">
        <v>2517681.2999999998</v>
      </c>
    </row>
    <row r="46" spans="1:4" x14ac:dyDescent="0.45">
      <c r="A46" s="42" t="s">
        <v>28</v>
      </c>
      <c r="B46" s="42">
        <v>2006</v>
      </c>
      <c r="C46" s="42">
        <v>426460</v>
      </c>
      <c r="D46" s="42">
        <v>2656095</v>
      </c>
    </row>
    <row r="47" spans="1:4" x14ac:dyDescent="0.45">
      <c r="A47" s="42" t="s">
        <v>28</v>
      </c>
      <c r="B47" s="42">
        <v>2007</v>
      </c>
      <c r="C47" s="42">
        <v>453028</v>
      </c>
      <c r="D47" s="42">
        <v>2700832.5</v>
      </c>
    </row>
    <row r="48" spans="1:4" x14ac:dyDescent="0.45">
      <c r="A48" s="42" t="s">
        <v>28</v>
      </c>
      <c r="B48" s="42">
        <v>2008</v>
      </c>
      <c r="C48" s="42">
        <v>435895.59</v>
      </c>
      <c r="D48" s="42">
        <v>2590429</v>
      </c>
    </row>
    <row r="49" spans="1:4" x14ac:dyDescent="0.45">
      <c r="A49" s="42" t="s">
        <v>28</v>
      </c>
      <c r="B49" s="42">
        <v>2009</v>
      </c>
      <c r="C49" s="42">
        <v>377074.5</v>
      </c>
      <c r="D49" s="42">
        <v>2073905.4</v>
      </c>
    </row>
    <row r="50" spans="1:4" x14ac:dyDescent="0.45">
      <c r="A50" s="42" t="s">
        <v>28</v>
      </c>
      <c r="B50" s="42">
        <v>2010</v>
      </c>
      <c r="C50" s="42">
        <v>407278.91</v>
      </c>
      <c r="D50" s="42">
        <v>2163691.2999999998</v>
      </c>
    </row>
    <row r="51" spans="1:4" x14ac:dyDescent="0.45">
      <c r="A51" s="42" t="s">
        <v>28</v>
      </c>
      <c r="B51" s="42">
        <v>2011</v>
      </c>
      <c r="C51" s="42">
        <v>414259.09</v>
      </c>
      <c r="D51" s="42">
        <v>2154787</v>
      </c>
    </row>
    <row r="52" spans="1:4" x14ac:dyDescent="0.45">
      <c r="A52" s="42" t="s">
        <v>28</v>
      </c>
      <c r="B52" s="42">
        <v>2012</v>
      </c>
      <c r="C52" s="42">
        <v>394004.09</v>
      </c>
      <c r="D52" s="42">
        <v>2462582</v>
      </c>
    </row>
    <row r="53" spans="1:4" x14ac:dyDescent="0.45">
      <c r="A53" s="42" t="s">
        <v>28</v>
      </c>
      <c r="B53" s="42">
        <v>2013</v>
      </c>
      <c r="C53" s="42">
        <v>390509</v>
      </c>
      <c r="D53" s="42">
        <v>2282672.7999999998</v>
      </c>
    </row>
    <row r="54" spans="1:4" x14ac:dyDescent="0.45">
      <c r="A54" s="42" t="s">
        <v>28</v>
      </c>
      <c r="B54" s="42">
        <v>2014</v>
      </c>
      <c r="C54" s="42">
        <v>387631.31</v>
      </c>
      <c r="D54" s="42">
        <v>2448533.5</v>
      </c>
    </row>
  </sheetData>
  <hyperlinks>
    <hyperlink ref="H1" location="Index" display="Back to Index" xr:uid="{E313CB97-6B73-4614-8B88-C398B7E991A3}"/>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0551FA-54AC-40EB-9D11-4A3FF9C0E0B1}">
  <sheetPr codeName="Sheet33"/>
  <dimension ref="A1:J3"/>
  <sheetViews>
    <sheetView topLeftCell="G1" workbookViewId="0">
      <selection activeCell="H2" sqref="H2"/>
    </sheetView>
  </sheetViews>
  <sheetFormatPr defaultRowHeight="14.25" x14ac:dyDescent="0.45"/>
  <cols>
    <col min="1" max="11" width="47.625" style="42" customWidth="1"/>
    <col min="12" max="16384" width="9" style="42"/>
  </cols>
  <sheetData>
    <row r="1" spans="1:10" ht="15.75" x14ac:dyDescent="0.45">
      <c r="A1" s="43" t="s">
        <v>81</v>
      </c>
      <c r="B1" s="43" t="s">
        <v>80</v>
      </c>
      <c r="C1" s="43" t="s">
        <v>79</v>
      </c>
      <c r="D1" s="43" t="s">
        <v>78</v>
      </c>
      <c r="E1" s="43" t="s">
        <v>77</v>
      </c>
      <c r="F1" s="43" t="s">
        <v>76</v>
      </c>
      <c r="G1" s="43" t="s">
        <v>75</v>
      </c>
      <c r="H1" s="99" t="s">
        <v>543</v>
      </c>
      <c r="I1" s="43" t="s">
        <v>74</v>
      </c>
      <c r="J1" s="43" t="s">
        <v>73</v>
      </c>
    </row>
    <row r="2" spans="1:10" ht="185.25" x14ac:dyDescent="0.45">
      <c r="A2" s="41" t="s">
        <v>67</v>
      </c>
      <c r="B2" s="41" t="s">
        <v>66</v>
      </c>
      <c r="C2" s="41" t="s">
        <v>204</v>
      </c>
      <c r="D2" s="41" t="s">
        <v>28</v>
      </c>
      <c r="E2" s="41" t="s">
        <v>69</v>
      </c>
      <c r="F2" s="41" t="s">
        <v>205</v>
      </c>
      <c r="G2" s="41" t="s">
        <v>206</v>
      </c>
      <c r="H2" s="41" t="s">
        <v>186</v>
      </c>
      <c r="I2" s="41" t="s">
        <v>45</v>
      </c>
      <c r="J2" s="41" t="s">
        <v>65</v>
      </c>
    </row>
    <row r="3" spans="1:10" ht="185.25" x14ac:dyDescent="0.45">
      <c r="A3" s="41" t="s">
        <v>8</v>
      </c>
      <c r="B3" s="41" t="s">
        <v>51</v>
      </c>
      <c r="C3" s="41" t="s">
        <v>204</v>
      </c>
      <c r="D3" s="41" t="s">
        <v>28</v>
      </c>
      <c r="E3" s="41" t="s">
        <v>55</v>
      </c>
      <c r="F3" s="41" t="s">
        <v>205</v>
      </c>
      <c r="G3" s="41" t="s">
        <v>206</v>
      </c>
      <c r="H3" s="41" t="s">
        <v>186</v>
      </c>
      <c r="I3" s="41" t="s">
        <v>188</v>
      </c>
      <c r="J3" s="41" t="s">
        <v>44</v>
      </c>
    </row>
  </sheetData>
  <hyperlinks>
    <hyperlink ref="H1" location="Index" display="Back to Index" xr:uid="{07416551-FB4E-460C-B985-19AC54BA140B}"/>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37282-5D6E-4E43-BDD5-A149AF3DF47A}">
  <sheetPr codeName="Sheet34"/>
  <dimension ref="A1:H40"/>
  <sheetViews>
    <sheetView workbookViewId="0">
      <selection activeCell="G3" sqref="G3"/>
    </sheetView>
  </sheetViews>
  <sheetFormatPr defaultRowHeight="14.25" x14ac:dyDescent="0.45"/>
  <cols>
    <col min="1" max="16384" width="9" style="91"/>
  </cols>
  <sheetData>
    <row r="1" spans="1:8" ht="15.75" x14ac:dyDescent="0.5">
      <c r="A1" s="91" t="s">
        <v>224</v>
      </c>
      <c r="B1" s="91" t="s">
        <v>225</v>
      </c>
      <c r="C1" s="91" t="s">
        <v>226</v>
      </c>
      <c r="D1" s="91" t="s">
        <v>227</v>
      </c>
      <c r="E1" s="91" t="s">
        <v>228</v>
      </c>
      <c r="F1" s="91" t="s">
        <v>229</v>
      </c>
      <c r="G1" s="91" t="s">
        <v>94</v>
      </c>
      <c r="H1" s="5" t="s">
        <v>543</v>
      </c>
    </row>
    <row r="2" spans="1:8" x14ac:dyDescent="0.45">
      <c r="A2" s="91" t="s">
        <v>230</v>
      </c>
      <c r="B2" s="91" t="s">
        <v>231</v>
      </c>
      <c r="C2" s="91" t="s">
        <v>232</v>
      </c>
      <c r="D2" s="91" t="s">
        <v>233</v>
      </c>
      <c r="E2" s="91" t="s">
        <v>234</v>
      </c>
      <c r="F2" s="91">
        <v>1980</v>
      </c>
      <c r="G2" s="91">
        <v>7.9269689999999997</v>
      </c>
    </row>
    <row r="3" spans="1:8" x14ac:dyDescent="0.45">
      <c r="A3" s="91" t="s">
        <v>230</v>
      </c>
      <c r="B3" s="91" t="s">
        <v>231</v>
      </c>
      <c r="C3" s="91" t="s">
        <v>232</v>
      </c>
      <c r="D3" s="91" t="s">
        <v>233</v>
      </c>
      <c r="E3" s="91" t="s">
        <v>234</v>
      </c>
      <c r="F3" s="91">
        <v>1981</v>
      </c>
      <c r="G3" s="91">
        <v>8.0161569999999998</v>
      </c>
    </row>
    <row r="4" spans="1:8" x14ac:dyDescent="0.45">
      <c r="A4" s="91" t="s">
        <v>230</v>
      </c>
      <c r="B4" s="91" t="s">
        <v>231</v>
      </c>
      <c r="C4" s="91" t="s">
        <v>232</v>
      </c>
      <c r="D4" s="91" t="s">
        <v>233</v>
      </c>
      <c r="E4" s="91" t="s">
        <v>234</v>
      </c>
      <c r="F4" s="91">
        <v>1982</v>
      </c>
      <c r="G4" s="91">
        <v>8.3156049999999997</v>
      </c>
    </row>
    <row r="5" spans="1:8" x14ac:dyDescent="0.45">
      <c r="A5" s="91" t="s">
        <v>230</v>
      </c>
      <c r="B5" s="91" t="s">
        <v>231</v>
      </c>
      <c r="C5" s="91" t="s">
        <v>232</v>
      </c>
      <c r="D5" s="91" t="s">
        <v>233</v>
      </c>
      <c r="E5" s="91" t="s">
        <v>234</v>
      </c>
      <c r="F5" s="91">
        <v>1983</v>
      </c>
      <c r="G5" s="91">
        <v>8.5932130000000004</v>
      </c>
    </row>
    <row r="6" spans="1:8" x14ac:dyDescent="0.45">
      <c r="A6" s="91" t="s">
        <v>230</v>
      </c>
      <c r="B6" s="91" t="s">
        <v>231</v>
      </c>
      <c r="C6" s="91" t="s">
        <v>232</v>
      </c>
      <c r="D6" s="91" t="s">
        <v>233</v>
      </c>
      <c r="E6" s="91" t="s">
        <v>234</v>
      </c>
      <c r="F6" s="91">
        <v>1984</v>
      </c>
      <c r="G6" s="91">
        <v>8.7882479999999994</v>
      </c>
    </row>
    <row r="7" spans="1:8" x14ac:dyDescent="0.45">
      <c r="A7" s="91" t="s">
        <v>230</v>
      </c>
      <c r="B7" s="91" t="s">
        <v>231</v>
      </c>
      <c r="C7" s="91" t="s">
        <v>232</v>
      </c>
      <c r="D7" s="91" t="s">
        <v>233</v>
      </c>
      <c r="E7" s="91" t="s">
        <v>234</v>
      </c>
      <c r="F7" s="91">
        <v>1985</v>
      </c>
      <c r="G7" s="91">
        <v>8.8843910000000008</v>
      </c>
    </row>
    <row r="8" spans="1:8" x14ac:dyDescent="0.45">
      <c r="A8" s="91" t="s">
        <v>230</v>
      </c>
      <c r="B8" s="91" t="s">
        <v>231</v>
      </c>
      <c r="C8" s="91" t="s">
        <v>232</v>
      </c>
      <c r="D8" s="91" t="s">
        <v>233</v>
      </c>
      <c r="E8" s="91" t="s">
        <v>234</v>
      </c>
      <c r="F8" s="91">
        <v>1986</v>
      </c>
      <c r="G8" s="91">
        <v>8.9106590000000008</v>
      </c>
    </row>
    <row r="9" spans="1:8" x14ac:dyDescent="0.45">
      <c r="A9" s="91" t="s">
        <v>230</v>
      </c>
      <c r="B9" s="91" t="s">
        <v>231</v>
      </c>
      <c r="C9" s="91" t="s">
        <v>232</v>
      </c>
      <c r="D9" s="91" t="s">
        <v>233</v>
      </c>
      <c r="E9" s="91" t="s">
        <v>234</v>
      </c>
      <c r="F9" s="91">
        <v>1987</v>
      </c>
      <c r="G9" s="91">
        <v>9.1091119999999997</v>
      </c>
    </row>
    <row r="10" spans="1:8" x14ac:dyDescent="0.45">
      <c r="A10" s="91" t="s">
        <v>230</v>
      </c>
      <c r="B10" s="91" t="s">
        <v>231</v>
      </c>
      <c r="C10" s="91" t="s">
        <v>232</v>
      </c>
      <c r="D10" s="91" t="s">
        <v>233</v>
      </c>
      <c r="E10" s="91" t="s">
        <v>234</v>
      </c>
      <c r="F10" s="91">
        <v>1988</v>
      </c>
      <c r="G10" s="91">
        <v>9.1458239999999993</v>
      </c>
    </row>
    <row r="11" spans="1:8" x14ac:dyDescent="0.45">
      <c r="A11" s="91" t="s">
        <v>230</v>
      </c>
      <c r="B11" s="91" t="s">
        <v>231</v>
      </c>
      <c r="C11" s="91" t="s">
        <v>232</v>
      </c>
      <c r="D11" s="91" t="s">
        <v>233</v>
      </c>
      <c r="E11" s="91" t="s">
        <v>234</v>
      </c>
      <c r="F11" s="91">
        <v>1989</v>
      </c>
      <c r="G11" s="91">
        <v>9.2377859999999998</v>
      </c>
    </row>
    <row r="12" spans="1:8" x14ac:dyDescent="0.45">
      <c r="A12" s="91" t="s">
        <v>230</v>
      </c>
      <c r="B12" s="91" t="s">
        <v>231</v>
      </c>
      <c r="C12" s="91" t="s">
        <v>232</v>
      </c>
      <c r="D12" s="91" t="s">
        <v>233</v>
      </c>
      <c r="E12" s="91" t="s">
        <v>234</v>
      </c>
      <c r="F12" s="91">
        <v>1990</v>
      </c>
      <c r="G12" s="91">
        <v>9.1361930000000005</v>
      </c>
    </row>
    <row r="13" spans="1:8" x14ac:dyDescent="0.45">
      <c r="A13" s="91" t="s">
        <v>230</v>
      </c>
      <c r="B13" s="91" t="s">
        <v>231</v>
      </c>
      <c r="C13" s="91" t="s">
        <v>232</v>
      </c>
      <c r="D13" s="91" t="s">
        <v>233</v>
      </c>
      <c r="E13" s="91" t="s">
        <v>234</v>
      </c>
      <c r="F13" s="91">
        <v>1991</v>
      </c>
      <c r="G13" s="91">
        <v>9.0723629999999993</v>
      </c>
    </row>
    <row r="14" spans="1:8" x14ac:dyDescent="0.45">
      <c r="A14" s="91" t="s">
        <v>230</v>
      </c>
      <c r="B14" s="91" t="s">
        <v>231</v>
      </c>
      <c r="C14" s="91" t="s">
        <v>232</v>
      </c>
      <c r="D14" s="91" t="s">
        <v>233</v>
      </c>
      <c r="E14" s="91" t="s">
        <v>234</v>
      </c>
      <c r="F14" s="91">
        <v>1992</v>
      </c>
      <c r="G14" s="91">
        <v>9.0170969999999997</v>
      </c>
    </row>
    <row r="15" spans="1:8" x14ac:dyDescent="0.45">
      <c r="A15" s="91" t="s">
        <v>230</v>
      </c>
      <c r="B15" s="91" t="s">
        <v>231</v>
      </c>
      <c r="C15" s="91" t="s">
        <v>232</v>
      </c>
      <c r="D15" s="91" t="s">
        <v>233</v>
      </c>
      <c r="E15" s="91" t="s">
        <v>234</v>
      </c>
      <c r="F15" s="91">
        <v>1993</v>
      </c>
      <c r="G15" s="91">
        <v>8.8594860000000004</v>
      </c>
    </row>
    <row r="16" spans="1:8" x14ac:dyDescent="0.45">
      <c r="A16" s="91" t="s">
        <v>230</v>
      </c>
      <c r="B16" s="91" t="s">
        <v>231</v>
      </c>
      <c r="C16" s="91" t="s">
        <v>232</v>
      </c>
      <c r="D16" s="91" t="s">
        <v>233</v>
      </c>
      <c r="E16" s="91" t="s">
        <v>234</v>
      </c>
      <c r="F16" s="91">
        <v>1994</v>
      </c>
      <c r="G16" s="91">
        <v>8.8100509999999996</v>
      </c>
    </row>
    <row r="17" spans="1:7" x14ac:dyDescent="0.45">
      <c r="A17" s="91" t="s">
        <v>230</v>
      </c>
      <c r="B17" s="91" t="s">
        <v>231</v>
      </c>
      <c r="C17" s="91" t="s">
        <v>232</v>
      </c>
      <c r="D17" s="91" t="s">
        <v>233</v>
      </c>
      <c r="E17" s="91" t="s">
        <v>234</v>
      </c>
      <c r="F17" s="91">
        <v>1995</v>
      </c>
      <c r="G17" s="91">
        <v>8.7397760000000009</v>
      </c>
    </row>
    <row r="18" spans="1:7" x14ac:dyDescent="0.45">
      <c r="A18" s="91" t="s">
        <v>230</v>
      </c>
      <c r="B18" s="91" t="s">
        <v>231</v>
      </c>
      <c r="C18" s="91" t="s">
        <v>232</v>
      </c>
      <c r="D18" s="91" t="s">
        <v>233</v>
      </c>
      <c r="E18" s="91" t="s">
        <v>234</v>
      </c>
      <c r="F18" s="91">
        <v>1996</v>
      </c>
      <c r="G18" s="91">
        <v>8.7186400000000006</v>
      </c>
    </row>
    <row r="19" spans="1:7" x14ac:dyDescent="0.45">
      <c r="A19" s="91" t="s">
        <v>230</v>
      </c>
      <c r="B19" s="91" t="s">
        <v>231</v>
      </c>
      <c r="C19" s="91" t="s">
        <v>232</v>
      </c>
      <c r="D19" s="91" t="s">
        <v>233</v>
      </c>
      <c r="E19" s="91" t="s">
        <v>234</v>
      </c>
      <c r="F19" s="91">
        <v>1997</v>
      </c>
      <c r="G19" s="91">
        <v>8.7004219999999997</v>
      </c>
    </row>
    <row r="20" spans="1:7" x14ac:dyDescent="0.45">
      <c r="A20" s="91" t="s">
        <v>230</v>
      </c>
      <c r="B20" s="91" t="s">
        <v>231</v>
      </c>
      <c r="C20" s="91" t="s">
        <v>232</v>
      </c>
      <c r="D20" s="91" t="s">
        <v>233</v>
      </c>
      <c r="E20" s="91" t="s">
        <v>234</v>
      </c>
      <c r="F20" s="91">
        <v>1998</v>
      </c>
      <c r="G20" s="91">
        <v>8.6618259999999996</v>
      </c>
    </row>
    <row r="21" spans="1:7" x14ac:dyDescent="0.45">
      <c r="A21" s="91" t="s">
        <v>230</v>
      </c>
      <c r="B21" s="91" t="s">
        <v>231</v>
      </c>
      <c r="C21" s="91" t="s">
        <v>232</v>
      </c>
      <c r="D21" s="91" t="s">
        <v>233</v>
      </c>
      <c r="E21" s="91" t="s">
        <v>234</v>
      </c>
      <c r="F21" s="91">
        <v>1999</v>
      </c>
      <c r="G21" s="91">
        <v>8.7525779999999997</v>
      </c>
    </row>
    <row r="22" spans="1:7" x14ac:dyDescent="0.45">
      <c r="A22" s="91" t="s">
        <v>230</v>
      </c>
      <c r="B22" s="91" t="s">
        <v>231</v>
      </c>
      <c r="C22" s="91" t="s">
        <v>232</v>
      </c>
      <c r="D22" s="91" t="s">
        <v>233</v>
      </c>
      <c r="E22" s="91" t="s">
        <v>234</v>
      </c>
      <c r="F22" s="91">
        <v>2000</v>
      </c>
      <c r="G22" s="91">
        <v>8.6700979999999994</v>
      </c>
    </row>
    <row r="23" spans="1:7" x14ac:dyDescent="0.45">
      <c r="A23" s="91" t="s">
        <v>230</v>
      </c>
      <c r="B23" s="91" t="s">
        <v>231</v>
      </c>
      <c r="C23" s="91" t="s">
        <v>232</v>
      </c>
      <c r="D23" s="91" t="s">
        <v>233</v>
      </c>
      <c r="E23" s="91" t="s">
        <v>234</v>
      </c>
      <c r="F23" s="91">
        <v>2001</v>
      </c>
      <c r="G23" s="91">
        <v>8.6907700000000006</v>
      </c>
    </row>
    <row r="24" spans="1:7" x14ac:dyDescent="0.45">
      <c r="A24" s="91" t="s">
        <v>230</v>
      </c>
      <c r="B24" s="91" t="s">
        <v>231</v>
      </c>
      <c r="C24" s="91" t="s">
        <v>232</v>
      </c>
      <c r="D24" s="91" t="s">
        <v>233</v>
      </c>
      <c r="E24" s="91" t="s">
        <v>234</v>
      </c>
      <c r="F24" s="91">
        <v>2002</v>
      </c>
      <c r="G24" s="91">
        <v>8.5616059999999994</v>
      </c>
    </row>
    <row r="25" spans="1:7" x14ac:dyDescent="0.45">
      <c r="A25" s="91" t="s">
        <v>230</v>
      </c>
      <c r="B25" s="91" t="s">
        <v>231</v>
      </c>
      <c r="C25" s="91" t="s">
        <v>232</v>
      </c>
      <c r="D25" s="91" t="s">
        <v>233</v>
      </c>
      <c r="E25" s="91" t="s">
        <v>234</v>
      </c>
      <c r="F25" s="91">
        <v>2003</v>
      </c>
      <c r="G25" s="91">
        <v>8.6574460000000002</v>
      </c>
    </row>
    <row r="26" spans="1:7" x14ac:dyDescent="0.45">
      <c r="A26" s="91" t="s">
        <v>230</v>
      </c>
      <c r="B26" s="91" t="s">
        <v>231</v>
      </c>
      <c r="C26" s="91" t="s">
        <v>232</v>
      </c>
      <c r="D26" s="91" t="s">
        <v>233</v>
      </c>
      <c r="E26" s="91" t="s">
        <v>234</v>
      </c>
      <c r="F26" s="91">
        <v>2004</v>
      </c>
      <c r="G26" s="91">
        <v>8.4675419999999999</v>
      </c>
    </row>
    <row r="27" spans="1:7" x14ac:dyDescent="0.45">
      <c r="A27" s="91" t="s">
        <v>230</v>
      </c>
      <c r="B27" s="91" t="s">
        <v>231</v>
      </c>
      <c r="C27" s="91" t="s">
        <v>232</v>
      </c>
      <c r="D27" s="91" t="s">
        <v>233</v>
      </c>
      <c r="E27" s="91" t="s">
        <v>234</v>
      </c>
      <c r="F27" s="91">
        <v>2005</v>
      </c>
      <c r="G27" s="91">
        <v>8.5694379999999999</v>
      </c>
    </row>
    <row r="28" spans="1:7" x14ac:dyDescent="0.45">
      <c r="A28" s="91" t="s">
        <v>230</v>
      </c>
      <c r="B28" s="91" t="s">
        <v>231</v>
      </c>
      <c r="C28" s="91" t="s">
        <v>232</v>
      </c>
      <c r="D28" s="91" t="s">
        <v>233</v>
      </c>
      <c r="E28" s="91" t="s">
        <v>234</v>
      </c>
      <c r="F28" s="91">
        <v>2006</v>
      </c>
      <c r="G28" s="91">
        <v>8.2957149999999995</v>
      </c>
    </row>
    <row r="29" spans="1:7" x14ac:dyDescent="0.45">
      <c r="A29" s="91" t="s">
        <v>230</v>
      </c>
      <c r="B29" s="91" t="s">
        <v>231</v>
      </c>
      <c r="C29" s="91" t="s">
        <v>232</v>
      </c>
      <c r="D29" s="91" t="s">
        <v>233</v>
      </c>
      <c r="E29" s="91" t="s">
        <v>234</v>
      </c>
      <c r="F29" s="91">
        <v>2007</v>
      </c>
      <c r="G29" s="91">
        <v>8.1703390000000002</v>
      </c>
    </row>
    <row r="30" spans="1:7" x14ac:dyDescent="0.45">
      <c r="A30" s="91" t="s">
        <v>230</v>
      </c>
      <c r="B30" s="91" t="s">
        <v>231</v>
      </c>
      <c r="C30" s="91" t="s">
        <v>232</v>
      </c>
      <c r="D30" s="91" t="s">
        <v>233</v>
      </c>
      <c r="E30" s="91" t="s">
        <v>234</v>
      </c>
      <c r="F30" s="91">
        <v>2008</v>
      </c>
      <c r="G30" s="91">
        <v>7.9441280000000001</v>
      </c>
    </row>
    <row r="31" spans="1:7" x14ac:dyDescent="0.45">
      <c r="A31" s="91" t="s">
        <v>230</v>
      </c>
      <c r="B31" s="91" t="s">
        <v>231</v>
      </c>
      <c r="C31" s="91" t="s">
        <v>232</v>
      </c>
      <c r="D31" s="91" t="s">
        <v>233</v>
      </c>
      <c r="E31" s="91" t="s">
        <v>234</v>
      </c>
      <c r="F31" s="91">
        <v>2009</v>
      </c>
      <c r="G31" s="91">
        <v>7.7295489999999996</v>
      </c>
    </row>
    <row r="32" spans="1:7" x14ac:dyDescent="0.45">
      <c r="A32" s="91" t="s">
        <v>230</v>
      </c>
      <c r="B32" s="91" t="s">
        <v>231</v>
      </c>
      <c r="C32" s="91" t="s">
        <v>232</v>
      </c>
      <c r="D32" s="91" t="s">
        <v>233</v>
      </c>
      <c r="E32" s="91" t="s">
        <v>234</v>
      </c>
      <c r="F32" s="91">
        <v>2010</v>
      </c>
      <c r="G32" s="91">
        <v>7.5914440000000001</v>
      </c>
    </row>
    <row r="33" spans="1:7" x14ac:dyDescent="0.45">
      <c r="A33" s="91" t="s">
        <v>230</v>
      </c>
      <c r="B33" s="91" t="s">
        <v>231</v>
      </c>
      <c r="C33" s="91" t="s">
        <v>232</v>
      </c>
      <c r="D33" s="91" t="s">
        <v>233</v>
      </c>
      <c r="E33" s="91" t="s">
        <v>234</v>
      </c>
      <c r="F33" s="91">
        <v>2011</v>
      </c>
      <c r="G33" s="91">
        <v>7.4664919999999997</v>
      </c>
    </row>
    <row r="34" spans="1:7" x14ac:dyDescent="0.45">
      <c r="A34" s="91" t="s">
        <v>230</v>
      </c>
      <c r="B34" s="91" t="s">
        <v>231</v>
      </c>
      <c r="C34" s="91" t="s">
        <v>232</v>
      </c>
      <c r="D34" s="91" t="s">
        <v>233</v>
      </c>
      <c r="E34" s="91" t="s">
        <v>234</v>
      </c>
      <c r="F34" s="91">
        <v>2012</v>
      </c>
      <c r="G34" s="91">
        <v>7.5641360000000004</v>
      </c>
    </row>
    <row r="35" spans="1:7" x14ac:dyDescent="0.45">
      <c r="A35" s="91" t="s">
        <v>230</v>
      </c>
      <c r="B35" s="91" t="s">
        <v>231</v>
      </c>
      <c r="C35" s="91" t="s">
        <v>232</v>
      </c>
      <c r="D35" s="91" t="s">
        <v>233</v>
      </c>
      <c r="E35" s="91" t="s">
        <v>234</v>
      </c>
      <c r="F35" s="91">
        <v>2013</v>
      </c>
      <c r="G35" s="91">
        <v>7.3548460000000002</v>
      </c>
    </row>
    <row r="36" spans="1:7" x14ac:dyDescent="0.45">
      <c r="A36" s="91" t="s">
        <v>230</v>
      </c>
      <c r="B36" s="91" t="s">
        <v>231</v>
      </c>
      <c r="C36" s="91" t="s">
        <v>232</v>
      </c>
      <c r="D36" s="91" t="s">
        <v>233</v>
      </c>
      <c r="E36" s="91" t="s">
        <v>234</v>
      </c>
      <c r="F36" s="91">
        <v>2014</v>
      </c>
      <c r="G36" s="91">
        <v>7.3286740000000004</v>
      </c>
    </row>
    <row r="37" spans="1:7" x14ac:dyDescent="0.45">
      <c r="A37" s="91" t="s">
        <v>230</v>
      </c>
      <c r="B37" s="91" t="s">
        <v>231</v>
      </c>
      <c r="C37" s="91" t="s">
        <v>232</v>
      </c>
      <c r="D37" s="91" t="s">
        <v>233</v>
      </c>
      <c r="E37" s="91" t="s">
        <v>234</v>
      </c>
      <c r="F37" s="91">
        <v>2015</v>
      </c>
      <c r="G37" s="91">
        <v>7.3033970000000004</v>
      </c>
    </row>
    <row r="38" spans="1:7" x14ac:dyDescent="0.45">
      <c r="A38" s="91" t="s">
        <v>230</v>
      </c>
      <c r="B38" s="91" t="s">
        <v>231</v>
      </c>
      <c r="C38" s="91" t="s">
        <v>232</v>
      </c>
      <c r="D38" s="91" t="s">
        <v>233</v>
      </c>
      <c r="E38" s="91" t="s">
        <v>234</v>
      </c>
      <c r="F38" s="91">
        <v>2016</v>
      </c>
      <c r="G38" s="91">
        <v>7.2327260000000004</v>
      </c>
    </row>
    <row r="39" spans="1:7" x14ac:dyDescent="0.45">
      <c r="A39" s="91" t="s">
        <v>230</v>
      </c>
      <c r="B39" s="91" t="s">
        <v>231</v>
      </c>
      <c r="C39" s="91" t="s">
        <v>232</v>
      </c>
      <c r="D39" s="91" t="s">
        <v>233</v>
      </c>
      <c r="E39" s="91" t="s">
        <v>234</v>
      </c>
      <c r="F39" s="91">
        <v>2017</v>
      </c>
      <c r="G39" s="91">
        <v>6.9506009999999998</v>
      </c>
    </row>
    <row r="40" spans="1:7" x14ac:dyDescent="0.45">
      <c r="A40" s="91" t="s">
        <v>230</v>
      </c>
      <c r="B40" s="91" t="s">
        <v>231</v>
      </c>
      <c r="C40" s="91" t="s">
        <v>232</v>
      </c>
      <c r="D40" s="91" t="s">
        <v>233</v>
      </c>
      <c r="E40" s="91" t="s">
        <v>234</v>
      </c>
      <c r="F40" s="91">
        <v>2018</v>
      </c>
      <c r="G40" s="91">
        <v>6.9587919999999999</v>
      </c>
    </row>
  </sheetData>
  <hyperlinks>
    <hyperlink ref="H1" location="Index" display="Back to Index" xr:uid="{F16BB2CB-EE9A-4957-ABF4-DF8EEB3D4B22}"/>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7175C-6447-44B3-9807-F00E6B09C432}">
  <sheetPr codeName="Sheet35"/>
  <dimension ref="A1:Q51"/>
  <sheetViews>
    <sheetView tabSelected="1" topLeftCell="C1" zoomScaleNormal="100" workbookViewId="0">
      <selection activeCell="H1" sqref="H1"/>
    </sheetView>
  </sheetViews>
  <sheetFormatPr defaultRowHeight="12.75" x14ac:dyDescent="0.35"/>
  <cols>
    <col min="1" max="1" width="9" style="94"/>
    <col min="2" max="2" width="27.125" style="94" customWidth="1"/>
    <col min="3" max="3" width="39.5" style="94" customWidth="1"/>
    <col min="4" max="4" width="25.625" style="94" customWidth="1"/>
    <col min="5" max="5" width="26.625" style="94" customWidth="1"/>
    <col min="6" max="6" width="18.375" style="94" customWidth="1"/>
    <col min="7" max="7" width="17.125" style="94" customWidth="1"/>
    <col min="8" max="8" width="20.125" style="94" customWidth="1"/>
    <col min="9" max="9" width="11.375" style="94" customWidth="1"/>
    <col min="10" max="10" width="13.375" style="94" customWidth="1"/>
    <col min="11" max="11" width="12.75" style="94" customWidth="1"/>
    <col min="12" max="12" width="10.875" style="94" customWidth="1"/>
    <col min="13" max="13" width="8" style="94" customWidth="1"/>
    <col min="14" max="14" width="9" style="94"/>
    <col min="15" max="15" width="24.75" style="94" customWidth="1"/>
    <col min="16" max="257" width="9" style="94"/>
    <col min="258" max="258" width="27.125" style="94" customWidth="1"/>
    <col min="259" max="259" width="39.5" style="94" customWidth="1"/>
    <col min="260" max="260" width="25.625" style="94" customWidth="1"/>
    <col min="261" max="261" width="26.625" style="94" customWidth="1"/>
    <col min="262" max="262" width="18.375" style="94" customWidth="1"/>
    <col min="263" max="269" width="8" style="94" customWidth="1"/>
    <col min="270" max="513" width="9" style="94"/>
    <col min="514" max="514" width="27.125" style="94" customWidth="1"/>
    <col min="515" max="515" width="39.5" style="94" customWidth="1"/>
    <col min="516" max="516" width="25.625" style="94" customWidth="1"/>
    <col min="517" max="517" width="26.625" style="94" customWidth="1"/>
    <col min="518" max="518" width="18.375" style="94" customWidth="1"/>
    <col min="519" max="525" width="8" style="94" customWidth="1"/>
    <col min="526" max="769" width="9" style="94"/>
    <col min="770" max="770" width="27.125" style="94" customWidth="1"/>
    <col min="771" max="771" width="39.5" style="94" customWidth="1"/>
    <col min="772" max="772" width="25.625" style="94" customWidth="1"/>
    <col min="773" max="773" width="26.625" style="94" customWidth="1"/>
    <col min="774" max="774" width="18.375" style="94" customWidth="1"/>
    <col min="775" max="781" width="8" style="94" customWidth="1"/>
    <col min="782" max="1025" width="9" style="94"/>
    <col min="1026" max="1026" width="27.125" style="94" customWidth="1"/>
    <col min="1027" max="1027" width="39.5" style="94" customWidth="1"/>
    <col min="1028" max="1028" width="25.625" style="94" customWidth="1"/>
    <col min="1029" max="1029" width="26.625" style="94" customWidth="1"/>
    <col min="1030" max="1030" width="18.375" style="94" customWidth="1"/>
    <col min="1031" max="1037" width="8" style="94" customWidth="1"/>
    <col min="1038" max="1281" width="9" style="94"/>
    <col min="1282" max="1282" width="27.125" style="94" customWidth="1"/>
    <col min="1283" max="1283" width="39.5" style="94" customWidth="1"/>
    <col min="1284" max="1284" width="25.625" style="94" customWidth="1"/>
    <col min="1285" max="1285" width="26.625" style="94" customWidth="1"/>
    <col min="1286" max="1286" width="18.375" style="94" customWidth="1"/>
    <col min="1287" max="1293" width="8" style="94" customWidth="1"/>
    <col min="1294" max="1537" width="9" style="94"/>
    <col min="1538" max="1538" width="27.125" style="94" customWidth="1"/>
    <col min="1539" max="1539" width="39.5" style="94" customWidth="1"/>
    <col min="1540" max="1540" width="25.625" style="94" customWidth="1"/>
    <col min="1541" max="1541" width="26.625" style="94" customWidth="1"/>
    <col min="1542" max="1542" width="18.375" style="94" customWidth="1"/>
    <col min="1543" max="1549" width="8" style="94" customWidth="1"/>
    <col min="1550" max="1793" width="9" style="94"/>
    <col min="1794" max="1794" width="27.125" style="94" customWidth="1"/>
    <col min="1795" max="1795" width="39.5" style="94" customWidth="1"/>
    <col min="1796" max="1796" width="25.625" style="94" customWidth="1"/>
    <col min="1797" max="1797" width="26.625" style="94" customWidth="1"/>
    <col min="1798" max="1798" width="18.375" style="94" customWidth="1"/>
    <col min="1799" max="1805" width="8" style="94" customWidth="1"/>
    <col min="1806" max="2049" width="9" style="94"/>
    <col min="2050" max="2050" width="27.125" style="94" customWidth="1"/>
    <col min="2051" max="2051" width="39.5" style="94" customWidth="1"/>
    <col min="2052" max="2052" width="25.625" style="94" customWidth="1"/>
    <col min="2053" max="2053" width="26.625" style="94" customWidth="1"/>
    <col min="2054" max="2054" width="18.375" style="94" customWidth="1"/>
    <col min="2055" max="2061" width="8" style="94" customWidth="1"/>
    <col min="2062" max="2305" width="9" style="94"/>
    <col min="2306" max="2306" width="27.125" style="94" customWidth="1"/>
    <col min="2307" max="2307" width="39.5" style="94" customWidth="1"/>
    <col min="2308" max="2308" width="25.625" style="94" customWidth="1"/>
    <col min="2309" max="2309" width="26.625" style="94" customWidth="1"/>
    <col min="2310" max="2310" width="18.375" style="94" customWidth="1"/>
    <col min="2311" max="2317" width="8" style="94" customWidth="1"/>
    <col min="2318" max="2561" width="9" style="94"/>
    <col min="2562" max="2562" width="27.125" style="94" customWidth="1"/>
    <col min="2563" max="2563" width="39.5" style="94" customWidth="1"/>
    <col min="2564" max="2564" width="25.625" style="94" customWidth="1"/>
    <col min="2565" max="2565" width="26.625" style="94" customWidth="1"/>
    <col min="2566" max="2566" width="18.375" style="94" customWidth="1"/>
    <col min="2567" max="2573" width="8" style="94" customWidth="1"/>
    <col min="2574" max="2817" width="9" style="94"/>
    <col min="2818" max="2818" width="27.125" style="94" customWidth="1"/>
    <col min="2819" max="2819" width="39.5" style="94" customWidth="1"/>
    <col min="2820" max="2820" width="25.625" style="94" customWidth="1"/>
    <col min="2821" max="2821" width="26.625" style="94" customWidth="1"/>
    <col min="2822" max="2822" width="18.375" style="94" customWidth="1"/>
    <col min="2823" max="2829" width="8" style="94" customWidth="1"/>
    <col min="2830" max="3073" width="9" style="94"/>
    <col min="3074" max="3074" width="27.125" style="94" customWidth="1"/>
    <col min="3075" max="3075" width="39.5" style="94" customWidth="1"/>
    <col min="3076" max="3076" width="25.625" style="94" customWidth="1"/>
    <col min="3077" max="3077" width="26.625" style="94" customWidth="1"/>
    <col min="3078" max="3078" width="18.375" style="94" customWidth="1"/>
    <col min="3079" max="3085" width="8" style="94" customWidth="1"/>
    <col min="3086" max="3329" width="9" style="94"/>
    <col min="3330" max="3330" width="27.125" style="94" customWidth="1"/>
    <col min="3331" max="3331" width="39.5" style="94" customWidth="1"/>
    <col min="3332" max="3332" width="25.625" style="94" customWidth="1"/>
    <col min="3333" max="3333" width="26.625" style="94" customWidth="1"/>
    <col min="3334" max="3334" width="18.375" style="94" customWidth="1"/>
    <col min="3335" max="3341" width="8" style="94" customWidth="1"/>
    <col min="3342" max="3585" width="9" style="94"/>
    <col min="3586" max="3586" width="27.125" style="94" customWidth="1"/>
    <col min="3587" max="3587" width="39.5" style="94" customWidth="1"/>
    <col min="3588" max="3588" width="25.625" style="94" customWidth="1"/>
    <col min="3589" max="3589" width="26.625" style="94" customWidth="1"/>
    <col min="3590" max="3590" width="18.375" style="94" customWidth="1"/>
    <col min="3591" max="3597" width="8" style="94" customWidth="1"/>
    <col min="3598" max="3841" width="9" style="94"/>
    <col min="3842" max="3842" width="27.125" style="94" customWidth="1"/>
    <col min="3843" max="3843" width="39.5" style="94" customWidth="1"/>
    <col min="3844" max="3844" width="25.625" style="94" customWidth="1"/>
    <col min="3845" max="3845" width="26.625" style="94" customWidth="1"/>
    <col min="3846" max="3846" width="18.375" style="94" customWidth="1"/>
    <col min="3847" max="3853" width="8" style="94" customWidth="1"/>
    <col min="3854" max="4097" width="9" style="94"/>
    <col min="4098" max="4098" width="27.125" style="94" customWidth="1"/>
    <col min="4099" max="4099" width="39.5" style="94" customWidth="1"/>
    <col min="4100" max="4100" width="25.625" style="94" customWidth="1"/>
    <col min="4101" max="4101" width="26.625" style="94" customWidth="1"/>
    <col min="4102" max="4102" width="18.375" style="94" customWidth="1"/>
    <col min="4103" max="4109" width="8" style="94" customWidth="1"/>
    <col min="4110" max="4353" width="9" style="94"/>
    <col min="4354" max="4354" width="27.125" style="94" customWidth="1"/>
    <col min="4355" max="4355" width="39.5" style="94" customWidth="1"/>
    <col min="4356" max="4356" width="25.625" style="94" customWidth="1"/>
    <col min="4357" max="4357" width="26.625" style="94" customWidth="1"/>
    <col min="4358" max="4358" width="18.375" style="94" customWidth="1"/>
    <col min="4359" max="4365" width="8" style="94" customWidth="1"/>
    <col min="4366" max="4609" width="9" style="94"/>
    <col min="4610" max="4610" width="27.125" style="94" customWidth="1"/>
    <col min="4611" max="4611" width="39.5" style="94" customWidth="1"/>
    <col min="4612" max="4612" width="25.625" style="94" customWidth="1"/>
    <col min="4613" max="4613" width="26.625" style="94" customWidth="1"/>
    <col min="4614" max="4614" width="18.375" style="94" customWidth="1"/>
    <col min="4615" max="4621" width="8" style="94" customWidth="1"/>
    <col min="4622" max="4865" width="9" style="94"/>
    <col min="4866" max="4866" width="27.125" style="94" customWidth="1"/>
    <col min="4867" max="4867" width="39.5" style="94" customWidth="1"/>
    <col min="4868" max="4868" width="25.625" style="94" customWidth="1"/>
    <col min="4869" max="4869" width="26.625" style="94" customWidth="1"/>
    <col min="4870" max="4870" width="18.375" style="94" customWidth="1"/>
    <col min="4871" max="4877" width="8" style="94" customWidth="1"/>
    <col min="4878" max="5121" width="9" style="94"/>
    <col min="5122" max="5122" width="27.125" style="94" customWidth="1"/>
    <col min="5123" max="5123" width="39.5" style="94" customWidth="1"/>
    <col min="5124" max="5124" width="25.625" style="94" customWidth="1"/>
    <col min="5125" max="5125" width="26.625" style="94" customWidth="1"/>
    <col min="5126" max="5126" width="18.375" style="94" customWidth="1"/>
    <col min="5127" max="5133" width="8" style="94" customWidth="1"/>
    <col min="5134" max="5377" width="9" style="94"/>
    <col min="5378" max="5378" width="27.125" style="94" customWidth="1"/>
    <col min="5379" max="5379" width="39.5" style="94" customWidth="1"/>
    <col min="5380" max="5380" width="25.625" style="94" customWidth="1"/>
    <col min="5381" max="5381" width="26.625" style="94" customWidth="1"/>
    <col min="5382" max="5382" width="18.375" style="94" customWidth="1"/>
    <col min="5383" max="5389" width="8" style="94" customWidth="1"/>
    <col min="5390" max="5633" width="9" style="94"/>
    <col min="5634" max="5634" width="27.125" style="94" customWidth="1"/>
    <col min="5635" max="5635" width="39.5" style="94" customWidth="1"/>
    <col min="5636" max="5636" width="25.625" style="94" customWidth="1"/>
    <col min="5637" max="5637" width="26.625" style="94" customWidth="1"/>
    <col min="5638" max="5638" width="18.375" style="94" customWidth="1"/>
    <col min="5639" max="5645" width="8" style="94" customWidth="1"/>
    <col min="5646" max="5889" width="9" style="94"/>
    <col min="5890" max="5890" width="27.125" style="94" customWidth="1"/>
    <col min="5891" max="5891" width="39.5" style="94" customWidth="1"/>
    <col min="5892" max="5892" width="25.625" style="94" customWidth="1"/>
    <col min="5893" max="5893" width="26.625" style="94" customWidth="1"/>
    <col min="5894" max="5894" width="18.375" style="94" customWidth="1"/>
    <col min="5895" max="5901" width="8" style="94" customWidth="1"/>
    <col min="5902" max="6145" width="9" style="94"/>
    <col min="6146" max="6146" width="27.125" style="94" customWidth="1"/>
    <col min="6147" max="6147" width="39.5" style="94" customWidth="1"/>
    <col min="6148" max="6148" width="25.625" style="94" customWidth="1"/>
    <col min="6149" max="6149" width="26.625" style="94" customWidth="1"/>
    <col min="6150" max="6150" width="18.375" style="94" customWidth="1"/>
    <col min="6151" max="6157" width="8" style="94" customWidth="1"/>
    <col min="6158" max="6401" width="9" style="94"/>
    <col min="6402" max="6402" width="27.125" style="94" customWidth="1"/>
    <col min="6403" max="6403" width="39.5" style="94" customWidth="1"/>
    <col min="6404" max="6404" width="25.625" style="94" customWidth="1"/>
    <col min="6405" max="6405" width="26.625" style="94" customWidth="1"/>
    <col min="6406" max="6406" width="18.375" style="94" customWidth="1"/>
    <col min="6407" max="6413" width="8" style="94" customWidth="1"/>
    <col min="6414" max="6657" width="9" style="94"/>
    <col min="6658" max="6658" width="27.125" style="94" customWidth="1"/>
    <col min="6659" max="6659" width="39.5" style="94" customWidth="1"/>
    <col min="6660" max="6660" width="25.625" style="94" customWidth="1"/>
    <col min="6661" max="6661" width="26.625" style="94" customWidth="1"/>
    <col min="6662" max="6662" width="18.375" style="94" customWidth="1"/>
    <col min="6663" max="6669" width="8" style="94" customWidth="1"/>
    <col min="6670" max="6913" width="9" style="94"/>
    <col min="6914" max="6914" width="27.125" style="94" customWidth="1"/>
    <col min="6915" max="6915" width="39.5" style="94" customWidth="1"/>
    <col min="6916" max="6916" width="25.625" style="94" customWidth="1"/>
    <col min="6917" max="6917" width="26.625" style="94" customWidth="1"/>
    <col min="6918" max="6918" width="18.375" style="94" customWidth="1"/>
    <col min="6919" max="6925" width="8" style="94" customWidth="1"/>
    <col min="6926" max="7169" width="9" style="94"/>
    <col min="7170" max="7170" width="27.125" style="94" customWidth="1"/>
    <col min="7171" max="7171" width="39.5" style="94" customWidth="1"/>
    <col min="7172" max="7172" width="25.625" style="94" customWidth="1"/>
    <col min="7173" max="7173" width="26.625" style="94" customWidth="1"/>
    <col min="7174" max="7174" width="18.375" style="94" customWidth="1"/>
    <col min="7175" max="7181" width="8" style="94" customWidth="1"/>
    <col min="7182" max="7425" width="9" style="94"/>
    <col min="7426" max="7426" width="27.125" style="94" customWidth="1"/>
    <col min="7427" max="7427" width="39.5" style="94" customWidth="1"/>
    <col min="7428" max="7428" width="25.625" style="94" customWidth="1"/>
    <col min="7429" max="7429" width="26.625" style="94" customWidth="1"/>
    <col min="7430" max="7430" width="18.375" style="94" customWidth="1"/>
    <col min="7431" max="7437" width="8" style="94" customWidth="1"/>
    <col min="7438" max="7681" width="9" style="94"/>
    <col min="7682" max="7682" width="27.125" style="94" customWidth="1"/>
    <col min="7683" max="7683" width="39.5" style="94" customWidth="1"/>
    <col min="7684" max="7684" width="25.625" style="94" customWidth="1"/>
    <col min="7685" max="7685" width="26.625" style="94" customWidth="1"/>
    <col min="7686" max="7686" width="18.375" style="94" customWidth="1"/>
    <col min="7687" max="7693" width="8" style="94" customWidth="1"/>
    <col min="7694" max="7937" width="9" style="94"/>
    <col min="7938" max="7938" width="27.125" style="94" customWidth="1"/>
    <col min="7939" max="7939" width="39.5" style="94" customWidth="1"/>
    <col min="7940" max="7940" width="25.625" style="94" customWidth="1"/>
    <col min="7941" max="7941" width="26.625" style="94" customWidth="1"/>
    <col min="7942" max="7942" width="18.375" style="94" customWidth="1"/>
    <col min="7943" max="7949" width="8" style="94" customWidth="1"/>
    <col min="7950" max="8193" width="9" style="94"/>
    <col min="8194" max="8194" width="27.125" style="94" customWidth="1"/>
    <col min="8195" max="8195" width="39.5" style="94" customWidth="1"/>
    <col min="8196" max="8196" width="25.625" style="94" customWidth="1"/>
    <col min="8197" max="8197" width="26.625" style="94" customWidth="1"/>
    <col min="8198" max="8198" width="18.375" style="94" customWidth="1"/>
    <col min="8199" max="8205" width="8" style="94" customWidth="1"/>
    <col min="8206" max="8449" width="9" style="94"/>
    <col min="8450" max="8450" width="27.125" style="94" customWidth="1"/>
    <col min="8451" max="8451" width="39.5" style="94" customWidth="1"/>
    <col min="8452" max="8452" width="25.625" style="94" customWidth="1"/>
    <col min="8453" max="8453" width="26.625" style="94" customWidth="1"/>
    <col min="8454" max="8454" width="18.375" style="94" customWidth="1"/>
    <col min="8455" max="8461" width="8" style="94" customWidth="1"/>
    <col min="8462" max="8705" width="9" style="94"/>
    <col min="8706" max="8706" width="27.125" style="94" customWidth="1"/>
    <col min="8707" max="8707" width="39.5" style="94" customWidth="1"/>
    <col min="8708" max="8708" width="25.625" style="94" customWidth="1"/>
    <col min="8709" max="8709" width="26.625" style="94" customWidth="1"/>
    <col min="8710" max="8710" width="18.375" style="94" customWidth="1"/>
    <col min="8711" max="8717" width="8" style="94" customWidth="1"/>
    <col min="8718" max="8961" width="9" style="94"/>
    <col min="8962" max="8962" width="27.125" style="94" customWidth="1"/>
    <col min="8963" max="8963" width="39.5" style="94" customWidth="1"/>
    <col min="8964" max="8964" width="25.625" style="94" customWidth="1"/>
    <col min="8965" max="8965" width="26.625" style="94" customWidth="1"/>
    <col min="8966" max="8966" width="18.375" style="94" customWidth="1"/>
    <col min="8967" max="8973" width="8" style="94" customWidth="1"/>
    <col min="8974" max="9217" width="9" style="94"/>
    <col min="9218" max="9218" width="27.125" style="94" customWidth="1"/>
    <col min="9219" max="9219" width="39.5" style="94" customWidth="1"/>
    <col min="9220" max="9220" width="25.625" style="94" customWidth="1"/>
    <col min="9221" max="9221" width="26.625" style="94" customWidth="1"/>
    <col min="9222" max="9222" width="18.375" style="94" customWidth="1"/>
    <col min="9223" max="9229" width="8" style="94" customWidth="1"/>
    <col min="9230" max="9473" width="9" style="94"/>
    <col min="9474" max="9474" width="27.125" style="94" customWidth="1"/>
    <col min="9475" max="9475" width="39.5" style="94" customWidth="1"/>
    <col min="9476" max="9476" width="25.625" style="94" customWidth="1"/>
    <col min="9477" max="9477" width="26.625" style="94" customWidth="1"/>
    <col min="9478" max="9478" width="18.375" style="94" customWidth="1"/>
    <col min="9479" max="9485" width="8" style="94" customWidth="1"/>
    <col min="9486" max="9729" width="9" style="94"/>
    <col min="9730" max="9730" width="27.125" style="94" customWidth="1"/>
    <col min="9731" max="9731" width="39.5" style="94" customWidth="1"/>
    <col min="9732" max="9732" width="25.625" style="94" customWidth="1"/>
    <col min="9733" max="9733" width="26.625" style="94" customWidth="1"/>
    <col min="9734" max="9734" width="18.375" style="94" customWidth="1"/>
    <col min="9735" max="9741" width="8" style="94" customWidth="1"/>
    <col min="9742" max="9985" width="9" style="94"/>
    <col min="9986" max="9986" width="27.125" style="94" customWidth="1"/>
    <col min="9987" max="9987" width="39.5" style="94" customWidth="1"/>
    <col min="9988" max="9988" width="25.625" style="94" customWidth="1"/>
    <col min="9989" max="9989" width="26.625" style="94" customWidth="1"/>
    <col min="9990" max="9990" width="18.375" style="94" customWidth="1"/>
    <col min="9991" max="9997" width="8" style="94" customWidth="1"/>
    <col min="9998" max="10241" width="9" style="94"/>
    <col min="10242" max="10242" width="27.125" style="94" customWidth="1"/>
    <col min="10243" max="10243" width="39.5" style="94" customWidth="1"/>
    <col min="10244" max="10244" width="25.625" style="94" customWidth="1"/>
    <col min="10245" max="10245" width="26.625" style="94" customWidth="1"/>
    <col min="10246" max="10246" width="18.375" style="94" customWidth="1"/>
    <col min="10247" max="10253" width="8" style="94" customWidth="1"/>
    <col min="10254" max="10497" width="9" style="94"/>
    <col min="10498" max="10498" width="27.125" style="94" customWidth="1"/>
    <col min="10499" max="10499" width="39.5" style="94" customWidth="1"/>
    <col min="10500" max="10500" width="25.625" style="94" customWidth="1"/>
    <col min="10501" max="10501" width="26.625" style="94" customWidth="1"/>
    <col min="10502" max="10502" width="18.375" style="94" customWidth="1"/>
    <col min="10503" max="10509" width="8" style="94" customWidth="1"/>
    <col min="10510" max="10753" width="9" style="94"/>
    <col min="10754" max="10754" width="27.125" style="94" customWidth="1"/>
    <col min="10755" max="10755" width="39.5" style="94" customWidth="1"/>
    <col min="10756" max="10756" width="25.625" style="94" customWidth="1"/>
    <col min="10757" max="10757" width="26.625" style="94" customWidth="1"/>
    <col min="10758" max="10758" width="18.375" style="94" customWidth="1"/>
    <col min="10759" max="10765" width="8" style="94" customWidth="1"/>
    <col min="10766" max="11009" width="9" style="94"/>
    <col min="11010" max="11010" width="27.125" style="94" customWidth="1"/>
    <col min="11011" max="11011" width="39.5" style="94" customWidth="1"/>
    <col min="11012" max="11012" width="25.625" style="94" customWidth="1"/>
    <col min="11013" max="11013" width="26.625" style="94" customWidth="1"/>
    <col min="11014" max="11014" width="18.375" style="94" customWidth="1"/>
    <col min="11015" max="11021" width="8" style="94" customWidth="1"/>
    <col min="11022" max="11265" width="9" style="94"/>
    <col min="11266" max="11266" width="27.125" style="94" customWidth="1"/>
    <col min="11267" max="11267" width="39.5" style="94" customWidth="1"/>
    <col min="11268" max="11268" width="25.625" style="94" customWidth="1"/>
    <col min="11269" max="11269" width="26.625" style="94" customWidth="1"/>
    <col min="11270" max="11270" width="18.375" style="94" customWidth="1"/>
    <col min="11271" max="11277" width="8" style="94" customWidth="1"/>
    <col min="11278" max="11521" width="9" style="94"/>
    <col min="11522" max="11522" width="27.125" style="94" customWidth="1"/>
    <col min="11523" max="11523" width="39.5" style="94" customWidth="1"/>
    <col min="11524" max="11524" width="25.625" style="94" customWidth="1"/>
    <col min="11525" max="11525" width="26.625" style="94" customWidth="1"/>
    <col min="11526" max="11526" width="18.375" style="94" customWidth="1"/>
    <col min="11527" max="11533" width="8" style="94" customWidth="1"/>
    <col min="11534" max="11777" width="9" style="94"/>
    <col min="11778" max="11778" width="27.125" style="94" customWidth="1"/>
    <col min="11779" max="11779" width="39.5" style="94" customWidth="1"/>
    <col min="11780" max="11780" width="25.625" style="94" customWidth="1"/>
    <col min="11781" max="11781" width="26.625" style="94" customWidth="1"/>
    <col min="11782" max="11782" width="18.375" style="94" customWidth="1"/>
    <col min="11783" max="11789" width="8" style="94" customWidth="1"/>
    <col min="11790" max="12033" width="9" style="94"/>
    <col min="12034" max="12034" width="27.125" style="94" customWidth="1"/>
    <col min="12035" max="12035" width="39.5" style="94" customWidth="1"/>
    <col min="12036" max="12036" width="25.625" style="94" customWidth="1"/>
    <col min="12037" max="12037" width="26.625" style="94" customWidth="1"/>
    <col min="12038" max="12038" width="18.375" style="94" customWidth="1"/>
    <col min="12039" max="12045" width="8" style="94" customWidth="1"/>
    <col min="12046" max="12289" width="9" style="94"/>
    <col min="12290" max="12290" width="27.125" style="94" customWidth="1"/>
    <col min="12291" max="12291" width="39.5" style="94" customWidth="1"/>
    <col min="12292" max="12292" width="25.625" style="94" customWidth="1"/>
    <col min="12293" max="12293" width="26.625" style="94" customWidth="1"/>
    <col min="12294" max="12294" width="18.375" style="94" customWidth="1"/>
    <col min="12295" max="12301" width="8" style="94" customWidth="1"/>
    <col min="12302" max="12545" width="9" style="94"/>
    <col min="12546" max="12546" width="27.125" style="94" customWidth="1"/>
    <col min="12547" max="12547" width="39.5" style="94" customWidth="1"/>
    <col min="12548" max="12548" width="25.625" style="94" customWidth="1"/>
    <col min="12549" max="12549" width="26.625" style="94" customWidth="1"/>
    <col min="12550" max="12550" width="18.375" style="94" customWidth="1"/>
    <col min="12551" max="12557" width="8" style="94" customWidth="1"/>
    <col min="12558" max="12801" width="9" style="94"/>
    <col min="12802" max="12802" width="27.125" style="94" customWidth="1"/>
    <col min="12803" max="12803" width="39.5" style="94" customWidth="1"/>
    <col min="12804" max="12804" width="25.625" style="94" customWidth="1"/>
    <col min="12805" max="12805" width="26.625" style="94" customWidth="1"/>
    <col min="12806" max="12806" width="18.375" style="94" customWidth="1"/>
    <col min="12807" max="12813" width="8" style="94" customWidth="1"/>
    <col min="12814" max="13057" width="9" style="94"/>
    <col min="13058" max="13058" width="27.125" style="94" customWidth="1"/>
    <col min="13059" max="13059" width="39.5" style="94" customWidth="1"/>
    <col min="13060" max="13060" width="25.625" style="94" customWidth="1"/>
    <col min="13061" max="13061" width="26.625" style="94" customWidth="1"/>
    <col min="13062" max="13062" width="18.375" style="94" customWidth="1"/>
    <col min="13063" max="13069" width="8" style="94" customWidth="1"/>
    <col min="13070" max="13313" width="9" style="94"/>
    <col min="13314" max="13314" width="27.125" style="94" customWidth="1"/>
    <col min="13315" max="13315" width="39.5" style="94" customWidth="1"/>
    <col min="13316" max="13316" width="25.625" style="94" customWidth="1"/>
    <col min="13317" max="13317" width="26.625" style="94" customWidth="1"/>
    <col min="13318" max="13318" width="18.375" style="94" customWidth="1"/>
    <col min="13319" max="13325" width="8" style="94" customWidth="1"/>
    <col min="13326" max="13569" width="9" style="94"/>
    <col min="13570" max="13570" width="27.125" style="94" customWidth="1"/>
    <col min="13571" max="13571" width="39.5" style="94" customWidth="1"/>
    <col min="13572" max="13572" width="25.625" style="94" customWidth="1"/>
    <col min="13573" max="13573" width="26.625" style="94" customWidth="1"/>
    <col min="13574" max="13574" width="18.375" style="94" customWidth="1"/>
    <col min="13575" max="13581" width="8" style="94" customWidth="1"/>
    <col min="13582" max="13825" width="9" style="94"/>
    <col min="13826" max="13826" width="27.125" style="94" customWidth="1"/>
    <col min="13827" max="13827" width="39.5" style="94" customWidth="1"/>
    <col min="13828" max="13828" width="25.625" style="94" customWidth="1"/>
    <col min="13829" max="13829" width="26.625" style="94" customWidth="1"/>
    <col min="13830" max="13830" width="18.375" style="94" customWidth="1"/>
    <col min="13831" max="13837" width="8" style="94" customWidth="1"/>
    <col min="13838" max="14081" width="9" style="94"/>
    <col min="14082" max="14082" width="27.125" style="94" customWidth="1"/>
    <col min="14083" max="14083" width="39.5" style="94" customWidth="1"/>
    <col min="14084" max="14084" width="25.625" style="94" customWidth="1"/>
    <col min="14085" max="14085" width="26.625" style="94" customWidth="1"/>
    <col min="14086" max="14086" width="18.375" style="94" customWidth="1"/>
    <col min="14087" max="14093" width="8" style="94" customWidth="1"/>
    <col min="14094" max="14337" width="9" style="94"/>
    <col min="14338" max="14338" width="27.125" style="94" customWidth="1"/>
    <col min="14339" max="14339" width="39.5" style="94" customWidth="1"/>
    <col min="14340" max="14340" width="25.625" style="94" customWidth="1"/>
    <col min="14341" max="14341" width="26.625" style="94" customWidth="1"/>
    <col min="14342" max="14342" width="18.375" style="94" customWidth="1"/>
    <col min="14343" max="14349" width="8" style="94" customWidth="1"/>
    <col min="14350" max="14593" width="9" style="94"/>
    <col min="14594" max="14594" width="27.125" style="94" customWidth="1"/>
    <col min="14595" max="14595" width="39.5" style="94" customWidth="1"/>
    <col min="14596" max="14596" width="25.625" style="94" customWidth="1"/>
    <col min="14597" max="14597" width="26.625" style="94" customWidth="1"/>
    <col min="14598" max="14598" width="18.375" style="94" customWidth="1"/>
    <col min="14599" max="14605" width="8" style="94" customWidth="1"/>
    <col min="14606" max="14849" width="9" style="94"/>
    <col min="14850" max="14850" width="27.125" style="94" customWidth="1"/>
    <col min="14851" max="14851" width="39.5" style="94" customWidth="1"/>
    <col min="14852" max="14852" width="25.625" style="94" customWidth="1"/>
    <col min="14853" max="14853" width="26.625" style="94" customWidth="1"/>
    <col min="14854" max="14854" width="18.375" style="94" customWidth="1"/>
    <col min="14855" max="14861" width="8" style="94" customWidth="1"/>
    <col min="14862" max="15105" width="9" style="94"/>
    <col min="15106" max="15106" width="27.125" style="94" customWidth="1"/>
    <col min="15107" max="15107" width="39.5" style="94" customWidth="1"/>
    <col min="15108" max="15108" width="25.625" style="94" customWidth="1"/>
    <col min="15109" max="15109" width="26.625" style="94" customWidth="1"/>
    <col min="15110" max="15110" width="18.375" style="94" customWidth="1"/>
    <col min="15111" max="15117" width="8" style="94" customWidth="1"/>
    <col min="15118" max="15361" width="9" style="94"/>
    <col min="15362" max="15362" width="27.125" style="94" customWidth="1"/>
    <col min="15363" max="15363" width="39.5" style="94" customWidth="1"/>
    <col min="15364" max="15364" width="25.625" style="94" customWidth="1"/>
    <col min="15365" max="15365" width="26.625" style="94" customWidth="1"/>
    <col min="15366" max="15366" width="18.375" style="94" customWidth="1"/>
    <col min="15367" max="15373" width="8" style="94" customWidth="1"/>
    <col min="15374" max="15617" width="9" style="94"/>
    <col min="15618" max="15618" width="27.125" style="94" customWidth="1"/>
    <col min="15619" max="15619" width="39.5" style="94" customWidth="1"/>
    <col min="15620" max="15620" width="25.625" style="94" customWidth="1"/>
    <col min="15621" max="15621" width="26.625" style="94" customWidth="1"/>
    <col min="15622" max="15622" width="18.375" style="94" customWidth="1"/>
    <col min="15623" max="15629" width="8" style="94" customWidth="1"/>
    <col min="15630" max="15873" width="9" style="94"/>
    <col min="15874" max="15874" width="27.125" style="94" customWidth="1"/>
    <col min="15875" max="15875" width="39.5" style="94" customWidth="1"/>
    <col min="15876" max="15876" width="25.625" style="94" customWidth="1"/>
    <col min="15877" max="15877" width="26.625" style="94" customWidth="1"/>
    <col min="15878" max="15878" width="18.375" style="94" customWidth="1"/>
    <col min="15879" max="15885" width="8" style="94" customWidth="1"/>
    <col min="15886" max="16129" width="9" style="94"/>
    <col min="16130" max="16130" width="27.125" style="94" customWidth="1"/>
    <col min="16131" max="16131" width="39.5" style="94" customWidth="1"/>
    <col min="16132" max="16132" width="25.625" style="94" customWidth="1"/>
    <col min="16133" max="16133" width="26.625" style="94" customWidth="1"/>
    <col min="16134" max="16134" width="18.375" style="94" customWidth="1"/>
    <col min="16135" max="16141" width="8" style="94" customWidth="1"/>
    <col min="16142" max="16384" width="9" style="94"/>
  </cols>
  <sheetData>
    <row r="1" spans="1:8" ht="15.75" x14ac:dyDescent="0.5">
      <c r="A1" s="93" t="s">
        <v>253</v>
      </c>
      <c r="H1" s="101" t="s">
        <v>543</v>
      </c>
    </row>
    <row r="2" spans="1:8" ht="14.25" x14ac:dyDescent="0.35">
      <c r="A2" s="93" t="s">
        <v>254</v>
      </c>
    </row>
    <row r="3" spans="1:8" ht="14.25" x14ac:dyDescent="0.35">
      <c r="A3" s="93" t="s">
        <v>255</v>
      </c>
    </row>
    <row r="4" spans="1:8" ht="14.25" x14ac:dyDescent="0.35">
      <c r="A4" s="93" t="s">
        <v>256</v>
      </c>
    </row>
    <row r="5" spans="1:8" ht="14.25" x14ac:dyDescent="0.35">
      <c r="A5" s="93" t="s">
        <v>257</v>
      </c>
    </row>
    <row r="6" spans="1:8" ht="14.25" x14ac:dyDescent="0.35">
      <c r="A6" s="93" t="s">
        <v>258</v>
      </c>
    </row>
    <row r="7" spans="1:8" ht="14.25" x14ac:dyDescent="0.35">
      <c r="A7" s="93" t="s">
        <v>259</v>
      </c>
    </row>
    <row r="8" spans="1:8" ht="14.25" x14ac:dyDescent="0.35">
      <c r="A8" s="93" t="s">
        <v>260</v>
      </c>
    </row>
    <row r="9" spans="1:8" ht="14.25" x14ac:dyDescent="0.35">
      <c r="A9" s="93" t="s">
        <v>261</v>
      </c>
    </row>
    <row r="10" spans="1:8" ht="14.25" x14ac:dyDescent="0.35">
      <c r="A10" s="93" t="s">
        <v>262</v>
      </c>
    </row>
    <row r="11" spans="1:8" ht="14.25" x14ac:dyDescent="0.35">
      <c r="A11" s="93" t="s">
        <v>263</v>
      </c>
    </row>
    <row r="12" spans="1:8" ht="14.25" x14ac:dyDescent="0.35">
      <c r="A12" s="93" t="s">
        <v>264</v>
      </c>
    </row>
    <row r="13" spans="1:8" ht="14.25" x14ac:dyDescent="0.35">
      <c r="A13" s="93" t="s">
        <v>265</v>
      </c>
    </row>
    <row r="14" spans="1:8" ht="14.25" x14ac:dyDescent="0.35">
      <c r="A14" s="93" t="s">
        <v>266</v>
      </c>
    </row>
    <row r="15" spans="1:8" ht="14.25" x14ac:dyDescent="0.35">
      <c r="A15" s="93" t="s">
        <v>267</v>
      </c>
    </row>
    <row r="16" spans="1:8" ht="14.25" x14ac:dyDescent="0.35">
      <c r="A16" s="93" t="s">
        <v>268</v>
      </c>
    </row>
    <row r="17" spans="1:17" ht="14.25" x14ac:dyDescent="0.35">
      <c r="A17" s="93" t="s">
        <v>269</v>
      </c>
    </row>
    <row r="18" spans="1:17" ht="14.25" x14ac:dyDescent="0.35">
      <c r="A18" s="93" t="s">
        <v>270</v>
      </c>
    </row>
    <row r="19" spans="1:17" ht="14.25" x14ac:dyDescent="0.35">
      <c r="A19" s="93" t="s">
        <v>271</v>
      </c>
    </row>
    <row r="20" spans="1:17" ht="14.25" x14ac:dyDescent="0.35">
      <c r="A20" s="93" t="s">
        <v>272</v>
      </c>
    </row>
    <row r="21" spans="1:17" ht="14.25" x14ac:dyDescent="0.35">
      <c r="A21" s="93" t="s">
        <v>273</v>
      </c>
    </row>
    <row r="22" spans="1:17" ht="14.25" x14ac:dyDescent="0.35">
      <c r="A22" s="93" t="s">
        <v>274</v>
      </c>
    </row>
    <row r="23" spans="1:17" ht="14.25" x14ac:dyDescent="0.35">
      <c r="A23" s="93" t="s">
        <v>275</v>
      </c>
    </row>
    <row r="25" spans="1:17" ht="14.25" x14ac:dyDescent="0.35">
      <c r="A25" s="93" t="s">
        <v>276</v>
      </c>
    </row>
    <row r="28" spans="1:17" ht="14.25" x14ac:dyDescent="0.35">
      <c r="A28" s="93" t="s">
        <v>277</v>
      </c>
      <c r="B28" s="93" t="s">
        <v>278</v>
      </c>
      <c r="C28" s="93" t="s">
        <v>279</v>
      </c>
      <c r="D28" s="93" t="s">
        <v>280</v>
      </c>
      <c r="E28" s="93" t="s">
        <v>281</v>
      </c>
      <c r="F28" s="93" t="s">
        <v>282</v>
      </c>
      <c r="G28" s="93" t="s">
        <v>283</v>
      </c>
      <c r="H28" s="93" t="s">
        <v>284</v>
      </c>
      <c r="I28" s="93" t="s">
        <v>285</v>
      </c>
      <c r="J28" s="93" t="s">
        <v>286</v>
      </c>
      <c r="K28" s="93" t="s">
        <v>287</v>
      </c>
      <c r="L28" s="93" t="s">
        <v>288</v>
      </c>
      <c r="M28" s="93" t="s">
        <v>289</v>
      </c>
      <c r="O28" s="94" t="s">
        <v>529</v>
      </c>
      <c r="P28" s="94" t="s">
        <v>530</v>
      </c>
      <c r="Q28" s="96" t="s">
        <v>531</v>
      </c>
    </row>
    <row r="29" spans="1:17" ht="14.25" x14ac:dyDescent="0.35">
      <c r="A29" s="93" t="s">
        <v>290</v>
      </c>
      <c r="B29" s="93" t="s">
        <v>291</v>
      </c>
      <c r="C29" s="93" t="s">
        <v>292</v>
      </c>
      <c r="D29" s="93" t="s">
        <v>235</v>
      </c>
      <c r="E29" s="93" t="s">
        <v>293</v>
      </c>
      <c r="F29" s="93" t="s">
        <v>294</v>
      </c>
      <c r="G29" s="93" t="s">
        <v>295</v>
      </c>
      <c r="H29" s="93" t="s">
        <v>296</v>
      </c>
      <c r="I29" s="93" t="s">
        <v>297</v>
      </c>
      <c r="J29" s="93" t="s">
        <v>298</v>
      </c>
      <c r="K29" s="93" t="s">
        <v>299</v>
      </c>
      <c r="L29" s="93" t="s">
        <v>244</v>
      </c>
      <c r="M29" s="93" t="s">
        <v>300</v>
      </c>
      <c r="O29" s="95">
        <f>L29*5/(D29*100)</f>
        <v>9.7368603590327341E-2</v>
      </c>
      <c r="P29" s="95">
        <f>K29*10/(D29*100) - O29</f>
        <v>7.2312554202510454E-2</v>
      </c>
      <c r="Q29" s="95">
        <f>1- K29*10/(D29*100)</f>
        <v>0.83031884220716223</v>
      </c>
    </row>
    <row r="30" spans="1:17" ht="14.25" x14ac:dyDescent="0.35">
      <c r="A30" s="93" t="s">
        <v>290</v>
      </c>
      <c r="B30" s="93" t="s">
        <v>301</v>
      </c>
      <c r="C30" s="93" t="s">
        <v>292</v>
      </c>
      <c r="D30" s="93" t="s">
        <v>236</v>
      </c>
      <c r="E30" s="93" t="s">
        <v>302</v>
      </c>
      <c r="F30" s="93" t="s">
        <v>303</v>
      </c>
      <c r="G30" s="93" t="s">
        <v>304</v>
      </c>
      <c r="H30" s="93" t="s">
        <v>305</v>
      </c>
      <c r="I30" s="93" t="s">
        <v>306</v>
      </c>
      <c r="J30" s="93" t="s">
        <v>307</v>
      </c>
      <c r="K30" s="93" t="s">
        <v>308</v>
      </c>
      <c r="L30" s="93" t="s">
        <v>245</v>
      </c>
      <c r="M30" s="93" t="s">
        <v>309</v>
      </c>
      <c r="O30" s="95">
        <f t="shared" ref="O30:O51" si="0">L30*5/(D30*100)</f>
        <v>0.10026488645119956</v>
      </c>
      <c r="P30" s="95">
        <f t="shared" ref="P30:P51" si="1">K30*10/(D30*100) - O30</f>
        <v>7.4419428352263409E-2</v>
      </c>
      <c r="Q30" s="95">
        <f t="shared" ref="Q30:Q51" si="2">1- K30*10/(D30*100)</f>
        <v>0.82531568519653709</v>
      </c>
    </row>
    <row r="31" spans="1:17" ht="14.25" x14ac:dyDescent="0.35">
      <c r="A31" s="93" t="s">
        <v>290</v>
      </c>
      <c r="B31" s="93" t="s">
        <v>310</v>
      </c>
      <c r="C31" s="93" t="s">
        <v>292</v>
      </c>
      <c r="D31" s="93" t="s">
        <v>237</v>
      </c>
      <c r="E31" s="93" t="s">
        <v>311</v>
      </c>
      <c r="F31" s="93" t="s">
        <v>312</v>
      </c>
      <c r="G31" s="93" t="s">
        <v>313</v>
      </c>
      <c r="H31" s="93" t="s">
        <v>314</v>
      </c>
      <c r="I31" s="93" t="s">
        <v>315</v>
      </c>
      <c r="J31" s="93" t="s">
        <v>316</v>
      </c>
      <c r="K31" s="93" t="s">
        <v>317</v>
      </c>
      <c r="L31" s="93" t="s">
        <v>246</v>
      </c>
      <c r="M31" s="93" t="s">
        <v>318</v>
      </c>
      <c r="O31" s="95">
        <f t="shared" si="0"/>
        <v>0.10140309059310704</v>
      </c>
      <c r="P31" s="95">
        <f t="shared" si="1"/>
        <v>7.3178375836917636E-2</v>
      </c>
      <c r="Q31" s="95">
        <f t="shared" si="2"/>
        <v>0.8254185335699753</v>
      </c>
    </row>
    <row r="32" spans="1:17" ht="14.25" x14ac:dyDescent="0.35">
      <c r="A32" s="93" t="s">
        <v>290</v>
      </c>
      <c r="B32" s="93" t="s">
        <v>319</v>
      </c>
      <c r="C32" s="93" t="s">
        <v>292</v>
      </c>
      <c r="D32" s="93" t="s">
        <v>238</v>
      </c>
      <c r="E32" s="93" t="s">
        <v>320</v>
      </c>
      <c r="F32" s="93" t="s">
        <v>321</v>
      </c>
      <c r="G32" s="93" t="s">
        <v>322</v>
      </c>
      <c r="H32" s="93" t="s">
        <v>323</v>
      </c>
      <c r="I32" s="93" t="s">
        <v>324</v>
      </c>
      <c r="J32" s="93" t="s">
        <v>325</v>
      </c>
      <c r="K32" s="93" t="s">
        <v>326</v>
      </c>
      <c r="L32" s="93" t="s">
        <v>247</v>
      </c>
      <c r="M32" s="93" t="s">
        <v>327</v>
      </c>
      <c r="O32" s="95">
        <f t="shared" si="0"/>
        <v>0.10056859837172899</v>
      </c>
      <c r="P32" s="95">
        <f t="shared" si="1"/>
        <v>7.1140993850552864E-2</v>
      </c>
      <c r="Q32" s="95">
        <f t="shared" si="2"/>
        <v>0.82829040777771812</v>
      </c>
    </row>
    <row r="33" spans="1:17" ht="14.25" x14ac:dyDescent="0.35">
      <c r="A33" s="93" t="s">
        <v>290</v>
      </c>
      <c r="B33" s="93" t="s">
        <v>328</v>
      </c>
      <c r="C33" s="93" t="s">
        <v>292</v>
      </c>
      <c r="D33" s="93" t="s">
        <v>239</v>
      </c>
      <c r="E33" s="93" t="s">
        <v>329</v>
      </c>
      <c r="F33" s="93" t="s">
        <v>330</v>
      </c>
      <c r="G33" s="93" t="s">
        <v>331</v>
      </c>
      <c r="H33" s="93" t="s">
        <v>332</v>
      </c>
      <c r="I33" s="93" t="s">
        <v>333</v>
      </c>
      <c r="J33" s="93" t="s">
        <v>334</v>
      </c>
      <c r="K33" s="93" t="s">
        <v>335</v>
      </c>
      <c r="L33" s="93" t="s">
        <v>248</v>
      </c>
      <c r="M33" s="93" t="s">
        <v>336</v>
      </c>
      <c r="O33" s="95">
        <f t="shared" si="0"/>
        <v>0.10044009510652063</v>
      </c>
      <c r="P33" s="95">
        <f t="shared" si="1"/>
        <v>7.1987394251428527E-2</v>
      </c>
      <c r="Q33" s="95">
        <f t="shared" si="2"/>
        <v>0.82757251064205084</v>
      </c>
    </row>
    <row r="34" spans="1:17" ht="14.25" x14ac:dyDescent="0.35">
      <c r="A34" s="93" t="s">
        <v>290</v>
      </c>
      <c r="B34" s="93" t="s">
        <v>337</v>
      </c>
      <c r="C34" s="93" t="s">
        <v>292</v>
      </c>
      <c r="D34" s="93" t="s">
        <v>240</v>
      </c>
      <c r="E34" s="93" t="s">
        <v>338</v>
      </c>
      <c r="F34" s="93" t="s">
        <v>339</v>
      </c>
      <c r="G34" s="93" t="s">
        <v>340</v>
      </c>
      <c r="H34" s="93" t="s">
        <v>341</v>
      </c>
      <c r="I34" s="93" t="s">
        <v>342</v>
      </c>
      <c r="J34" s="93" t="s">
        <v>343</v>
      </c>
      <c r="K34" s="93" t="s">
        <v>344</v>
      </c>
      <c r="L34" s="93" t="s">
        <v>249</v>
      </c>
      <c r="M34" s="93" t="s">
        <v>345</v>
      </c>
      <c r="O34" s="95">
        <f t="shared" si="0"/>
        <v>9.9370863054435224E-2</v>
      </c>
      <c r="P34" s="95">
        <f t="shared" si="1"/>
        <v>7.0331540849250404E-2</v>
      </c>
      <c r="Q34" s="95">
        <f t="shared" si="2"/>
        <v>0.83029759609631437</v>
      </c>
    </row>
    <row r="35" spans="1:17" ht="14.25" x14ac:dyDescent="0.35">
      <c r="A35" s="93" t="s">
        <v>290</v>
      </c>
      <c r="B35" s="93" t="s">
        <v>346</v>
      </c>
      <c r="C35" s="93" t="s">
        <v>292</v>
      </c>
      <c r="D35" s="93" t="s">
        <v>241</v>
      </c>
      <c r="E35" s="93" t="s">
        <v>347</v>
      </c>
      <c r="F35" s="93" t="s">
        <v>348</v>
      </c>
      <c r="G35" s="93" t="s">
        <v>349</v>
      </c>
      <c r="H35" s="93" t="s">
        <v>350</v>
      </c>
      <c r="I35" s="93" t="s">
        <v>351</v>
      </c>
      <c r="J35" s="93" t="s">
        <v>352</v>
      </c>
      <c r="K35" s="93" t="s">
        <v>353</v>
      </c>
      <c r="L35" s="93" t="s">
        <v>250</v>
      </c>
      <c r="M35" s="93" t="s">
        <v>354</v>
      </c>
      <c r="O35" s="95">
        <f t="shared" si="0"/>
        <v>0.10119977986453779</v>
      </c>
      <c r="P35" s="95">
        <f t="shared" si="1"/>
        <v>6.9882872087297293E-2</v>
      </c>
      <c r="Q35" s="95">
        <f t="shared" si="2"/>
        <v>0.82891734804816486</v>
      </c>
    </row>
    <row r="36" spans="1:17" ht="14.25" x14ac:dyDescent="0.35">
      <c r="A36" s="93" t="s">
        <v>290</v>
      </c>
      <c r="B36" s="93" t="s">
        <v>355</v>
      </c>
      <c r="C36" s="93" t="s">
        <v>292</v>
      </c>
      <c r="D36" s="93" t="s">
        <v>242</v>
      </c>
      <c r="E36" s="93" t="s">
        <v>356</v>
      </c>
      <c r="F36" s="93" t="s">
        <v>357</v>
      </c>
      <c r="G36" s="93" t="s">
        <v>358</v>
      </c>
      <c r="H36" s="93" t="s">
        <v>359</v>
      </c>
      <c r="I36" s="93" t="s">
        <v>360</v>
      </c>
      <c r="J36" s="93" t="s">
        <v>361</v>
      </c>
      <c r="K36" s="93" t="s">
        <v>362</v>
      </c>
      <c r="L36" s="93" t="s">
        <v>251</v>
      </c>
      <c r="M36" s="93" t="s">
        <v>363</v>
      </c>
      <c r="O36" s="95">
        <f t="shared" si="0"/>
        <v>0.10400020903357912</v>
      </c>
      <c r="P36" s="95">
        <f t="shared" si="1"/>
        <v>7.1140237102693266E-2</v>
      </c>
      <c r="Q36" s="95">
        <f t="shared" si="2"/>
        <v>0.82485955386372756</v>
      </c>
    </row>
    <row r="37" spans="1:17" ht="14.25" x14ac:dyDescent="0.35">
      <c r="A37" s="93" t="s">
        <v>290</v>
      </c>
      <c r="B37" s="93" t="s">
        <v>364</v>
      </c>
      <c r="C37" s="93" t="s">
        <v>292</v>
      </c>
      <c r="D37" s="93" t="s">
        <v>365</v>
      </c>
      <c r="E37" s="93" t="s">
        <v>366</v>
      </c>
      <c r="F37" s="93" t="s">
        <v>367</v>
      </c>
      <c r="G37" s="93" t="s">
        <v>368</v>
      </c>
      <c r="H37" s="93" t="s">
        <v>369</v>
      </c>
      <c r="I37" s="93" t="s">
        <v>370</v>
      </c>
      <c r="J37" s="93" t="s">
        <v>371</v>
      </c>
      <c r="K37" s="93" t="s">
        <v>372</v>
      </c>
      <c r="L37" s="93" t="s">
        <v>373</v>
      </c>
      <c r="M37" s="93" t="s">
        <v>374</v>
      </c>
      <c r="O37" s="95">
        <f t="shared" si="0"/>
        <v>0.11920040262597879</v>
      </c>
      <c r="P37" s="95">
        <f t="shared" si="1"/>
        <v>5.2535649008106575E-2</v>
      </c>
      <c r="Q37" s="95">
        <f t="shared" si="2"/>
        <v>0.82826394836591466</v>
      </c>
    </row>
    <row r="38" spans="1:17" ht="14.25" x14ac:dyDescent="0.35">
      <c r="A38" s="93" t="s">
        <v>290</v>
      </c>
      <c r="B38" s="93" t="s">
        <v>375</v>
      </c>
      <c r="C38" s="93" t="s">
        <v>292</v>
      </c>
      <c r="D38" s="93" t="s">
        <v>376</v>
      </c>
      <c r="E38" s="93" t="s">
        <v>377</v>
      </c>
      <c r="F38" s="93" t="s">
        <v>378</v>
      </c>
      <c r="G38" s="93" t="s">
        <v>379</v>
      </c>
      <c r="H38" s="93" t="s">
        <v>380</v>
      </c>
      <c r="I38" s="93" t="s">
        <v>381</v>
      </c>
      <c r="J38" s="93" t="s">
        <v>382</v>
      </c>
      <c r="K38" s="93" t="s">
        <v>383</v>
      </c>
      <c r="L38" s="93" t="s">
        <v>384</v>
      </c>
      <c r="M38" s="93" t="s">
        <v>385</v>
      </c>
      <c r="O38" s="95">
        <f t="shared" si="0"/>
        <v>9.7328556411292372E-2</v>
      </c>
      <c r="P38" s="95">
        <f t="shared" si="1"/>
        <v>7.4739851404306057E-2</v>
      </c>
      <c r="Q38" s="95">
        <f t="shared" si="2"/>
        <v>0.8279315921844016</v>
      </c>
    </row>
    <row r="39" spans="1:17" ht="14.25" x14ac:dyDescent="0.35">
      <c r="A39" s="93" t="s">
        <v>290</v>
      </c>
      <c r="B39" s="93" t="s">
        <v>386</v>
      </c>
      <c r="C39" s="93" t="s">
        <v>292</v>
      </c>
      <c r="D39" s="93" t="s">
        <v>387</v>
      </c>
      <c r="E39" s="93" t="s">
        <v>388</v>
      </c>
      <c r="F39" s="93" t="s">
        <v>389</v>
      </c>
      <c r="G39" s="93" t="s">
        <v>390</v>
      </c>
      <c r="H39" s="93" t="s">
        <v>391</v>
      </c>
      <c r="I39" s="93" t="s">
        <v>392</v>
      </c>
      <c r="J39" s="93" t="s">
        <v>393</v>
      </c>
      <c r="K39" s="93" t="s">
        <v>394</v>
      </c>
      <c r="L39" s="93" t="s">
        <v>395</v>
      </c>
      <c r="M39" s="93" t="s">
        <v>396</v>
      </c>
      <c r="O39" s="95">
        <f t="shared" si="0"/>
        <v>0.11552021738783944</v>
      </c>
      <c r="P39" s="95">
        <f t="shared" si="1"/>
        <v>8.1822048306789796E-2</v>
      </c>
      <c r="Q39" s="95">
        <f t="shared" si="2"/>
        <v>0.8026577343053708</v>
      </c>
    </row>
    <row r="40" spans="1:17" ht="14.25" x14ac:dyDescent="0.35">
      <c r="A40" s="93" t="s">
        <v>290</v>
      </c>
      <c r="B40" s="93" t="s">
        <v>397</v>
      </c>
      <c r="C40" s="93" t="s">
        <v>292</v>
      </c>
      <c r="D40" s="93" t="s">
        <v>398</v>
      </c>
      <c r="E40" s="93" t="s">
        <v>399</v>
      </c>
      <c r="F40" s="93" t="s">
        <v>400</v>
      </c>
      <c r="G40" s="93" t="s">
        <v>401</v>
      </c>
      <c r="H40" s="93" t="s">
        <v>402</v>
      </c>
      <c r="I40" s="93" t="s">
        <v>403</v>
      </c>
      <c r="J40" s="93" t="s">
        <v>404</v>
      </c>
      <c r="K40" s="93" t="s">
        <v>405</v>
      </c>
      <c r="L40" s="93" t="s">
        <v>406</v>
      </c>
      <c r="M40" s="93" t="s">
        <v>407</v>
      </c>
      <c r="O40" s="95">
        <f t="shared" si="0"/>
        <v>0.10789460563322217</v>
      </c>
      <c r="P40" s="95">
        <f t="shared" si="1"/>
        <v>7.5649083302959386E-2</v>
      </c>
      <c r="Q40" s="95">
        <f t="shared" si="2"/>
        <v>0.81645631106381844</v>
      </c>
    </row>
    <row r="41" spans="1:17" ht="14.25" x14ac:dyDescent="0.35">
      <c r="A41" s="93" t="s">
        <v>290</v>
      </c>
      <c r="B41" s="93" t="s">
        <v>408</v>
      </c>
      <c r="C41" s="93" t="s">
        <v>292</v>
      </c>
      <c r="D41" s="93" t="s">
        <v>409</v>
      </c>
      <c r="E41" s="93" t="s">
        <v>410</v>
      </c>
      <c r="F41" s="93" t="s">
        <v>411</v>
      </c>
      <c r="G41" s="93" t="s">
        <v>412</v>
      </c>
      <c r="H41" s="93" t="s">
        <v>413</v>
      </c>
      <c r="I41" s="93" t="s">
        <v>414</v>
      </c>
      <c r="J41" s="93" t="s">
        <v>415</v>
      </c>
      <c r="K41" s="93" t="s">
        <v>416</v>
      </c>
      <c r="L41" s="93" t="s">
        <v>417</v>
      </c>
      <c r="M41" s="93" t="s">
        <v>418</v>
      </c>
      <c r="O41" s="95">
        <f t="shared" si="0"/>
        <v>0.10527674971638988</v>
      </c>
      <c r="P41" s="95">
        <f t="shared" si="1"/>
        <v>7.326620608246838E-2</v>
      </c>
      <c r="Q41" s="95">
        <f t="shared" si="2"/>
        <v>0.82145704420114174</v>
      </c>
    </row>
    <row r="42" spans="1:17" ht="14.25" x14ac:dyDescent="0.35">
      <c r="A42" s="93" t="s">
        <v>290</v>
      </c>
      <c r="B42" s="93" t="s">
        <v>419</v>
      </c>
      <c r="C42" s="93" t="s">
        <v>292</v>
      </c>
      <c r="D42" s="93" t="s">
        <v>420</v>
      </c>
      <c r="E42" s="93" t="s">
        <v>421</v>
      </c>
      <c r="F42" s="93" t="s">
        <v>422</v>
      </c>
      <c r="G42" s="93" t="s">
        <v>423</v>
      </c>
      <c r="H42" s="93" t="s">
        <v>424</v>
      </c>
      <c r="I42" s="93" t="s">
        <v>425</v>
      </c>
      <c r="J42" s="93" t="s">
        <v>426</v>
      </c>
      <c r="K42" s="93" t="s">
        <v>427</v>
      </c>
      <c r="L42" s="93" t="s">
        <v>428</v>
      </c>
      <c r="M42" s="93" t="s">
        <v>429</v>
      </c>
      <c r="O42" s="95">
        <f t="shared" si="0"/>
        <v>0.10456174670305231</v>
      </c>
      <c r="P42" s="95">
        <f t="shared" si="1"/>
        <v>7.2205331167675538E-2</v>
      </c>
      <c r="Q42" s="95">
        <f t="shared" si="2"/>
        <v>0.82323292212927213</v>
      </c>
    </row>
    <row r="43" spans="1:17" ht="14.25" x14ac:dyDescent="0.35">
      <c r="A43" s="93" t="s">
        <v>290</v>
      </c>
      <c r="B43" s="93" t="s">
        <v>430</v>
      </c>
      <c r="C43" s="93" t="s">
        <v>292</v>
      </c>
      <c r="D43" s="93" t="s">
        <v>431</v>
      </c>
      <c r="E43" s="93" t="s">
        <v>432</v>
      </c>
      <c r="F43" s="93" t="s">
        <v>433</v>
      </c>
      <c r="G43" s="93" t="s">
        <v>434</v>
      </c>
      <c r="H43" s="93" t="s">
        <v>435</v>
      </c>
      <c r="I43" s="93" t="s">
        <v>436</v>
      </c>
      <c r="J43" s="93" t="s">
        <v>437</v>
      </c>
      <c r="K43" s="93" t="s">
        <v>438</v>
      </c>
      <c r="L43" s="93" t="s">
        <v>439</v>
      </c>
      <c r="M43" s="93" t="s">
        <v>440</v>
      </c>
      <c r="O43" s="95">
        <f t="shared" si="0"/>
        <v>0.10621890727596274</v>
      </c>
      <c r="P43" s="95">
        <f t="shared" si="1"/>
        <v>7.2427131515261686E-2</v>
      </c>
      <c r="Q43" s="95">
        <f t="shared" si="2"/>
        <v>0.82135396120877557</v>
      </c>
    </row>
    <row r="44" spans="1:17" ht="14.25" x14ac:dyDescent="0.35">
      <c r="A44" s="93" t="s">
        <v>290</v>
      </c>
      <c r="B44" s="93" t="s">
        <v>441</v>
      </c>
      <c r="C44" s="93" t="s">
        <v>292</v>
      </c>
      <c r="D44" s="93" t="s">
        <v>442</v>
      </c>
      <c r="E44" s="93" t="s">
        <v>443</v>
      </c>
      <c r="F44" s="93" t="s">
        <v>444</v>
      </c>
      <c r="G44" s="93" t="s">
        <v>445</v>
      </c>
      <c r="H44" s="93" t="s">
        <v>446</v>
      </c>
      <c r="I44" s="93" t="s">
        <v>447</v>
      </c>
      <c r="J44" s="93" t="s">
        <v>448</v>
      </c>
      <c r="K44" s="93" t="s">
        <v>449</v>
      </c>
      <c r="L44" s="93" t="s">
        <v>450</v>
      </c>
      <c r="M44" s="93" t="s">
        <v>451</v>
      </c>
      <c r="O44" s="95">
        <f t="shared" si="0"/>
        <v>0.10731380287831702</v>
      </c>
      <c r="P44" s="95">
        <f t="shared" si="1"/>
        <v>7.1965993226109831E-2</v>
      </c>
      <c r="Q44" s="95">
        <f t="shared" si="2"/>
        <v>0.82072020389557321</v>
      </c>
    </row>
    <row r="45" spans="1:17" ht="14.25" x14ac:dyDescent="0.35">
      <c r="A45" s="93" t="s">
        <v>290</v>
      </c>
      <c r="B45" s="93" t="s">
        <v>452</v>
      </c>
      <c r="C45" s="93" t="s">
        <v>292</v>
      </c>
      <c r="D45" s="93" t="s">
        <v>453</v>
      </c>
      <c r="E45" s="93" t="s">
        <v>454</v>
      </c>
      <c r="F45" s="93" t="s">
        <v>455</v>
      </c>
      <c r="G45" s="93" t="s">
        <v>456</v>
      </c>
      <c r="H45" s="93" t="s">
        <v>457</v>
      </c>
      <c r="I45" s="93" t="s">
        <v>458</v>
      </c>
      <c r="J45" s="93" t="s">
        <v>459</v>
      </c>
      <c r="K45" s="93" t="s">
        <v>460</v>
      </c>
      <c r="L45" s="93" t="s">
        <v>461</v>
      </c>
      <c r="M45" s="93" t="s">
        <v>462</v>
      </c>
      <c r="O45" s="95">
        <f t="shared" si="0"/>
        <v>0.10722779395369292</v>
      </c>
      <c r="P45" s="95">
        <f t="shared" si="1"/>
        <v>7.1046382999310487E-2</v>
      </c>
      <c r="Q45" s="95">
        <f t="shared" si="2"/>
        <v>0.8217258230469966</v>
      </c>
    </row>
    <row r="46" spans="1:17" ht="14.25" x14ac:dyDescent="0.35">
      <c r="A46" s="93" t="s">
        <v>290</v>
      </c>
      <c r="B46" s="93" t="s">
        <v>463</v>
      </c>
      <c r="C46" s="93" t="s">
        <v>292</v>
      </c>
      <c r="D46" s="93" t="s">
        <v>464</v>
      </c>
      <c r="E46" s="93" t="s">
        <v>465</v>
      </c>
      <c r="F46" s="93" t="s">
        <v>466</v>
      </c>
      <c r="G46" s="93" t="s">
        <v>467</v>
      </c>
      <c r="H46" s="93" t="s">
        <v>468</v>
      </c>
      <c r="I46" s="93" t="s">
        <v>469</v>
      </c>
      <c r="J46" s="93" t="s">
        <v>470</v>
      </c>
      <c r="K46" s="93" t="s">
        <v>471</v>
      </c>
      <c r="L46" s="93" t="s">
        <v>472</v>
      </c>
      <c r="M46" s="93" t="s">
        <v>473</v>
      </c>
      <c r="O46" s="95">
        <f t="shared" si="0"/>
        <v>0.12530653963318122</v>
      </c>
      <c r="P46" s="95">
        <f t="shared" si="1"/>
        <v>8.3154475497779712E-2</v>
      </c>
      <c r="Q46" s="95">
        <f t="shared" si="2"/>
        <v>0.79153898486903906</v>
      </c>
    </row>
    <row r="47" spans="1:17" ht="14.25" x14ac:dyDescent="0.35">
      <c r="A47" s="93" t="s">
        <v>290</v>
      </c>
      <c r="B47" s="93" t="s">
        <v>474</v>
      </c>
      <c r="C47" s="93" t="s">
        <v>292</v>
      </c>
      <c r="D47" s="93" t="s">
        <v>475</v>
      </c>
      <c r="E47" s="93" t="s">
        <v>476</v>
      </c>
      <c r="F47" s="93" t="s">
        <v>477</v>
      </c>
      <c r="G47" s="93" t="s">
        <v>478</v>
      </c>
      <c r="H47" s="93" t="s">
        <v>479</v>
      </c>
      <c r="I47" s="93" t="s">
        <v>480</v>
      </c>
      <c r="J47" s="93" t="s">
        <v>481</v>
      </c>
      <c r="K47" s="93" t="s">
        <v>482</v>
      </c>
      <c r="L47" s="93" t="s">
        <v>483</v>
      </c>
      <c r="M47" s="93" t="s">
        <v>484</v>
      </c>
      <c r="O47" s="95">
        <f t="shared" si="0"/>
        <v>0.10520198015032629</v>
      </c>
      <c r="P47" s="95">
        <f t="shared" si="1"/>
        <v>7.3360605120871794E-2</v>
      </c>
      <c r="Q47" s="95">
        <f t="shared" si="2"/>
        <v>0.82143741472880194</v>
      </c>
    </row>
    <row r="48" spans="1:17" ht="14.25" x14ac:dyDescent="0.35">
      <c r="A48" s="93" t="s">
        <v>290</v>
      </c>
      <c r="B48" s="93" t="s">
        <v>485</v>
      </c>
      <c r="C48" s="93" t="s">
        <v>292</v>
      </c>
      <c r="D48" s="93" t="s">
        <v>486</v>
      </c>
      <c r="E48" s="93" t="s">
        <v>487</v>
      </c>
      <c r="F48" s="93" t="s">
        <v>488</v>
      </c>
      <c r="G48" s="93" t="s">
        <v>489</v>
      </c>
      <c r="H48" s="93" t="s">
        <v>490</v>
      </c>
      <c r="I48" s="93" t="s">
        <v>491</v>
      </c>
      <c r="J48" s="93" t="s">
        <v>492</v>
      </c>
      <c r="K48" s="93" t="s">
        <v>493</v>
      </c>
      <c r="L48" s="93" t="s">
        <v>494</v>
      </c>
      <c r="M48" s="93" t="s">
        <v>495</v>
      </c>
      <c r="O48" s="95">
        <f t="shared" si="0"/>
        <v>0.11007848220003177</v>
      </c>
      <c r="P48" s="95">
        <f t="shared" si="1"/>
        <v>7.2654560898501336E-2</v>
      </c>
      <c r="Q48" s="95">
        <f t="shared" si="2"/>
        <v>0.81726695690146689</v>
      </c>
    </row>
    <row r="49" spans="1:17" ht="14.25" x14ac:dyDescent="0.35">
      <c r="A49" s="93" t="s">
        <v>290</v>
      </c>
      <c r="B49" s="93" t="s">
        <v>496</v>
      </c>
      <c r="C49" s="93" t="s">
        <v>292</v>
      </c>
      <c r="D49" s="93" t="s">
        <v>497</v>
      </c>
      <c r="E49" s="93" t="s">
        <v>498</v>
      </c>
      <c r="F49" s="93" t="s">
        <v>499</v>
      </c>
      <c r="G49" s="93" t="s">
        <v>500</v>
      </c>
      <c r="H49" s="93" t="s">
        <v>501</v>
      </c>
      <c r="I49" s="93" t="s">
        <v>502</v>
      </c>
      <c r="J49" s="93" t="s">
        <v>503</v>
      </c>
      <c r="K49" s="93" t="s">
        <v>504</v>
      </c>
      <c r="L49" s="93" t="s">
        <v>505</v>
      </c>
      <c r="M49" s="93" t="s">
        <v>506</v>
      </c>
      <c r="O49" s="95">
        <f t="shared" si="0"/>
        <v>0.11065732242465048</v>
      </c>
      <c r="P49" s="95">
        <f t="shared" si="1"/>
        <v>7.2575130977671681E-2</v>
      </c>
      <c r="Q49" s="95">
        <f t="shared" si="2"/>
        <v>0.81676754659767781</v>
      </c>
    </row>
    <row r="50" spans="1:17" ht="14.25" x14ac:dyDescent="0.35">
      <c r="A50" s="93" t="s">
        <v>290</v>
      </c>
      <c r="B50" s="93" t="s">
        <v>507</v>
      </c>
      <c r="C50" s="93" t="s">
        <v>292</v>
      </c>
      <c r="D50" s="93" t="s">
        <v>508</v>
      </c>
      <c r="E50" s="93" t="s">
        <v>509</v>
      </c>
      <c r="F50" s="93" t="s">
        <v>510</v>
      </c>
      <c r="G50" s="93" t="s">
        <v>511</v>
      </c>
      <c r="H50" s="93" t="s">
        <v>512</v>
      </c>
      <c r="I50" s="93" t="s">
        <v>513</v>
      </c>
      <c r="J50" s="93" t="s">
        <v>514</v>
      </c>
      <c r="K50" s="93" t="s">
        <v>515</v>
      </c>
      <c r="L50" s="93" t="s">
        <v>516</v>
      </c>
      <c r="M50" s="93" t="s">
        <v>517</v>
      </c>
      <c r="O50" s="95">
        <f t="shared" si="0"/>
        <v>0.10891303577408411</v>
      </c>
      <c r="P50" s="95">
        <f t="shared" si="1"/>
        <v>6.9857667742842536E-2</v>
      </c>
      <c r="Q50" s="95">
        <f t="shared" si="2"/>
        <v>0.82122929648307341</v>
      </c>
    </row>
    <row r="51" spans="1:17" ht="14.25" x14ac:dyDescent="0.35">
      <c r="A51" s="93" t="s">
        <v>290</v>
      </c>
      <c r="B51" s="93" t="s">
        <v>518</v>
      </c>
      <c r="C51" s="93" t="s">
        <v>292</v>
      </c>
      <c r="D51" s="93" t="s">
        <v>519</v>
      </c>
      <c r="E51" s="93" t="s">
        <v>520</v>
      </c>
      <c r="F51" s="93" t="s">
        <v>521</v>
      </c>
      <c r="G51" s="93" t="s">
        <v>522</v>
      </c>
      <c r="H51" s="93" t="s">
        <v>523</v>
      </c>
      <c r="I51" s="93" t="s">
        <v>524</v>
      </c>
      <c r="J51" s="93" t="s">
        <v>525</v>
      </c>
      <c r="K51" s="93" t="s">
        <v>526</v>
      </c>
      <c r="L51" s="93" t="s">
        <v>527</v>
      </c>
      <c r="M51" s="93" t="s">
        <v>528</v>
      </c>
      <c r="O51" s="95">
        <f t="shared" si="0"/>
        <v>0.10722140087439959</v>
      </c>
      <c r="P51" s="95">
        <f t="shared" si="1"/>
        <v>6.8355219797899061E-2</v>
      </c>
      <c r="Q51" s="95">
        <f t="shared" si="2"/>
        <v>0.82442337932770138</v>
      </c>
    </row>
  </sheetData>
  <hyperlinks>
    <hyperlink ref="H1" location="Index" display="Back to Index" xr:uid="{0175483B-60A2-4800-B97B-149353EBF507}"/>
  </hyperlinks>
  <pageMargins left="0.75" right="0.75" top="1" bottom="1" header="0.5" footer="0.5"/>
  <pageSetup paperSize="9" firstPageNumber="0" fitToWidth="0" fitToHeight="0" pageOrder="overThenDown" orientation="portrait" horizontalDpi="300" verticalDpi="3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35</vt:i4>
      </vt:variant>
    </vt:vector>
  </HeadingPairs>
  <TitlesOfParts>
    <vt:vector size="70" baseType="lpstr">
      <vt:lpstr>Index</vt:lpstr>
      <vt:lpstr>CPI</vt:lpstr>
      <vt:lpstr>Data</vt:lpstr>
      <vt:lpstr>Metadata</vt:lpstr>
      <vt:lpstr>Minimum Deflation Total</vt:lpstr>
      <vt:lpstr>Norway Model Year by Year</vt:lpstr>
      <vt:lpstr>Wealth Growth Norway</vt:lpstr>
      <vt:lpstr>Sweden Model Year by Year</vt:lpstr>
      <vt:lpstr>Wealth Growth Sweden</vt:lpstr>
      <vt:lpstr>Denmark Labor Year by Year Thre</vt:lpstr>
      <vt:lpstr>Denmark Model Year by Year</vt:lpstr>
      <vt:lpstr>Wealth Growth Denmark</vt:lpstr>
      <vt:lpstr>France Labor Year by Year Thre</vt:lpstr>
      <vt:lpstr>France Cpital Year by Year Thre</vt:lpstr>
      <vt:lpstr>France Model Year by Year</vt:lpstr>
      <vt:lpstr>Wealth Growth USA from real</vt:lpstr>
      <vt:lpstr>Wealth Growth USA</vt:lpstr>
      <vt:lpstr>USA Labor Year by Year Thres</vt:lpstr>
      <vt:lpstr>USA Labor Year by Year Max Avg</vt:lpstr>
      <vt:lpstr>USA Cpital Year by Year Thres</vt:lpstr>
      <vt:lpstr>USA Capital Year by Year Avg</vt:lpstr>
      <vt:lpstr>Top 1% Labor Share</vt:lpstr>
      <vt:lpstr>Top 1% Labor Share MetaData</vt:lpstr>
      <vt:lpstr>Top 10% Labor Share</vt:lpstr>
      <vt:lpstr>Top 10% Labor Share MetaData</vt:lpstr>
      <vt:lpstr>Bottom 90% Labor Share</vt:lpstr>
      <vt:lpstr>Bottom 90% Labor Share Meta</vt:lpstr>
      <vt:lpstr>Average Labor Income</vt:lpstr>
      <vt:lpstr>Average Labor Income meta</vt:lpstr>
      <vt:lpstr>99.9% Threshold Labor</vt:lpstr>
      <vt:lpstr>99.9% Threshold Labor Meta</vt:lpstr>
      <vt:lpstr>99.9% Average Labor</vt:lpstr>
      <vt:lpstr>99.9% Average Labor meta</vt:lpstr>
      <vt:lpstr>DNK to PPP</vt:lpstr>
      <vt:lpstr>Lissy webtabulator</vt:lpstr>
      <vt:lpstr>Index</vt:lpstr>
      <vt:lpstr>Start10</vt:lpstr>
      <vt:lpstr>Start11</vt:lpstr>
      <vt:lpstr>Start12</vt:lpstr>
      <vt:lpstr>Start13</vt:lpstr>
      <vt:lpstr>Start14</vt:lpstr>
      <vt:lpstr>Start15</vt:lpstr>
      <vt:lpstr>Start16</vt:lpstr>
      <vt:lpstr>Start17</vt:lpstr>
      <vt:lpstr>Start18</vt:lpstr>
      <vt:lpstr>Start19</vt:lpstr>
      <vt:lpstr>Start2</vt:lpstr>
      <vt:lpstr>Start20</vt:lpstr>
      <vt:lpstr>Start21</vt:lpstr>
      <vt:lpstr>Start22</vt:lpstr>
      <vt:lpstr>Start23</vt:lpstr>
      <vt:lpstr>Start24</vt:lpstr>
      <vt:lpstr>Start25</vt:lpstr>
      <vt:lpstr>Start26</vt:lpstr>
      <vt:lpstr>Start27</vt:lpstr>
      <vt:lpstr>Start28</vt:lpstr>
      <vt:lpstr>Start29</vt:lpstr>
      <vt:lpstr>Start3</vt:lpstr>
      <vt:lpstr>Start30</vt:lpstr>
      <vt:lpstr>Start31</vt:lpstr>
      <vt:lpstr>Start32</vt:lpstr>
      <vt:lpstr>Start33</vt:lpstr>
      <vt:lpstr>Start34</vt:lpstr>
      <vt:lpstr>Start35</vt:lpstr>
      <vt:lpstr>Start4</vt:lpstr>
      <vt:lpstr>Start5</vt:lpstr>
      <vt:lpstr>Start6</vt:lpstr>
      <vt:lpstr>Start7</vt:lpstr>
      <vt:lpstr>Start8</vt:lpstr>
      <vt:lpstr>Start9</vt:lpstr>
    </vt:vector>
  </TitlesOfParts>
  <Company>Columbia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 Luo</dc:creator>
  <cp:lastModifiedBy>Wang 王 Hongyi 弘毅</cp:lastModifiedBy>
  <dcterms:created xsi:type="dcterms:W3CDTF">2015-03-12T00:16:24Z</dcterms:created>
  <dcterms:modified xsi:type="dcterms:W3CDTF">2019-12-13T21:42:16Z</dcterms:modified>
</cp:coreProperties>
</file>